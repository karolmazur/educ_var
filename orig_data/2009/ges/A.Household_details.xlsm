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AppData\Local\Temp\"/>
    </mc:Choice>
  </mc:AlternateContent>
  <xr:revisionPtr revIDLastSave="0" documentId="13_ncr:1_{1B48E0E5-ABCD-400B-9A43-D3CF1A62948C}" xr6:coauthVersionLast="47" xr6:coauthVersionMax="47" xr10:uidLastSave="{00000000-0000-0000-0000-000000000000}"/>
  <bookViews>
    <workbookView xWindow="4800" yWindow="3070" windowWidth="14400" windowHeight="7270" firstSheet="5" activeTab="5" xr2:uid="{00000000-000D-0000-FFFF-FFFF00000000}"/>
  </bookViews>
  <sheets>
    <sheet name="Original data" sheetId="13" state="hidden" r:id="rId1"/>
    <sheet name="HP" sheetId="14" state="hidden" r:id="rId2"/>
    <sheet name="HP_per_capita" sheetId="15" state="hidden" r:id="rId3"/>
    <sheet name="correlation_HP" sheetId="16" state="hidden" r:id="rId4"/>
    <sheet name="correlation_HP_per_capita" sheetId="17" state="hidden" r:id="rId5"/>
    <sheet name="result " sheetId="18" r:id="rId6"/>
  </sheets>
  <functionGroups builtInGroupCount="19"/>
  <externalReferences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18" l="1"/>
  <c r="AN254" i="15"/>
  <c r="O254" i="15"/>
  <c r="M254" i="15"/>
  <c r="K254" i="15"/>
  <c r="J254" i="15"/>
  <c r="H254" i="15"/>
  <c r="F254" i="15"/>
  <c r="D254" i="15"/>
  <c r="AN253" i="15"/>
  <c r="O253" i="15"/>
  <c r="M253" i="15"/>
  <c r="K253" i="15"/>
  <c r="J253" i="15"/>
  <c r="H253" i="15"/>
  <c r="F253" i="15"/>
  <c r="D253" i="15"/>
  <c r="AN252" i="15"/>
  <c r="O252" i="15"/>
  <c r="M252" i="15"/>
  <c r="K252" i="15"/>
  <c r="J252" i="15"/>
  <c r="H252" i="15"/>
  <c r="F252" i="15"/>
  <c r="D252" i="15"/>
  <c r="AN251" i="15"/>
  <c r="O251" i="15"/>
  <c r="M251" i="15"/>
  <c r="K251" i="15"/>
  <c r="J251" i="15"/>
  <c r="H251" i="15"/>
  <c r="F251" i="15"/>
  <c r="D251" i="15"/>
  <c r="AN250" i="15"/>
  <c r="O250" i="15"/>
  <c r="M250" i="15"/>
  <c r="K250" i="15"/>
  <c r="J250" i="15"/>
  <c r="H250" i="15"/>
  <c r="F250" i="15"/>
  <c r="D250" i="15"/>
  <c r="AN249" i="15"/>
  <c r="O249" i="15"/>
  <c r="M249" i="15"/>
  <c r="K249" i="15"/>
  <c r="J249" i="15"/>
  <c r="H249" i="15"/>
  <c r="F249" i="15"/>
  <c r="D249" i="15"/>
  <c r="AN248" i="15"/>
  <c r="O248" i="15"/>
  <c r="M248" i="15"/>
  <c r="K248" i="15"/>
  <c r="J248" i="15"/>
  <c r="H248" i="15"/>
  <c r="F248" i="15"/>
  <c r="D248" i="15"/>
  <c r="AN247" i="15"/>
  <c r="O247" i="15"/>
  <c r="M247" i="15"/>
  <c r="K247" i="15"/>
  <c r="J247" i="15"/>
  <c r="H247" i="15"/>
  <c r="F247" i="15"/>
  <c r="D247" i="15"/>
  <c r="AN246" i="15"/>
  <c r="O246" i="15"/>
  <c r="M246" i="15"/>
  <c r="K246" i="15"/>
  <c r="J246" i="15"/>
  <c r="H246" i="15"/>
  <c r="F246" i="15"/>
  <c r="D246" i="15"/>
  <c r="AN245" i="15"/>
  <c r="O245" i="15"/>
  <c r="M245" i="15"/>
  <c r="K245" i="15"/>
  <c r="J245" i="15"/>
  <c r="H245" i="15"/>
  <c r="F245" i="15"/>
  <c r="D245" i="15"/>
  <c r="AN244" i="15"/>
  <c r="O244" i="15"/>
  <c r="M244" i="15"/>
  <c r="K244" i="15"/>
  <c r="J244" i="15"/>
  <c r="H244" i="15"/>
  <c r="F244" i="15"/>
  <c r="D244" i="15"/>
  <c r="AN243" i="15"/>
  <c r="O243" i="15"/>
  <c r="M243" i="15"/>
  <c r="K243" i="15"/>
  <c r="J243" i="15"/>
  <c r="H243" i="15"/>
  <c r="F243" i="15"/>
  <c r="D243" i="15"/>
  <c r="AN242" i="15"/>
  <c r="O242" i="15"/>
  <c r="M242" i="15"/>
  <c r="K242" i="15"/>
  <c r="J242" i="15"/>
  <c r="H242" i="15"/>
  <c r="F242" i="15"/>
  <c r="D242" i="15"/>
  <c r="AN241" i="15"/>
  <c r="O241" i="15"/>
  <c r="M241" i="15"/>
  <c r="K241" i="15"/>
  <c r="J241" i="15"/>
  <c r="H241" i="15"/>
  <c r="F241" i="15"/>
  <c r="D241" i="15"/>
  <c r="AN240" i="15"/>
  <c r="O240" i="15"/>
  <c r="M240" i="15"/>
  <c r="K240" i="15"/>
  <c r="J240" i="15"/>
  <c r="H240" i="15"/>
  <c r="F240" i="15"/>
  <c r="D240" i="15"/>
  <c r="AN239" i="15"/>
  <c r="O239" i="15"/>
  <c r="M239" i="15"/>
  <c r="K239" i="15"/>
  <c r="J239" i="15"/>
  <c r="H239" i="15"/>
  <c r="F239" i="15"/>
  <c r="D239" i="15"/>
  <c r="AN238" i="15"/>
  <c r="O238" i="15"/>
  <c r="M238" i="15"/>
  <c r="K238" i="15"/>
  <c r="J238" i="15"/>
  <c r="H238" i="15"/>
  <c r="F238" i="15"/>
  <c r="D238" i="15"/>
  <c r="AN237" i="15"/>
  <c r="O237" i="15"/>
  <c r="M237" i="15"/>
  <c r="K237" i="15"/>
  <c r="J237" i="15"/>
  <c r="H237" i="15"/>
  <c r="F237" i="15"/>
  <c r="D237" i="15"/>
  <c r="AN236" i="15"/>
  <c r="O236" i="15"/>
  <c r="M236" i="15"/>
  <c r="K236" i="15"/>
  <c r="J236" i="15"/>
  <c r="H236" i="15"/>
  <c r="F236" i="15"/>
  <c r="D236" i="15"/>
  <c r="AN235" i="15"/>
  <c r="O235" i="15"/>
  <c r="M235" i="15"/>
  <c r="K235" i="15"/>
  <c r="J235" i="15"/>
  <c r="H235" i="15"/>
  <c r="F235" i="15"/>
  <c r="D235" i="15"/>
  <c r="AN234" i="15"/>
  <c r="O234" i="15"/>
  <c r="M234" i="15"/>
  <c r="K234" i="15"/>
  <c r="J234" i="15"/>
  <c r="H234" i="15"/>
  <c r="F234" i="15"/>
  <c r="D234" i="15"/>
  <c r="AN233" i="15"/>
  <c r="O233" i="15"/>
  <c r="M233" i="15"/>
  <c r="K233" i="15"/>
  <c r="J233" i="15"/>
  <c r="H233" i="15"/>
  <c r="F233" i="15"/>
  <c r="D233" i="15"/>
  <c r="AN232" i="15"/>
  <c r="O232" i="15"/>
  <c r="M232" i="15"/>
  <c r="K232" i="15"/>
  <c r="J232" i="15"/>
  <c r="H232" i="15"/>
  <c r="F232" i="15"/>
  <c r="D232" i="15"/>
  <c r="AN231" i="15"/>
  <c r="O231" i="15"/>
  <c r="M231" i="15"/>
  <c r="K231" i="15"/>
  <c r="J231" i="15"/>
  <c r="H231" i="15"/>
  <c r="F231" i="15"/>
  <c r="D231" i="15"/>
  <c r="AN230" i="15"/>
  <c r="O230" i="15"/>
  <c r="M230" i="15"/>
  <c r="K230" i="15"/>
  <c r="J230" i="15"/>
  <c r="H230" i="15"/>
  <c r="F230" i="15"/>
  <c r="D230" i="15"/>
  <c r="AN229" i="15"/>
  <c r="O229" i="15"/>
  <c r="M229" i="15"/>
  <c r="K229" i="15"/>
  <c r="J229" i="15"/>
  <c r="H229" i="15"/>
  <c r="F229" i="15"/>
  <c r="D229" i="15"/>
  <c r="AN228" i="15"/>
  <c r="O228" i="15"/>
  <c r="M228" i="15"/>
  <c r="K228" i="15"/>
  <c r="J228" i="15"/>
  <c r="H228" i="15"/>
  <c r="F228" i="15"/>
  <c r="D228" i="15"/>
  <c r="AN227" i="15"/>
  <c r="O227" i="15"/>
  <c r="M227" i="15"/>
  <c r="K227" i="15"/>
  <c r="J227" i="15"/>
  <c r="H227" i="15"/>
  <c r="F227" i="15"/>
  <c r="D227" i="15"/>
  <c r="AN226" i="15"/>
  <c r="O226" i="15"/>
  <c r="M226" i="15"/>
  <c r="K226" i="15"/>
  <c r="J226" i="15"/>
  <c r="H226" i="15"/>
  <c r="F226" i="15"/>
  <c r="D226" i="15"/>
  <c r="AN225" i="15"/>
  <c r="O225" i="15"/>
  <c r="M225" i="15"/>
  <c r="K225" i="15"/>
  <c r="J225" i="15"/>
  <c r="H225" i="15"/>
  <c r="F225" i="15"/>
  <c r="D225" i="15"/>
  <c r="AN224" i="15"/>
  <c r="O224" i="15"/>
  <c r="M224" i="15"/>
  <c r="K224" i="15"/>
  <c r="J224" i="15"/>
  <c r="H224" i="15"/>
  <c r="F224" i="15"/>
  <c r="D224" i="15"/>
  <c r="AN223" i="15"/>
  <c r="O223" i="15"/>
  <c r="M223" i="15"/>
  <c r="K223" i="15"/>
  <c r="J223" i="15"/>
  <c r="H223" i="15"/>
  <c r="F223" i="15"/>
  <c r="D223" i="15"/>
  <c r="AN222" i="15"/>
  <c r="O222" i="15"/>
  <c r="M222" i="15"/>
  <c r="K222" i="15"/>
  <c r="J222" i="15"/>
  <c r="H222" i="15"/>
  <c r="F222" i="15"/>
  <c r="D222" i="15"/>
  <c r="AN221" i="15"/>
  <c r="O221" i="15"/>
  <c r="M221" i="15"/>
  <c r="K221" i="15"/>
  <c r="J221" i="15"/>
  <c r="H221" i="15"/>
  <c r="F221" i="15"/>
  <c r="D221" i="15"/>
  <c r="AN220" i="15"/>
  <c r="O220" i="15"/>
  <c r="M220" i="15"/>
  <c r="K220" i="15"/>
  <c r="J220" i="15"/>
  <c r="H220" i="15"/>
  <c r="F220" i="15"/>
  <c r="D220" i="15"/>
  <c r="AN219" i="15"/>
  <c r="O219" i="15"/>
  <c r="M219" i="15"/>
  <c r="K219" i="15"/>
  <c r="J219" i="15"/>
  <c r="H219" i="15"/>
  <c r="F219" i="15"/>
  <c r="D219" i="15"/>
  <c r="AN218" i="15"/>
  <c r="O218" i="15"/>
  <c r="M218" i="15"/>
  <c r="K218" i="15"/>
  <c r="J218" i="15"/>
  <c r="H218" i="15"/>
  <c r="F218" i="15"/>
  <c r="D218" i="15"/>
  <c r="AN217" i="15"/>
  <c r="O217" i="15"/>
  <c r="M217" i="15"/>
  <c r="K217" i="15"/>
  <c r="J217" i="15"/>
  <c r="H217" i="15"/>
  <c r="F217" i="15"/>
  <c r="D217" i="15"/>
  <c r="AN216" i="15"/>
  <c r="O216" i="15"/>
  <c r="M216" i="15"/>
  <c r="K216" i="15"/>
  <c r="J216" i="15"/>
  <c r="H216" i="15"/>
  <c r="F216" i="15"/>
  <c r="D216" i="15"/>
  <c r="AN215" i="15"/>
  <c r="O215" i="15"/>
  <c r="M215" i="15"/>
  <c r="K215" i="15"/>
  <c r="J215" i="15"/>
  <c r="H215" i="15"/>
  <c r="F215" i="15"/>
  <c r="D215" i="15"/>
  <c r="AN214" i="15"/>
  <c r="O214" i="15"/>
  <c r="M214" i="15"/>
  <c r="K214" i="15"/>
  <c r="J214" i="15"/>
  <c r="H214" i="15"/>
  <c r="F214" i="15"/>
  <c r="D214" i="15"/>
  <c r="AN213" i="15"/>
  <c r="O213" i="15"/>
  <c r="M213" i="15"/>
  <c r="K213" i="15"/>
  <c r="J213" i="15"/>
  <c r="H213" i="15"/>
  <c r="F213" i="15"/>
  <c r="D213" i="15"/>
  <c r="AN212" i="15"/>
  <c r="O212" i="15"/>
  <c r="M212" i="15"/>
  <c r="K212" i="15"/>
  <c r="J212" i="15"/>
  <c r="H212" i="15"/>
  <c r="F212" i="15"/>
  <c r="D212" i="15"/>
  <c r="AN211" i="15"/>
  <c r="O211" i="15"/>
  <c r="M211" i="15"/>
  <c r="K211" i="15"/>
  <c r="J211" i="15"/>
  <c r="H211" i="15"/>
  <c r="F211" i="15"/>
  <c r="D211" i="15"/>
  <c r="AN210" i="15"/>
  <c r="O210" i="15"/>
  <c r="M210" i="15"/>
  <c r="K210" i="15"/>
  <c r="J210" i="15"/>
  <c r="H210" i="15"/>
  <c r="F210" i="15"/>
  <c r="D210" i="15"/>
  <c r="AN209" i="15"/>
  <c r="O209" i="15"/>
  <c r="M209" i="15"/>
  <c r="K209" i="15"/>
  <c r="J209" i="15"/>
  <c r="H209" i="15"/>
  <c r="F209" i="15"/>
  <c r="D209" i="15"/>
  <c r="AN208" i="15"/>
  <c r="O208" i="15"/>
  <c r="M208" i="15"/>
  <c r="K208" i="15"/>
  <c r="J208" i="15"/>
  <c r="H208" i="15"/>
  <c r="F208" i="15"/>
  <c r="D208" i="15"/>
  <c r="AN207" i="15"/>
  <c r="O207" i="15"/>
  <c r="M207" i="15"/>
  <c r="K207" i="15"/>
  <c r="J207" i="15"/>
  <c r="H207" i="15"/>
  <c r="F207" i="15"/>
  <c r="D207" i="15"/>
  <c r="AN206" i="15"/>
  <c r="O206" i="15"/>
  <c r="M206" i="15"/>
  <c r="K206" i="15"/>
  <c r="J206" i="15"/>
  <c r="H206" i="15"/>
  <c r="F206" i="15"/>
  <c r="D206" i="15"/>
  <c r="AN205" i="15"/>
  <c r="O205" i="15"/>
  <c r="M205" i="15"/>
  <c r="K205" i="15"/>
  <c r="J205" i="15"/>
  <c r="H205" i="15"/>
  <c r="F205" i="15"/>
  <c r="D205" i="15"/>
  <c r="AN204" i="15"/>
  <c r="O204" i="15"/>
  <c r="M204" i="15"/>
  <c r="K204" i="15"/>
  <c r="J204" i="15"/>
  <c r="H204" i="15"/>
  <c r="F204" i="15"/>
  <c r="D204" i="15"/>
  <c r="AN203" i="15"/>
  <c r="O203" i="15"/>
  <c r="M203" i="15"/>
  <c r="K203" i="15"/>
  <c r="J203" i="15"/>
  <c r="H203" i="15"/>
  <c r="F203" i="15"/>
  <c r="D203" i="15"/>
  <c r="AN202" i="15"/>
  <c r="O202" i="15"/>
  <c r="M202" i="15"/>
  <c r="K202" i="15"/>
  <c r="J202" i="15"/>
  <c r="H202" i="15"/>
  <c r="F202" i="15"/>
  <c r="D202" i="15"/>
  <c r="AN201" i="15"/>
  <c r="O201" i="15"/>
  <c r="M201" i="15"/>
  <c r="K201" i="15"/>
  <c r="J201" i="15"/>
  <c r="H201" i="15"/>
  <c r="F201" i="15"/>
  <c r="D201" i="15"/>
  <c r="AN200" i="15"/>
  <c r="O200" i="15"/>
  <c r="M200" i="15"/>
  <c r="K200" i="15"/>
  <c r="J200" i="15"/>
  <c r="H200" i="15"/>
  <c r="F200" i="15"/>
  <c r="D200" i="15"/>
  <c r="AN199" i="15"/>
  <c r="O199" i="15"/>
  <c r="M199" i="15"/>
  <c r="K199" i="15"/>
  <c r="J199" i="15"/>
  <c r="H199" i="15"/>
  <c r="F199" i="15"/>
  <c r="D199" i="15"/>
  <c r="AN198" i="15"/>
  <c r="O198" i="15"/>
  <c r="M198" i="15"/>
  <c r="K198" i="15"/>
  <c r="J198" i="15"/>
  <c r="H198" i="15"/>
  <c r="F198" i="15"/>
  <c r="D198" i="15"/>
  <c r="AN197" i="15"/>
  <c r="O197" i="15"/>
  <c r="M197" i="15"/>
  <c r="K197" i="15"/>
  <c r="J197" i="15"/>
  <c r="H197" i="15"/>
  <c r="F197" i="15"/>
  <c r="D197" i="15"/>
  <c r="AN196" i="15"/>
  <c r="O196" i="15"/>
  <c r="M196" i="15"/>
  <c r="K196" i="15"/>
  <c r="J196" i="15"/>
  <c r="H196" i="15"/>
  <c r="F196" i="15"/>
  <c r="D196" i="15"/>
  <c r="AN195" i="15"/>
  <c r="O195" i="15"/>
  <c r="M195" i="15"/>
  <c r="K195" i="15"/>
  <c r="J195" i="15"/>
  <c r="H195" i="15"/>
  <c r="F195" i="15"/>
  <c r="D195" i="15"/>
  <c r="AN194" i="15"/>
  <c r="O194" i="15"/>
  <c r="M194" i="15"/>
  <c r="K194" i="15"/>
  <c r="J194" i="15"/>
  <c r="H194" i="15"/>
  <c r="F194" i="15"/>
  <c r="D194" i="15"/>
  <c r="AN193" i="15"/>
  <c r="O193" i="15"/>
  <c r="M193" i="15"/>
  <c r="K193" i="15"/>
  <c r="J193" i="15"/>
  <c r="H193" i="15"/>
  <c r="F193" i="15"/>
  <c r="D193" i="15"/>
  <c r="AN192" i="15"/>
  <c r="O192" i="15"/>
  <c r="M192" i="15"/>
  <c r="K192" i="15"/>
  <c r="J192" i="15"/>
  <c r="H192" i="15"/>
  <c r="F192" i="15"/>
  <c r="D192" i="15"/>
  <c r="AN191" i="15"/>
  <c r="O191" i="15"/>
  <c r="M191" i="15"/>
  <c r="K191" i="15"/>
  <c r="J191" i="15"/>
  <c r="H191" i="15"/>
  <c r="F191" i="15"/>
  <c r="D191" i="15"/>
  <c r="AN190" i="15"/>
  <c r="O190" i="15"/>
  <c r="M190" i="15"/>
  <c r="K190" i="15"/>
  <c r="J190" i="15"/>
  <c r="H190" i="15"/>
  <c r="F190" i="15"/>
  <c r="D190" i="15"/>
  <c r="AN189" i="15"/>
  <c r="O189" i="15"/>
  <c r="M189" i="15"/>
  <c r="K189" i="15"/>
  <c r="J189" i="15"/>
  <c r="H189" i="15"/>
  <c r="F189" i="15"/>
  <c r="D189" i="15"/>
  <c r="AN188" i="15"/>
  <c r="O188" i="15"/>
  <c r="M188" i="15"/>
  <c r="K188" i="15"/>
  <c r="J188" i="15"/>
  <c r="H188" i="15"/>
  <c r="F188" i="15"/>
  <c r="D188" i="15"/>
  <c r="AN187" i="15"/>
  <c r="O187" i="15"/>
  <c r="M187" i="15"/>
  <c r="K187" i="15"/>
  <c r="J187" i="15"/>
  <c r="H187" i="15"/>
  <c r="F187" i="15"/>
  <c r="D187" i="15"/>
  <c r="AN186" i="15"/>
  <c r="O186" i="15"/>
  <c r="M186" i="15"/>
  <c r="K186" i="15"/>
  <c r="J186" i="15"/>
  <c r="H186" i="15"/>
  <c r="F186" i="15"/>
  <c r="D186" i="15"/>
  <c r="AN185" i="15"/>
  <c r="O185" i="15"/>
  <c r="M185" i="15"/>
  <c r="K185" i="15"/>
  <c r="J185" i="15"/>
  <c r="H185" i="15"/>
  <c r="F185" i="15"/>
  <c r="D185" i="15"/>
  <c r="AN184" i="15"/>
  <c r="O184" i="15"/>
  <c r="M184" i="15"/>
  <c r="K184" i="15"/>
  <c r="J184" i="15"/>
  <c r="H184" i="15"/>
  <c r="F184" i="15"/>
  <c r="D184" i="15"/>
  <c r="AN183" i="15"/>
  <c r="O183" i="15"/>
  <c r="M183" i="15"/>
  <c r="K183" i="15"/>
  <c r="J183" i="15"/>
  <c r="H183" i="15"/>
  <c r="F183" i="15"/>
  <c r="D183" i="15"/>
  <c r="AN182" i="15"/>
  <c r="O182" i="15"/>
  <c r="M182" i="15"/>
  <c r="K182" i="15"/>
  <c r="J182" i="15"/>
  <c r="H182" i="15"/>
  <c r="F182" i="15"/>
  <c r="D182" i="15"/>
  <c r="AN181" i="15"/>
  <c r="O181" i="15"/>
  <c r="M181" i="15"/>
  <c r="K181" i="15"/>
  <c r="J181" i="15"/>
  <c r="H181" i="15"/>
  <c r="F181" i="15"/>
  <c r="D181" i="15"/>
  <c r="AN180" i="15"/>
  <c r="O180" i="15"/>
  <c r="M180" i="15"/>
  <c r="K180" i="15"/>
  <c r="J180" i="15"/>
  <c r="H180" i="15"/>
  <c r="F180" i="15"/>
  <c r="D180" i="15"/>
  <c r="AN179" i="15"/>
  <c r="O179" i="15"/>
  <c r="M179" i="15"/>
  <c r="K179" i="15"/>
  <c r="J179" i="15"/>
  <c r="H179" i="15"/>
  <c r="F179" i="15"/>
  <c r="D179" i="15"/>
  <c r="AN178" i="15"/>
  <c r="O178" i="15"/>
  <c r="M178" i="15"/>
  <c r="K178" i="15"/>
  <c r="J178" i="15"/>
  <c r="H178" i="15"/>
  <c r="F178" i="15"/>
  <c r="D178" i="15"/>
  <c r="AN177" i="15"/>
  <c r="O177" i="15"/>
  <c r="M177" i="15"/>
  <c r="K177" i="15"/>
  <c r="J177" i="15"/>
  <c r="H177" i="15"/>
  <c r="F177" i="15"/>
  <c r="D177" i="15"/>
  <c r="AN176" i="15"/>
  <c r="O176" i="15"/>
  <c r="M176" i="15"/>
  <c r="K176" i="15"/>
  <c r="J176" i="15"/>
  <c r="H176" i="15"/>
  <c r="F176" i="15"/>
  <c r="D176" i="15"/>
  <c r="AN175" i="15"/>
  <c r="O175" i="15"/>
  <c r="M175" i="15"/>
  <c r="K175" i="15"/>
  <c r="J175" i="15"/>
  <c r="H175" i="15"/>
  <c r="F175" i="15"/>
  <c r="D175" i="15"/>
  <c r="AN174" i="15"/>
  <c r="O174" i="15"/>
  <c r="M174" i="15"/>
  <c r="K174" i="15"/>
  <c r="J174" i="15"/>
  <c r="H174" i="15"/>
  <c r="F174" i="15"/>
  <c r="D174" i="15"/>
  <c r="AN173" i="15"/>
  <c r="O173" i="15"/>
  <c r="M173" i="15"/>
  <c r="K173" i="15"/>
  <c r="J173" i="15"/>
  <c r="H173" i="15"/>
  <c r="F173" i="15"/>
  <c r="D173" i="15"/>
  <c r="AN172" i="15"/>
  <c r="O172" i="15"/>
  <c r="M172" i="15"/>
  <c r="K172" i="15"/>
  <c r="J172" i="15"/>
  <c r="H172" i="15"/>
  <c r="F172" i="15"/>
  <c r="D172" i="15"/>
  <c r="AN171" i="15"/>
  <c r="O171" i="15"/>
  <c r="M171" i="15"/>
  <c r="K171" i="15"/>
  <c r="J171" i="15"/>
  <c r="H171" i="15"/>
  <c r="F171" i="15"/>
  <c r="D171" i="15"/>
  <c r="AN170" i="15"/>
  <c r="O170" i="15"/>
  <c r="M170" i="15"/>
  <c r="K170" i="15"/>
  <c r="J170" i="15"/>
  <c r="H170" i="15"/>
  <c r="F170" i="15"/>
  <c r="D170" i="15"/>
  <c r="AN169" i="15"/>
  <c r="O169" i="15"/>
  <c r="M169" i="15"/>
  <c r="K169" i="15"/>
  <c r="J169" i="15"/>
  <c r="H169" i="15"/>
  <c r="F169" i="15"/>
  <c r="D169" i="15"/>
  <c r="AN168" i="15"/>
  <c r="O168" i="15"/>
  <c r="M168" i="15"/>
  <c r="K168" i="15"/>
  <c r="J168" i="15"/>
  <c r="H168" i="15"/>
  <c r="F168" i="15"/>
  <c r="D168" i="15"/>
  <c r="AN167" i="15"/>
  <c r="O167" i="15"/>
  <c r="M167" i="15"/>
  <c r="K167" i="15"/>
  <c r="J167" i="15"/>
  <c r="H167" i="15"/>
  <c r="F167" i="15"/>
  <c r="D167" i="15"/>
  <c r="AN166" i="15"/>
  <c r="O166" i="15"/>
  <c r="M166" i="15"/>
  <c r="K166" i="15"/>
  <c r="J166" i="15"/>
  <c r="H166" i="15"/>
  <c r="F166" i="15"/>
  <c r="D166" i="15"/>
  <c r="AN165" i="15"/>
  <c r="O165" i="15"/>
  <c r="M165" i="15"/>
  <c r="K165" i="15"/>
  <c r="J165" i="15"/>
  <c r="H165" i="15"/>
  <c r="F165" i="15"/>
  <c r="D165" i="15"/>
  <c r="AN164" i="15"/>
  <c r="O164" i="15"/>
  <c r="M164" i="15"/>
  <c r="K164" i="15"/>
  <c r="J164" i="15"/>
  <c r="H164" i="15"/>
  <c r="F164" i="15"/>
  <c r="D164" i="15"/>
  <c r="AN163" i="15"/>
  <c r="O163" i="15"/>
  <c r="M163" i="15"/>
  <c r="K163" i="15"/>
  <c r="J163" i="15"/>
  <c r="H163" i="15"/>
  <c r="F163" i="15"/>
  <c r="D163" i="15"/>
  <c r="AN162" i="15"/>
  <c r="O162" i="15"/>
  <c r="M162" i="15"/>
  <c r="K162" i="15"/>
  <c r="J162" i="15"/>
  <c r="H162" i="15"/>
  <c r="F162" i="15"/>
  <c r="D162" i="15"/>
  <c r="AN161" i="15"/>
  <c r="O161" i="15"/>
  <c r="M161" i="15"/>
  <c r="K161" i="15"/>
  <c r="J161" i="15"/>
  <c r="H161" i="15"/>
  <c r="F161" i="15"/>
  <c r="D161" i="15"/>
  <c r="AN160" i="15"/>
  <c r="O160" i="15"/>
  <c r="M160" i="15"/>
  <c r="K160" i="15"/>
  <c r="J160" i="15"/>
  <c r="H160" i="15"/>
  <c r="F160" i="15"/>
  <c r="D160" i="15"/>
  <c r="AN159" i="15"/>
  <c r="O159" i="15"/>
  <c r="M159" i="15"/>
  <c r="K159" i="15"/>
  <c r="J159" i="15"/>
  <c r="H159" i="15"/>
  <c r="F159" i="15"/>
  <c r="D159" i="15"/>
  <c r="AN158" i="15"/>
  <c r="O158" i="15"/>
  <c r="M158" i="15"/>
  <c r="K158" i="15"/>
  <c r="J158" i="15"/>
  <c r="H158" i="15"/>
  <c r="F158" i="15"/>
  <c r="D158" i="15"/>
  <c r="AN157" i="15"/>
  <c r="O157" i="15"/>
  <c r="M157" i="15"/>
  <c r="K157" i="15"/>
  <c r="J157" i="15"/>
  <c r="H157" i="15"/>
  <c r="F157" i="15"/>
  <c r="D157" i="15"/>
  <c r="AN156" i="15"/>
  <c r="O156" i="15"/>
  <c r="M156" i="15"/>
  <c r="K156" i="15"/>
  <c r="J156" i="15"/>
  <c r="H156" i="15"/>
  <c r="F156" i="15"/>
  <c r="D156" i="15"/>
  <c r="AN155" i="15"/>
  <c r="O155" i="15"/>
  <c r="M155" i="15"/>
  <c r="K155" i="15"/>
  <c r="J155" i="15"/>
  <c r="H155" i="15"/>
  <c r="F155" i="15"/>
  <c r="D155" i="15"/>
  <c r="AN154" i="15"/>
  <c r="O154" i="15"/>
  <c r="M154" i="15"/>
  <c r="K154" i="15"/>
  <c r="J154" i="15"/>
  <c r="H154" i="15"/>
  <c r="F154" i="15"/>
  <c r="D154" i="15"/>
  <c r="AN153" i="15"/>
  <c r="O153" i="15"/>
  <c r="M153" i="15"/>
  <c r="K153" i="15"/>
  <c r="J153" i="15"/>
  <c r="H153" i="15"/>
  <c r="F153" i="15"/>
  <c r="D153" i="15"/>
  <c r="AN152" i="15"/>
  <c r="O152" i="15"/>
  <c r="M152" i="15"/>
  <c r="K152" i="15"/>
  <c r="J152" i="15"/>
  <c r="H152" i="15"/>
  <c r="F152" i="15"/>
  <c r="D152" i="15"/>
  <c r="AN151" i="15"/>
  <c r="O151" i="15"/>
  <c r="M151" i="15"/>
  <c r="K151" i="15"/>
  <c r="J151" i="15"/>
  <c r="H151" i="15"/>
  <c r="F151" i="15"/>
  <c r="D151" i="15"/>
  <c r="AN150" i="15"/>
  <c r="O150" i="15"/>
  <c r="M150" i="15"/>
  <c r="K150" i="15"/>
  <c r="J150" i="15"/>
  <c r="H150" i="15"/>
  <c r="F150" i="15"/>
  <c r="D150" i="15"/>
  <c r="AN149" i="15"/>
  <c r="O149" i="15"/>
  <c r="M149" i="15"/>
  <c r="K149" i="15"/>
  <c r="J149" i="15"/>
  <c r="H149" i="15"/>
  <c r="F149" i="15"/>
  <c r="D149" i="15"/>
  <c r="AN148" i="15"/>
  <c r="O148" i="15"/>
  <c r="M148" i="15"/>
  <c r="K148" i="15"/>
  <c r="J148" i="15"/>
  <c r="H148" i="15"/>
  <c r="F148" i="15"/>
  <c r="D148" i="15"/>
  <c r="AN147" i="15"/>
  <c r="O147" i="15"/>
  <c r="M147" i="15"/>
  <c r="K147" i="15"/>
  <c r="J147" i="15"/>
  <c r="H147" i="15"/>
  <c r="F147" i="15"/>
  <c r="D147" i="15"/>
  <c r="AN146" i="15"/>
  <c r="O146" i="15"/>
  <c r="M146" i="15"/>
  <c r="K146" i="15"/>
  <c r="J146" i="15"/>
  <c r="H146" i="15"/>
  <c r="F146" i="15"/>
  <c r="D146" i="15"/>
  <c r="AN145" i="15"/>
  <c r="O145" i="15"/>
  <c r="M145" i="15"/>
  <c r="K145" i="15"/>
  <c r="J145" i="15"/>
  <c r="H145" i="15"/>
  <c r="F145" i="15"/>
  <c r="D145" i="15"/>
  <c r="AN144" i="15"/>
  <c r="O144" i="15"/>
  <c r="M144" i="15"/>
  <c r="K144" i="15"/>
  <c r="J144" i="15"/>
  <c r="H144" i="15"/>
  <c r="F144" i="15"/>
  <c r="D144" i="15"/>
  <c r="AN143" i="15"/>
  <c r="O143" i="15"/>
  <c r="M143" i="15"/>
  <c r="K143" i="15"/>
  <c r="J143" i="15"/>
  <c r="H143" i="15"/>
  <c r="F143" i="15"/>
  <c r="D143" i="15"/>
  <c r="AN142" i="15"/>
  <c r="O142" i="15"/>
  <c r="M142" i="15"/>
  <c r="K142" i="15"/>
  <c r="J142" i="15"/>
  <c r="H142" i="15"/>
  <c r="F142" i="15"/>
  <c r="D142" i="15"/>
  <c r="AN141" i="15"/>
  <c r="O141" i="15"/>
  <c r="M141" i="15"/>
  <c r="K141" i="15"/>
  <c r="J141" i="15"/>
  <c r="H141" i="15"/>
  <c r="F141" i="15"/>
  <c r="D141" i="15"/>
  <c r="AN140" i="15"/>
  <c r="O140" i="15"/>
  <c r="M140" i="15"/>
  <c r="K140" i="15"/>
  <c r="J140" i="15"/>
  <c r="H140" i="15"/>
  <c r="F140" i="15"/>
  <c r="D140" i="15"/>
  <c r="AN139" i="15"/>
  <c r="O139" i="15"/>
  <c r="M139" i="15"/>
  <c r="K139" i="15"/>
  <c r="J139" i="15"/>
  <c r="H139" i="15"/>
  <c r="F139" i="15"/>
  <c r="D139" i="15"/>
  <c r="AN138" i="15"/>
  <c r="O138" i="15"/>
  <c r="M138" i="15"/>
  <c r="K138" i="15"/>
  <c r="J138" i="15"/>
  <c r="H138" i="15"/>
  <c r="F138" i="15"/>
  <c r="D138" i="15"/>
  <c r="AN137" i="15"/>
  <c r="O137" i="15"/>
  <c r="M137" i="15"/>
  <c r="K137" i="15"/>
  <c r="J137" i="15"/>
  <c r="H137" i="15"/>
  <c r="F137" i="15"/>
  <c r="D137" i="15"/>
  <c r="AN136" i="15"/>
  <c r="O136" i="15"/>
  <c r="M136" i="15"/>
  <c r="K136" i="15"/>
  <c r="J136" i="15"/>
  <c r="H136" i="15"/>
  <c r="F136" i="15"/>
  <c r="D136" i="15"/>
  <c r="AN135" i="15"/>
  <c r="O135" i="15"/>
  <c r="M135" i="15"/>
  <c r="K135" i="15"/>
  <c r="J135" i="15"/>
  <c r="H135" i="15"/>
  <c r="F135" i="15"/>
  <c r="D135" i="15"/>
  <c r="AN134" i="15"/>
  <c r="O134" i="15"/>
  <c r="M134" i="15"/>
  <c r="K134" i="15"/>
  <c r="J134" i="15"/>
  <c r="H134" i="15"/>
  <c r="F134" i="15"/>
  <c r="D134" i="15"/>
  <c r="AN133" i="15"/>
  <c r="O133" i="15"/>
  <c r="M133" i="15"/>
  <c r="K133" i="15"/>
  <c r="J133" i="15"/>
  <c r="H133" i="15"/>
  <c r="F133" i="15"/>
  <c r="D133" i="15"/>
  <c r="AN132" i="15"/>
  <c r="O132" i="15"/>
  <c r="M132" i="15"/>
  <c r="K132" i="15"/>
  <c r="J132" i="15"/>
  <c r="H132" i="15"/>
  <c r="F132" i="15"/>
  <c r="D132" i="15"/>
  <c r="AN131" i="15"/>
  <c r="O131" i="15"/>
  <c r="M131" i="15"/>
  <c r="K131" i="15"/>
  <c r="J131" i="15"/>
  <c r="H131" i="15"/>
  <c r="F131" i="15"/>
  <c r="D131" i="15"/>
  <c r="AN130" i="15"/>
  <c r="O130" i="15"/>
  <c r="M130" i="15"/>
  <c r="K130" i="15"/>
  <c r="J130" i="15"/>
  <c r="H130" i="15"/>
  <c r="F130" i="15"/>
  <c r="D130" i="15"/>
  <c r="AN129" i="15"/>
  <c r="O129" i="15"/>
  <c r="M129" i="15"/>
  <c r="K129" i="15"/>
  <c r="J129" i="15"/>
  <c r="H129" i="15"/>
  <c r="F129" i="15"/>
  <c r="D129" i="15"/>
  <c r="AN128" i="15"/>
  <c r="O128" i="15"/>
  <c r="M128" i="15"/>
  <c r="K128" i="15"/>
  <c r="J128" i="15"/>
  <c r="H128" i="15"/>
  <c r="F128" i="15"/>
  <c r="D128" i="15"/>
  <c r="AN127" i="15"/>
  <c r="O127" i="15"/>
  <c r="M127" i="15"/>
  <c r="K127" i="15"/>
  <c r="J127" i="15"/>
  <c r="H127" i="15"/>
  <c r="F127" i="15"/>
  <c r="D127" i="15"/>
  <c r="AN126" i="15"/>
  <c r="O126" i="15"/>
  <c r="M126" i="15"/>
  <c r="K126" i="15"/>
  <c r="J126" i="15"/>
  <c r="H126" i="15"/>
  <c r="F126" i="15"/>
  <c r="D126" i="15"/>
  <c r="AN125" i="15"/>
  <c r="O125" i="15"/>
  <c r="M125" i="15"/>
  <c r="K125" i="15"/>
  <c r="J125" i="15"/>
  <c r="H125" i="15"/>
  <c r="F125" i="15"/>
  <c r="D125" i="15"/>
  <c r="AN124" i="15"/>
  <c r="O124" i="15"/>
  <c r="M124" i="15"/>
  <c r="K124" i="15"/>
  <c r="J124" i="15"/>
  <c r="H124" i="15"/>
  <c r="F124" i="15"/>
  <c r="D124" i="15"/>
  <c r="AN123" i="15"/>
  <c r="O123" i="15"/>
  <c r="M123" i="15"/>
  <c r="K123" i="15"/>
  <c r="J123" i="15"/>
  <c r="H123" i="15"/>
  <c r="F123" i="15"/>
  <c r="D123" i="15"/>
  <c r="AN122" i="15"/>
  <c r="O122" i="15"/>
  <c r="M122" i="15"/>
  <c r="K122" i="15"/>
  <c r="J122" i="15"/>
  <c r="H122" i="15"/>
  <c r="F122" i="15"/>
  <c r="D122" i="15"/>
  <c r="AN121" i="15"/>
  <c r="O121" i="15"/>
  <c r="M121" i="15"/>
  <c r="K121" i="15"/>
  <c r="J121" i="15"/>
  <c r="H121" i="15"/>
  <c r="F121" i="15"/>
  <c r="D121" i="15"/>
  <c r="AN120" i="15"/>
  <c r="O120" i="15"/>
  <c r="M120" i="15"/>
  <c r="K120" i="15"/>
  <c r="J120" i="15"/>
  <c r="H120" i="15"/>
  <c r="F120" i="15"/>
  <c r="D120" i="15"/>
  <c r="AN119" i="15"/>
  <c r="O119" i="15"/>
  <c r="M119" i="15"/>
  <c r="K119" i="15"/>
  <c r="J119" i="15"/>
  <c r="H119" i="15"/>
  <c r="F119" i="15"/>
  <c r="D119" i="15"/>
  <c r="AN118" i="15"/>
  <c r="O118" i="15"/>
  <c r="M118" i="15"/>
  <c r="K118" i="15"/>
  <c r="J118" i="15"/>
  <c r="H118" i="15"/>
  <c r="F118" i="15"/>
  <c r="D118" i="15"/>
  <c r="AN117" i="15"/>
  <c r="O117" i="15"/>
  <c r="M117" i="15"/>
  <c r="K117" i="15"/>
  <c r="J117" i="15"/>
  <c r="H117" i="15"/>
  <c r="F117" i="15"/>
  <c r="D117" i="15"/>
  <c r="AN116" i="15"/>
  <c r="O116" i="15"/>
  <c r="M116" i="15"/>
  <c r="K116" i="15"/>
  <c r="J116" i="15"/>
  <c r="H116" i="15"/>
  <c r="F116" i="15"/>
  <c r="D116" i="15"/>
  <c r="AN115" i="15"/>
  <c r="O115" i="15"/>
  <c r="M115" i="15"/>
  <c r="K115" i="15"/>
  <c r="J115" i="15"/>
  <c r="H115" i="15"/>
  <c r="F115" i="15"/>
  <c r="D115" i="15"/>
  <c r="AN114" i="15"/>
  <c r="O114" i="15"/>
  <c r="M114" i="15"/>
  <c r="K114" i="15"/>
  <c r="J114" i="15"/>
  <c r="H114" i="15"/>
  <c r="F114" i="15"/>
  <c r="D114" i="15"/>
  <c r="AN113" i="15"/>
  <c r="O113" i="15"/>
  <c r="M113" i="15"/>
  <c r="K113" i="15"/>
  <c r="J113" i="15"/>
  <c r="H113" i="15"/>
  <c r="F113" i="15"/>
  <c r="D113" i="15"/>
  <c r="AN112" i="15"/>
  <c r="O112" i="15"/>
  <c r="M112" i="15"/>
  <c r="K112" i="15"/>
  <c r="J112" i="15"/>
  <c r="H112" i="15"/>
  <c r="F112" i="15"/>
  <c r="D112" i="15"/>
  <c r="AN111" i="15"/>
  <c r="O111" i="15"/>
  <c r="M111" i="15"/>
  <c r="K111" i="15"/>
  <c r="J111" i="15"/>
  <c r="H111" i="15"/>
  <c r="F111" i="15"/>
  <c r="D111" i="15"/>
  <c r="AN110" i="15"/>
  <c r="O110" i="15"/>
  <c r="M110" i="15"/>
  <c r="K110" i="15"/>
  <c r="J110" i="15"/>
  <c r="H110" i="15"/>
  <c r="F110" i="15"/>
  <c r="D110" i="15"/>
  <c r="AN109" i="15"/>
  <c r="O109" i="15"/>
  <c r="M109" i="15"/>
  <c r="K109" i="15"/>
  <c r="J109" i="15"/>
  <c r="H109" i="15"/>
  <c r="F109" i="15"/>
  <c r="D109" i="15"/>
  <c r="AN108" i="15"/>
  <c r="O108" i="15"/>
  <c r="M108" i="15"/>
  <c r="K108" i="15"/>
  <c r="J108" i="15"/>
  <c r="H108" i="15"/>
  <c r="F108" i="15"/>
  <c r="D108" i="15"/>
  <c r="AN107" i="15"/>
  <c r="O107" i="15"/>
  <c r="M107" i="15"/>
  <c r="K107" i="15"/>
  <c r="J107" i="15"/>
  <c r="H107" i="15"/>
  <c r="F107" i="15"/>
  <c r="D107" i="15"/>
  <c r="AN106" i="15"/>
  <c r="O106" i="15"/>
  <c r="M106" i="15"/>
  <c r="K106" i="15"/>
  <c r="J106" i="15"/>
  <c r="H106" i="15"/>
  <c r="F106" i="15"/>
  <c r="D106" i="15"/>
  <c r="AN105" i="15"/>
  <c r="O105" i="15"/>
  <c r="M105" i="15"/>
  <c r="K105" i="15"/>
  <c r="J105" i="15"/>
  <c r="H105" i="15"/>
  <c r="F105" i="15"/>
  <c r="D105" i="15"/>
  <c r="AN104" i="15"/>
  <c r="O104" i="15"/>
  <c r="M104" i="15"/>
  <c r="K104" i="15"/>
  <c r="J104" i="15"/>
  <c r="H104" i="15"/>
  <c r="F104" i="15"/>
  <c r="D104" i="15"/>
  <c r="AN103" i="15"/>
  <c r="O103" i="15"/>
  <c r="M103" i="15"/>
  <c r="K103" i="15"/>
  <c r="J103" i="15"/>
  <c r="H103" i="15"/>
  <c r="F103" i="15"/>
  <c r="D103" i="15"/>
  <c r="AN102" i="15"/>
  <c r="O102" i="15"/>
  <c r="M102" i="15"/>
  <c r="K102" i="15"/>
  <c r="J102" i="15"/>
  <c r="H102" i="15"/>
  <c r="F102" i="15"/>
  <c r="D102" i="15"/>
  <c r="AN101" i="15"/>
  <c r="O101" i="15"/>
  <c r="M101" i="15"/>
  <c r="K101" i="15"/>
  <c r="J101" i="15"/>
  <c r="H101" i="15"/>
  <c r="F101" i="15"/>
  <c r="D101" i="15"/>
  <c r="AN100" i="15"/>
  <c r="O100" i="15"/>
  <c r="M100" i="15"/>
  <c r="K100" i="15"/>
  <c r="J100" i="15"/>
  <c r="H100" i="15"/>
  <c r="F100" i="15"/>
  <c r="D100" i="15"/>
  <c r="AN99" i="15"/>
  <c r="O99" i="15"/>
  <c r="M99" i="15"/>
  <c r="K99" i="15"/>
  <c r="J99" i="15"/>
  <c r="H99" i="15"/>
  <c r="F99" i="15"/>
  <c r="D99" i="15"/>
  <c r="AN98" i="15"/>
  <c r="O98" i="15"/>
  <c r="M98" i="15"/>
  <c r="K98" i="15"/>
  <c r="J98" i="15"/>
  <c r="H98" i="15"/>
  <c r="F98" i="15"/>
  <c r="D98" i="15"/>
  <c r="AN97" i="15"/>
  <c r="O97" i="15"/>
  <c r="M97" i="15"/>
  <c r="K97" i="15"/>
  <c r="J97" i="15"/>
  <c r="H97" i="15"/>
  <c r="F97" i="15"/>
  <c r="D97" i="15"/>
  <c r="AN96" i="15"/>
  <c r="O96" i="15"/>
  <c r="M96" i="15"/>
  <c r="K96" i="15"/>
  <c r="J96" i="15"/>
  <c r="H96" i="15"/>
  <c r="F96" i="15"/>
  <c r="D96" i="15"/>
  <c r="AN95" i="15"/>
  <c r="O95" i="15"/>
  <c r="M95" i="15"/>
  <c r="K95" i="15"/>
  <c r="J95" i="15"/>
  <c r="H95" i="15"/>
  <c r="F95" i="15"/>
  <c r="D95" i="15"/>
  <c r="AN94" i="15"/>
  <c r="O94" i="15"/>
  <c r="M94" i="15"/>
  <c r="K94" i="15"/>
  <c r="J94" i="15"/>
  <c r="H94" i="15"/>
  <c r="F94" i="15"/>
  <c r="D94" i="15"/>
  <c r="AN93" i="15"/>
  <c r="O93" i="15"/>
  <c r="M93" i="15"/>
  <c r="K93" i="15"/>
  <c r="J93" i="15"/>
  <c r="H93" i="15"/>
  <c r="F93" i="15"/>
  <c r="D93" i="15"/>
  <c r="AN92" i="15"/>
  <c r="O92" i="15"/>
  <c r="M92" i="15"/>
  <c r="K92" i="15"/>
  <c r="J92" i="15"/>
  <c r="H92" i="15"/>
  <c r="F92" i="15"/>
  <c r="D92" i="15"/>
  <c r="AN91" i="15"/>
  <c r="O91" i="15"/>
  <c r="M91" i="15"/>
  <c r="K91" i="15"/>
  <c r="J91" i="15"/>
  <c r="H91" i="15"/>
  <c r="F91" i="15"/>
  <c r="D91" i="15"/>
  <c r="AN90" i="15"/>
  <c r="O90" i="15"/>
  <c r="M90" i="15"/>
  <c r="K90" i="15"/>
  <c r="J90" i="15"/>
  <c r="H90" i="15"/>
  <c r="F90" i="15"/>
  <c r="D90" i="15"/>
  <c r="AN89" i="15"/>
  <c r="O89" i="15"/>
  <c r="M89" i="15"/>
  <c r="K89" i="15"/>
  <c r="J89" i="15"/>
  <c r="H89" i="15"/>
  <c r="F89" i="15"/>
  <c r="D89" i="15"/>
  <c r="AN88" i="15"/>
  <c r="O88" i="15"/>
  <c r="M88" i="15"/>
  <c r="K88" i="15"/>
  <c r="J88" i="15"/>
  <c r="H88" i="15"/>
  <c r="F88" i="15"/>
  <c r="D88" i="15"/>
  <c r="AN87" i="15"/>
  <c r="O87" i="15"/>
  <c r="M87" i="15"/>
  <c r="K87" i="15"/>
  <c r="J87" i="15"/>
  <c r="H87" i="15"/>
  <c r="F87" i="15"/>
  <c r="D87" i="15"/>
  <c r="AN86" i="15"/>
  <c r="O86" i="15"/>
  <c r="M86" i="15"/>
  <c r="K86" i="15"/>
  <c r="J86" i="15"/>
  <c r="H86" i="15"/>
  <c r="F86" i="15"/>
  <c r="D86" i="15"/>
  <c r="AN85" i="15"/>
  <c r="O85" i="15"/>
  <c r="M85" i="15"/>
  <c r="K85" i="15"/>
  <c r="J85" i="15"/>
  <c r="H85" i="15"/>
  <c r="F85" i="15"/>
  <c r="D85" i="15"/>
  <c r="AN84" i="15"/>
  <c r="O84" i="15"/>
  <c r="M84" i="15"/>
  <c r="K84" i="15"/>
  <c r="J84" i="15"/>
  <c r="H84" i="15"/>
  <c r="F84" i="15"/>
  <c r="D84" i="15"/>
  <c r="AN83" i="15"/>
  <c r="O83" i="15"/>
  <c r="M83" i="15"/>
  <c r="K83" i="15"/>
  <c r="J83" i="15"/>
  <c r="H83" i="15"/>
  <c r="F83" i="15"/>
  <c r="D83" i="15"/>
  <c r="AN82" i="15"/>
  <c r="O82" i="15"/>
  <c r="M82" i="15"/>
  <c r="K82" i="15"/>
  <c r="J82" i="15"/>
  <c r="H82" i="15"/>
  <c r="F82" i="15"/>
  <c r="D82" i="15"/>
  <c r="AN81" i="15"/>
  <c r="O81" i="15"/>
  <c r="M81" i="15"/>
  <c r="K81" i="15"/>
  <c r="J81" i="15"/>
  <c r="H81" i="15"/>
  <c r="F81" i="15"/>
  <c r="D81" i="15"/>
  <c r="AN80" i="15"/>
  <c r="O80" i="15"/>
  <c r="M80" i="15"/>
  <c r="K80" i="15"/>
  <c r="J80" i="15"/>
  <c r="H80" i="15"/>
  <c r="F80" i="15"/>
  <c r="D80" i="15"/>
  <c r="AN79" i="15"/>
  <c r="O79" i="15"/>
  <c r="M79" i="15"/>
  <c r="K79" i="15"/>
  <c r="J79" i="15"/>
  <c r="H79" i="15"/>
  <c r="F79" i="15"/>
  <c r="D79" i="15"/>
  <c r="AN78" i="15"/>
  <c r="O78" i="15"/>
  <c r="M78" i="15"/>
  <c r="K78" i="15"/>
  <c r="J78" i="15"/>
  <c r="H78" i="15"/>
  <c r="F78" i="15"/>
  <c r="D78" i="15"/>
  <c r="AN77" i="15"/>
  <c r="O77" i="15"/>
  <c r="M77" i="15"/>
  <c r="K77" i="15"/>
  <c r="J77" i="15"/>
  <c r="H77" i="15"/>
  <c r="F77" i="15"/>
  <c r="D77" i="15"/>
  <c r="AN76" i="15"/>
  <c r="O76" i="15"/>
  <c r="M76" i="15"/>
  <c r="K76" i="15"/>
  <c r="J76" i="15"/>
  <c r="H76" i="15"/>
  <c r="F76" i="15"/>
  <c r="D76" i="15"/>
  <c r="AN75" i="15"/>
  <c r="O75" i="15"/>
  <c r="M75" i="15"/>
  <c r="K75" i="15"/>
  <c r="J75" i="15"/>
  <c r="H75" i="15"/>
  <c r="F75" i="15"/>
  <c r="D75" i="15"/>
  <c r="AN74" i="15"/>
  <c r="O74" i="15"/>
  <c r="M74" i="15"/>
  <c r="K74" i="15"/>
  <c r="J74" i="15"/>
  <c r="H74" i="15"/>
  <c r="F74" i="15"/>
  <c r="D74" i="15"/>
  <c r="AN73" i="15"/>
  <c r="O73" i="15"/>
  <c r="M73" i="15"/>
  <c r="K73" i="15"/>
  <c r="J73" i="15"/>
  <c r="H73" i="15"/>
  <c r="F73" i="15"/>
  <c r="D73" i="15"/>
  <c r="AN72" i="15"/>
  <c r="O72" i="15"/>
  <c r="M72" i="15"/>
  <c r="K72" i="15"/>
  <c r="J72" i="15"/>
  <c r="H72" i="15"/>
  <c r="F72" i="15"/>
  <c r="D72" i="15"/>
  <c r="AN71" i="15"/>
  <c r="O71" i="15"/>
  <c r="M71" i="15"/>
  <c r="K71" i="15"/>
  <c r="J71" i="15"/>
  <c r="H71" i="15"/>
  <c r="F71" i="15"/>
  <c r="D71" i="15"/>
  <c r="AN70" i="15"/>
  <c r="O70" i="15"/>
  <c r="M70" i="15"/>
  <c r="K70" i="15"/>
  <c r="J70" i="15"/>
  <c r="H70" i="15"/>
  <c r="F70" i="15"/>
  <c r="D70" i="15"/>
  <c r="AN69" i="15"/>
  <c r="O69" i="15"/>
  <c r="M69" i="15"/>
  <c r="K69" i="15"/>
  <c r="J69" i="15"/>
  <c r="H69" i="15"/>
  <c r="F69" i="15"/>
  <c r="D69" i="15"/>
  <c r="AN68" i="15"/>
  <c r="O68" i="15"/>
  <c r="M68" i="15"/>
  <c r="K68" i="15"/>
  <c r="J68" i="15"/>
  <c r="H68" i="15"/>
  <c r="F68" i="15"/>
  <c r="D68" i="15"/>
  <c r="AN67" i="15"/>
  <c r="O67" i="15"/>
  <c r="M67" i="15"/>
  <c r="K67" i="15"/>
  <c r="J67" i="15"/>
  <c r="H67" i="15"/>
  <c r="F67" i="15"/>
  <c r="D67" i="15"/>
  <c r="AN66" i="15"/>
  <c r="O66" i="15"/>
  <c r="M66" i="15"/>
  <c r="K66" i="15"/>
  <c r="J66" i="15"/>
  <c r="H66" i="15"/>
  <c r="F66" i="15"/>
  <c r="D66" i="15"/>
  <c r="AN65" i="15"/>
  <c r="O65" i="15"/>
  <c r="M65" i="15"/>
  <c r="K65" i="15"/>
  <c r="J65" i="15"/>
  <c r="H65" i="15"/>
  <c r="F65" i="15"/>
  <c r="D65" i="15"/>
  <c r="AN64" i="15"/>
  <c r="O64" i="15"/>
  <c r="M64" i="15"/>
  <c r="K64" i="15"/>
  <c r="J64" i="15"/>
  <c r="H64" i="15"/>
  <c r="F64" i="15"/>
  <c r="D64" i="15"/>
  <c r="AN63" i="15"/>
  <c r="O63" i="15"/>
  <c r="M63" i="15"/>
  <c r="K63" i="15"/>
  <c r="J63" i="15"/>
  <c r="H63" i="15"/>
  <c r="F63" i="15"/>
  <c r="D63" i="15"/>
  <c r="AN62" i="15"/>
  <c r="O62" i="15"/>
  <c r="M62" i="15"/>
  <c r="K62" i="15"/>
  <c r="J62" i="15"/>
  <c r="H62" i="15"/>
  <c r="F62" i="15"/>
  <c r="D62" i="15"/>
  <c r="AN61" i="15"/>
  <c r="O61" i="15"/>
  <c r="M61" i="15"/>
  <c r="K61" i="15"/>
  <c r="J61" i="15"/>
  <c r="H61" i="15"/>
  <c r="F61" i="15"/>
  <c r="D61" i="15"/>
  <c r="AN60" i="15"/>
  <c r="O60" i="15"/>
  <c r="M60" i="15"/>
  <c r="K60" i="15"/>
  <c r="J60" i="15"/>
  <c r="H60" i="15"/>
  <c r="F60" i="15"/>
  <c r="D60" i="15"/>
  <c r="AN59" i="15"/>
  <c r="O59" i="15"/>
  <c r="M59" i="15"/>
  <c r="K59" i="15"/>
  <c r="J59" i="15"/>
  <c r="H59" i="15"/>
  <c r="F59" i="15"/>
  <c r="D59" i="15"/>
  <c r="AN58" i="15"/>
  <c r="O58" i="15"/>
  <c r="M58" i="15"/>
  <c r="K58" i="15"/>
  <c r="J58" i="15"/>
  <c r="H58" i="15"/>
  <c r="F58" i="15"/>
  <c r="D58" i="15"/>
  <c r="AN57" i="15"/>
  <c r="O57" i="15"/>
  <c r="M57" i="15"/>
  <c r="K57" i="15"/>
  <c r="J57" i="15"/>
  <c r="H57" i="15"/>
  <c r="F57" i="15"/>
  <c r="D57" i="15"/>
  <c r="AN56" i="15"/>
  <c r="O56" i="15"/>
  <c r="M56" i="15"/>
  <c r="K56" i="15"/>
  <c r="J56" i="15"/>
  <c r="H56" i="15"/>
  <c r="F56" i="15"/>
  <c r="D56" i="15"/>
  <c r="AN55" i="15"/>
  <c r="O55" i="15"/>
  <c r="M55" i="15"/>
  <c r="K55" i="15"/>
  <c r="J55" i="15"/>
  <c r="H55" i="15"/>
  <c r="F55" i="15"/>
  <c r="D55" i="15"/>
  <c r="AN54" i="15"/>
  <c r="O54" i="15"/>
  <c r="M54" i="15"/>
  <c r="K54" i="15"/>
  <c r="J54" i="15"/>
  <c r="H54" i="15"/>
  <c r="F54" i="15"/>
  <c r="D54" i="15"/>
  <c r="AN53" i="15"/>
  <c r="O53" i="15"/>
  <c r="M53" i="15"/>
  <c r="K53" i="15"/>
  <c r="J53" i="15"/>
  <c r="H53" i="15"/>
  <c r="F53" i="15"/>
  <c r="D53" i="15"/>
  <c r="AN52" i="15"/>
  <c r="O52" i="15"/>
  <c r="M52" i="15"/>
  <c r="K52" i="15"/>
  <c r="J52" i="15"/>
  <c r="H52" i="15"/>
  <c r="F52" i="15"/>
  <c r="D52" i="15"/>
  <c r="AN51" i="15"/>
  <c r="O51" i="15"/>
  <c r="M51" i="15"/>
  <c r="K51" i="15"/>
  <c r="J51" i="15"/>
  <c r="H51" i="15"/>
  <c r="F51" i="15"/>
  <c r="D51" i="15"/>
  <c r="AO50" i="15" a="1"/>
  <c r="AO214" i="15" s="1"/>
  <c r="AN50" i="15"/>
  <c r="O50" i="15"/>
  <c r="M50" i="15"/>
  <c r="K50" i="15"/>
  <c r="J50" i="15"/>
  <c r="H50" i="15"/>
  <c r="F50" i="15"/>
  <c r="D50" i="15"/>
  <c r="O49" i="15"/>
  <c r="M49" i="15"/>
  <c r="K49" i="15"/>
  <c r="J49" i="15"/>
  <c r="H49" i="15"/>
  <c r="F49" i="15"/>
  <c r="D49" i="15"/>
  <c r="O48" i="15"/>
  <c r="M48" i="15"/>
  <c r="K48" i="15"/>
  <c r="J48" i="15"/>
  <c r="H48" i="15"/>
  <c r="F48" i="15"/>
  <c r="D48" i="15"/>
  <c r="O47" i="15"/>
  <c r="M47" i="15"/>
  <c r="K47" i="15"/>
  <c r="J47" i="15"/>
  <c r="H47" i="15"/>
  <c r="F47" i="15"/>
  <c r="D47" i="15"/>
  <c r="O46" i="15"/>
  <c r="M46" i="15"/>
  <c r="K46" i="15"/>
  <c r="J46" i="15"/>
  <c r="H46" i="15"/>
  <c r="F46" i="15"/>
  <c r="D46" i="15"/>
  <c r="O45" i="15"/>
  <c r="M45" i="15"/>
  <c r="K45" i="15"/>
  <c r="J45" i="15"/>
  <c r="H45" i="15"/>
  <c r="F45" i="15"/>
  <c r="D45" i="15"/>
  <c r="O44" i="15"/>
  <c r="M44" i="15"/>
  <c r="K44" i="15"/>
  <c r="J44" i="15"/>
  <c r="H44" i="15"/>
  <c r="F44" i="15"/>
  <c r="D44" i="15"/>
  <c r="O43" i="15"/>
  <c r="M43" i="15"/>
  <c r="K43" i="15"/>
  <c r="J43" i="15"/>
  <c r="H43" i="15"/>
  <c r="F43" i="15"/>
  <c r="D43" i="15"/>
  <c r="O42" i="15"/>
  <c r="M42" i="15"/>
  <c r="K42" i="15"/>
  <c r="J42" i="15"/>
  <c r="H42" i="15"/>
  <c r="F42" i="15"/>
  <c r="D42" i="15"/>
  <c r="O41" i="15"/>
  <c r="M41" i="15"/>
  <c r="K41" i="15"/>
  <c r="J41" i="15"/>
  <c r="H41" i="15"/>
  <c r="F41" i="15"/>
  <c r="D41" i="15"/>
  <c r="O40" i="15"/>
  <c r="M40" i="15"/>
  <c r="K40" i="15"/>
  <c r="J40" i="15"/>
  <c r="H40" i="15"/>
  <c r="F40" i="15"/>
  <c r="D40" i="15"/>
  <c r="O39" i="15"/>
  <c r="M39" i="15"/>
  <c r="K39" i="15"/>
  <c r="J39" i="15"/>
  <c r="H39" i="15"/>
  <c r="F39" i="15"/>
  <c r="D39" i="15"/>
  <c r="O38" i="15"/>
  <c r="M38" i="15"/>
  <c r="K38" i="15"/>
  <c r="J38" i="15"/>
  <c r="H38" i="15"/>
  <c r="F38" i="15"/>
  <c r="D38" i="15"/>
  <c r="O37" i="15"/>
  <c r="M37" i="15"/>
  <c r="K37" i="15"/>
  <c r="J37" i="15"/>
  <c r="H37" i="15"/>
  <c r="F37" i="15"/>
  <c r="D37" i="15"/>
  <c r="O36" i="15"/>
  <c r="M36" i="15"/>
  <c r="K36" i="15"/>
  <c r="J36" i="15"/>
  <c r="H36" i="15"/>
  <c r="F36" i="15"/>
  <c r="D36" i="15"/>
  <c r="O35" i="15"/>
  <c r="M35" i="15"/>
  <c r="K35" i="15"/>
  <c r="J35" i="15"/>
  <c r="H35" i="15"/>
  <c r="F35" i="15"/>
  <c r="D35" i="15"/>
  <c r="O34" i="15"/>
  <c r="M34" i="15"/>
  <c r="K34" i="15"/>
  <c r="J34" i="15"/>
  <c r="H34" i="15"/>
  <c r="F34" i="15"/>
  <c r="D34" i="15"/>
  <c r="O33" i="15"/>
  <c r="M33" i="15"/>
  <c r="K33" i="15"/>
  <c r="J33" i="15"/>
  <c r="H33" i="15"/>
  <c r="F33" i="15"/>
  <c r="D33" i="15"/>
  <c r="O32" i="15"/>
  <c r="M32" i="15"/>
  <c r="K32" i="15"/>
  <c r="J32" i="15"/>
  <c r="H32" i="15"/>
  <c r="F32" i="15"/>
  <c r="D32" i="15"/>
  <c r="O31" i="15"/>
  <c r="M31" i="15"/>
  <c r="K31" i="15"/>
  <c r="J31" i="15"/>
  <c r="H31" i="15"/>
  <c r="F31" i="15"/>
  <c r="D31" i="15"/>
  <c r="O30" i="15"/>
  <c r="M30" i="15"/>
  <c r="K30" i="15"/>
  <c r="J30" i="15"/>
  <c r="H30" i="15"/>
  <c r="F30" i="15"/>
  <c r="D30" i="15"/>
  <c r="O29" i="15"/>
  <c r="M29" i="15"/>
  <c r="K29" i="15"/>
  <c r="J29" i="15"/>
  <c r="H29" i="15"/>
  <c r="F29" i="15"/>
  <c r="D29" i="15"/>
  <c r="O28" i="15"/>
  <c r="M28" i="15"/>
  <c r="K28" i="15"/>
  <c r="J28" i="15"/>
  <c r="H28" i="15"/>
  <c r="F28" i="15"/>
  <c r="D28" i="15"/>
  <c r="O27" i="15"/>
  <c r="M27" i="15"/>
  <c r="K27" i="15"/>
  <c r="J27" i="15"/>
  <c r="H27" i="15"/>
  <c r="F27" i="15"/>
  <c r="D27" i="15"/>
  <c r="O26" i="15"/>
  <c r="M26" i="15"/>
  <c r="K26" i="15"/>
  <c r="J26" i="15"/>
  <c r="H26" i="15"/>
  <c r="F26" i="15"/>
  <c r="D26" i="15"/>
  <c r="O25" i="15"/>
  <c r="M25" i="15"/>
  <c r="K25" i="15"/>
  <c r="J25" i="15"/>
  <c r="H25" i="15"/>
  <c r="F25" i="15"/>
  <c r="D25" i="15"/>
  <c r="O24" i="15"/>
  <c r="M24" i="15"/>
  <c r="K24" i="15"/>
  <c r="J24" i="15"/>
  <c r="H24" i="15"/>
  <c r="F24" i="15"/>
  <c r="D24" i="15"/>
  <c r="O23" i="15"/>
  <c r="M23" i="15"/>
  <c r="K23" i="15"/>
  <c r="J23" i="15"/>
  <c r="H23" i="15"/>
  <c r="F23" i="15"/>
  <c r="D23" i="15"/>
  <c r="O22" i="15"/>
  <c r="M22" i="15"/>
  <c r="K22" i="15"/>
  <c r="J22" i="15"/>
  <c r="H22" i="15"/>
  <c r="F22" i="15"/>
  <c r="D22" i="15"/>
  <c r="O21" i="15"/>
  <c r="M21" i="15"/>
  <c r="K21" i="15"/>
  <c r="J21" i="15"/>
  <c r="H21" i="15"/>
  <c r="F21" i="15"/>
  <c r="D21" i="15"/>
  <c r="O20" i="15"/>
  <c r="M20" i="15"/>
  <c r="K20" i="15"/>
  <c r="J20" i="15"/>
  <c r="H20" i="15"/>
  <c r="F20" i="15"/>
  <c r="D20" i="15"/>
  <c r="O19" i="15"/>
  <c r="M19" i="15"/>
  <c r="K19" i="15"/>
  <c r="J19" i="15"/>
  <c r="H19" i="15"/>
  <c r="F19" i="15"/>
  <c r="D19" i="15"/>
  <c r="O18" i="15"/>
  <c r="M18" i="15"/>
  <c r="K18" i="15"/>
  <c r="J18" i="15"/>
  <c r="H18" i="15"/>
  <c r="F18" i="15"/>
  <c r="D18" i="15"/>
  <c r="O17" i="15"/>
  <c r="M17" i="15"/>
  <c r="K17" i="15"/>
  <c r="J17" i="15"/>
  <c r="H17" i="15"/>
  <c r="F17" i="15"/>
  <c r="D17" i="15"/>
  <c r="O16" i="15"/>
  <c r="M16" i="15"/>
  <c r="K16" i="15"/>
  <c r="J16" i="15"/>
  <c r="H16" i="15"/>
  <c r="F16" i="15"/>
  <c r="D16" i="15"/>
  <c r="O15" i="15"/>
  <c r="M15" i="15"/>
  <c r="K15" i="15"/>
  <c r="J15" i="15"/>
  <c r="H15" i="15"/>
  <c r="F15" i="15"/>
  <c r="D15" i="15"/>
  <c r="O14" i="15"/>
  <c r="M14" i="15"/>
  <c r="K14" i="15"/>
  <c r="J14" i="15"/>
  <c r="H14" i="15"/>
  <c r="F14" i="15"/>
  <c r="D14" i="15"/>
  <c r="O13" i="15"/>
  <c r="M13" i="15"/>
  <c r="K13" i="15"/>
  <c r="J13" i="15"/>
  <c r="H13" i="15"/>
  <c r="F13" i="15"/>
  <c r="D13" i="15"/>
  <c r="O12" i="15"/>
  <c r="M12" i="15"/>
  <c r="K12" i="15"/>
  <c r="J12" i="15"/>
  <c r="H12" i="15"/>
  <c r="F12" i="15"/>
  <c r="D12" i="15"/>
  <c r="O11" i="15"/>
  <c r="M11" i="15"/>
  <c r="K11" i="15"/>
  <c r="J11" i="15"/>
  <c r="H11" i="15"/>
  <c r="F11" i="15"/>
  <c r="D11" i="15"/>
  <c r="O10" i="15"/>
  <c r="M10" i="15"/>
  <c r="K10" i="15"/>
  <c r="J10" i="15"/>
  <c r="H10" i="15"/>
  <c r="F10" i="15"/>
  <c r="D10" i="15"/>
  <c r="O9" i="15"/>
  <c r="M9" i="15"/>
  <c r="K9" i="15"/>
  <c r="J9" i="15"/>
  <c r="H9" i="15"/>
  <c r="F9" i="15"/>
  <c r="D9" i="15"/>
  <c r="O8" i="15"/>
  <c r="M8" i="15"/>
  <c r="K8" i="15"/>
  <c r="J8" i="15"/>
  <c r="H8" i="15"/>
  <c r="F8" i="15"/>
  <c r="D8" i="15"/>
  <c r="O7" i="15"/>
  <c r="M7" i="15"/>
  <c r="K7" i="15"/>
  <c r="J7" i="15"/>
  <c r="H7" i="15"/>
  <c r="F7" i="15"/>
  <c r="D7" i="15"/>
  <c r="O6" i="15"/>
  <c r="M6" i="15"/>
  <c r="K6" i="15"/>
  <c r="J6" i="15"/>
  <c r="H6" i="15"/>
  <c r="F6" i="15"/>
  <c r="D6" i="15"/>
  <c r="O5" i="15"/>
  <c r="M5" i="15"/>
  <c r="K5" i="15"/>
  <c r="J5" i="15"/>
  <c r="H5" i="15"/>
  <c r="F5" i="15"/>
  <c r="D5" i="15"/>
  <c r="O4" i="15"/>
  <c r="M4" i="15"/>
  <c r="K4" i="15"/>
  <c r="J4" i="15"/>
  <c r="H4" i="15"/>
  <c r="F4" i="15"/>
  <c r="D4" i="15"/>
  <c r="O3" i="15"/>
  <c r="M3" i="15"/>
  <c r="K3" i="15"/>
  <c r="J3" i="15"/>
  <c r="H3" i="15"/>
  <c r="F3" i="15"/>
  <c r="D3" i="15"/>
  <c r="AK2" i="15" a="1"/>
  <c r="AK237" i="15" s="1"/>
  <c r="AI2" i="15" a="1"/>
  <c r="AI252" i="15" s="1"/>
  <c r="AJ252" i="15" s="1"/>
  <c r="AG2" i="15" a="1"/>
  <c r="AG223" i="15" s="1"/>
  <c r="AE2" i="15" a="1"/>
  <c r="AE249" i="15" s="1"/>
  <c r="AC2" i="15" a="1"/>
  <c r="AC238" i="15" s="1"/>
  <c r="AA2" i="15" a="1"/>
  <c r="AA253" i="15" s="1"/>
  <c r="AB253" i="15" s="1"/>
  <c r="Y134" i="15"/>
  <c r="Y132" i="15"/>
  <c r="Y131" i="15"/>
  <c r="Y44" i="15"/>
  <c r="Y41" i="15"/>
  <c r="Y40" i="15"/>
  <c r="Y2" i="15" a="1"/>
  <c r="Y238" i="15" s="1"/>
  <c r="W186" i="15"/>
  <c r="W175" i="15"/>
  <c r="W2" i="15" a="1"/>
  <c r="W250" i="15" s="1"/>
  <c r="U201" i="15"/>
  <c r="U189" i="15"/>
  <c r="U2" i="15" a="1"/>
  <c r="U252" i="15" s="1"/>
  <c r="Q249" i="15"/>
  <c r="R249" i="15" s="1"/>
  <c r="Q221" i="15"/>
  <c r="R221" i="15" s="1"/>
  <c r="Q146" i="15"/>
  <c r="R146" i="15" s="1"/>
  <c r="Q2" i="15" a="1"/>
  <c r="Q246" i="15" s="1"/>
  <c r="R246" i="15" s="1"/>
  <c r="O2" i="15"/>
  <c r="M2" i="15"/>
  <c r="K2" i="15"/>
  <c r="J2" i="15"/>
  <c r="H2" i="15"/>
  <c r="F2" i="15"/>
  <c r="D2" i="15"/>
  <c r="AN254" i="14"/>
  <c r="O254" i="14"/>
  <c r="M254" i="14"/>
  <c r="K254" i="14"/>
  <c r="J254" i="14"/>
  <c r="H254" i="14"/>
  <c r="F254" i="14"/>
  <c r="D254" i="14"/>
  <c r="AN253" i="14"/>
  <c r="O253" i="14"/>
  <c r="M253" i="14"/>
  <c r="K253" i="14"/>
  <c r="J253" i="14"/>
  <c r="H253" i="14"/>
  <c r="F253" i="14"/>
  <c r="D253" i="14"/>
  <c r="AN252" i="14"/>
  <c r="O252" i="14"/>
  <c r="M252" i="14"/>
  <c r="K252" i="14"/>
  <c r="J252" i="14"/>
  <c r="H252" i="14"/>
  <c r="F252" i="14"/>
  <c r="D252" i="14"/>
  <c r="AN251" i="14"/>
  <c r="O251" i="14"/>
  <c r="M251" i="14"/>
  <c r="K251" i="14"/>
  <c r="J251" i="14"/>
  <c r="H251" i="14"/>
  <c r="F251" i="14"/>
  <c r="D251" i="14"/>
  <c r="AN250" i="14"/>
  <c r="O250" i="14"/>
  <c r="M250" i="14"/>
  <c r="K250" i="14"/>
  <c r="J250" i="14"/>
  <c r="H250" i="14"/>
  <c r="F250" i="14"/>
  <c r="D250" i="14"/>
  <c r="AN249" i="14"/>
  <c r="O249" i="14"/>
  <c r="M249" i="14"/>
  <c r="K249" i="14"/>
  <c r="J249" i="14"/>
  <c r="H249" i="14"/>
  <c r="F249" i="14"/>
  <c r="D249" i="14"/>
  <c r="AN248" i="14"/>
  <c r="O248" i="14"/>
  <c r="M248" i="14"/>
  <c r="K248" i="14"/>
  <c r="J248" i="14"/>
  <c r="H248" i="14"/>
  <c r="F248" i="14"/>
  <c r="D248" i="14"/>
  <c r="AN247" i="14"/>
  <c r="O247" i="14"/>
  <c r="M247" i="14"/>
  <c r="K247" i="14"/>
  <c r="J247" i="14"/>
  <c r="H247" i="14"/>
  <c r="F247" i="14"/>
  <c r="D247" i="14"/>
  <c r="AN246" i="14"/>
  <c r="O246" i="14"/>
  <c r="M246" i="14"/>
  <c r="K246" i="14"/>
  <c r="J246" i="14"/>
  <c r="H246" i="14"/>
  <c r="F246" i="14"/>
  <c r="D246" i="14"/>
  <c r="AN245" i="14"/>
  <c r="O245" i="14"/>
  <c r="M245" i="14"/>
  <c r="K245" i="14"/>
  <c r="J245" i="14"/>
  <c r="H245" i="14"/>
  <c r="F245" i="14"/>
  <c r="D245" i="14"/>
  <c r="AN244" i="14"/>
  <c r="O244" i="14"/>
  <c r="M244" i="14"/>
  <c r="K244" i="14"/>
  <c r="J244" i="14"/>
  <c r="H244" i="14"/>
  <c r="F244" i="14"/>
  <c r="D244" i="14"/>
  <c r="AN243" i="14"/>
  <c r="O243" i="14"/>
  <c r="M243" i="14"/>
  <c r="K243" i="14"/>
  <c r="J243" i="14"/>
  <c r="H243" i="14"/>
  <c r="F243" i="14"/>
  <c r="D243" i="14"/>
  <c r="AN242" i="14"/>
  <c r="O242" i="14"/>
  <c r="M242" i="14"/>
  <c r="K242" i="14"/>
  <c r="J242" i="14"/>
  <c r="H242" i="14"/>
  <c r="F242" i="14"/>
  <c r="D242" i="14"/>
  <c r="AN241" i="14"/>
  <c r="O241" i="14"/>
  <c r="M241" i="14"/>
  <c r="K241" i="14"/>
  <c r="J241" i="14"/>
  <c r="H241" i="14"/>
  <c r="F241" i="14"/>
  <c r="D241" i="14"/>
  <c r="AN240" i="14"/>
  <c r="O240" i="14"/>
  <c r="M240" i="14"/>
  <c r="K240" i="14"/>
  <c r="J240" i="14"/>
  <c r="H240" i="14"/>
  <c r="F240" i="14"/>
  <c r="D240" i="14"/>
  <c r="AN239" i="14"/>
  <c r="O239" i="14"/>
  <c r="M239" i="14"/>
  <c r="K239" i="14"/>
  <c r="J239" i="14"/>
  <c r="H239" i="14"/>
  <c r="F239" i="14"/>
  <c r="D239" i="14"/>
  <c r="AN238" i="14"/>
  <c r="O238" i="14"/>
  <c r="M238" i="14"/>
  <c r="K238" i="14"/>
  <c r="J238" i="14"/>
  <c r="H238" i="14"/>
  <c r="F238" i="14"/>
  <c r="D238" i="14"/>
  <c r="AN237" i="14"/>
  <c r="O237" i="14"/>
  <c r="M237" i="14"/>
  <c r="K237" i="14"/>
  <c r="J237" i="14"/>
  <c r="H237" i="14"/>
  <c r="F237" i="14"/>
  <c r="D237" i="14"/>
  <c r="AN236" i="14"/>
  <c r="O236" i="14"/>
  <c r="M236" i="14"/>
  <c r="K236" i="14"/>
  <c r="J236" i="14"/>
  <c r="H236" i="14"/>
  <c r="F236" i="14"/>
  <c r="D236" i="14"/>
  <c r="AN235" i="14"/>
  <c r="O235" i="14"/>
  <c r="M235" i="14"/>
  <c r="K235" i="14"/>
  <c r="J235" i="14"/>
  <c r="H235" i="14"/>
  <c r="F235" i="14"/>
  <c r="D235" i="14"/>
  <c r="AN234" i="14"/>
  <c r="O234" i="14"/>
  <c r="M234" i="14"/>
  <c r="K234" i="14"/>
  <c r="J234" i="14"/>
  <c r="H234" i="14"/>
  <c r="F234" i="14"/>
  <c r="D234" i="14"/>
  <c r="AN233" i="14"/>
  <c r="O233" i="14"/>
  <c r="M233" i="14"/>
  <c r="K233" i="14"/>
  <c r="J233" i="14"/>
  <c r="H233" i="14"/>
  <c r="F233" i="14"/>
  <c r="D233" i="14"/>
  <c r="AN232" i="14"/>
  <c r="O232" i="14"/>
  <c r="M232" i="14"/>
  <c r="K232" i="14"/>
  <c r="J232" i="14"/>
  <c r="H232" i="14"/>
  <c r="F232" i="14"/>
  <c r="D232" i="14"/>
  <c r="AN231" i="14"/>
  <c r="O231" i="14"/>
  <c r="M231" i="14"/>
  <c r="K231" i="14"/>
  <c r="J231" i="14"/>
  <c r="H231" i="14"/>
  <c r="F231" i="14"/>
  <c r="D231" i="14"/>
  <c r="AN230" i="14"/>
  <c r="O230" i="14"/>
  <c r="M230" i="14"/>
  <c r="K230" i="14"/>
  <c r="J230" i="14"/>
  <c r="H230" i="14"/>
  <c r="F230" i="14"/>
  <c r="D230" i="14"/>
  <c r="AN229" i="14"/>
  <c r="O229" i="14"/>
  <c r="M229" i="14"/>
  <c r="K229" i="14"/>
  <c r="J229" i="14"/>
  <c r="H229" i="14"/>
  <c r="F229" i="14"/>
  <c r="D229" i="14"/>
  <c r="AN228" i="14"/>
  <c r="O228" i="14"/>
  <c r="M228" i="14"/>
  <c r="K228" i="14"/>
  <c r="J228" i="14"/>
  <c r="H228" i="14"/>
  <c r="F228" i="14"/>
  <c r="D228" i="14"/>
  <c r="AN227" i="14"/>
  <c r="O227" i="14"/>
  <c r="M227" i="14"/>
  <c r="K227" i="14"/>
  <c r="J227" i="14"/>
  <c r="H227" i="14"/>
  <c r="F227" i="14"/>
  <c r="D227" i="14"/>
  <c r="AN226" i="14"/>
  <c r="O226" i="14"/>
  <c r="M226" i="14"/>
  <c r="K226" i="14"/>
  <c r="J226" i="14"/>
  <c r="H226" i="14"/>
  <c r="F226" i="14"/>
  <c r="D226" i="14"/>
  <c r="AN225" i="14"/>
  <c r="O225" i="14"/>
  <c r="M225" i="14"/>
  <c r="K225" i="14"/>
  <c r="J225" i="14"/>
  <c r="H225" i="14"/>
  <c r="F225" i="14"/>
  <c r="D225" i="14"/>
  <c r="AN224" i="14"/>
  <c r="O224" i="14"/>
  <c r="M224" i="14"/>
  <c r="K224" i="14"/>
  <c r="J224" i="14"/>
  <c r="H224" i="14"/>
  <c r="F224" i="14"/>
  <c r="D224" i="14"/>
  <c r="AN223" i="14"/>
  <c r="O223" i="14"/>
  <c r="M223" i="14"/>
  <c r="K223" i="14"/>
  <c r="J223" i="14"/>
  <c r="H223" i="14"/>
  <c r="F223" i="14"/>
  <c r="D223" i="14"/>
  <c r="AN222" i="14"/>
  <c r="O222" i="14"/>
  <c r="M222" i="14"/>
  <c r="K222" i="14"/>
  <c r="J222" i="14"/>
  <c r="H222" i="14"/>
  <c r="F222" i="14"/>
  <c r="D222" i="14"/>
  <c r="AN221" i="14"/>
  <c r="O221" i="14"/>
  <c r="M221" i="14"/>
  <c r="K221" i="14"/>
  <c r="J221" i="14"/>
  <c r="H221" i="14"/>
  <c r="F221" i="14"/>
  <c r="D221" i="14"/>
  <c r="AN220" i="14"/>
  <c r="O220" i="14"/>
  <c r="M220" i="14"/>
  <c r="K220" i="14"/>
  <c r="J220" i="14"/>
  <c r="H220" i="14"/>
  <c r="F220" i="14"/>
  <c r="D220" i="14"/>
  <c r="AN219" i="14"/>
  <c r="O219" i="14"/>
  <c r="M219" i="14"/>
  <c r="K219" i="14"/>
  <c r="J219" i="14"/>
  <c r="H219" i="14"/>
  <c r="F219" i="14"/>
  <c r="D219" i="14"/>
  <c r="AN218" i="14"/>
  <c r="O218" i="14"/>
  <c r="M218" i="14"/>
  <c r="K218" i="14"/>
  <c r="J218" i="14"/>
  <c r="H218" i="14"/>
  <c r="F218" i="14"/>
  <c r="D218" i="14"/>
  <c r="AN217" i="14"/>
  <c r="O217" i="14"/>
  <c r="M217" i="14"/>
  <c r="K217" i="14"/>
  <c r="J217" i="14"/>
  <c r="H217" i="14"/>
  <c r="F217" i="14"/>
  <c r="D217" i="14"/>
  <c r="AN216" i="14"/>
  <c r="O216" i="14"/>
  <c r="M216" i="14"/>
  <c r="K216" i="14"/>
  <c r="J216" i="14"/>
  <c r="H216" i="14"/>
  <c r="F216" i="14"/>
  <c r="D216" i="14"/>
  <c r="AN215" i="14"/>
  <c r="O215" i="14"/>
  <c r="M215" i="14"/>
  <c r="K215" i="14"/>
  <c r="J215" i="14"/>
  <c r="H215" i="14"/>
  <c r="F215" i="14"/>
  <c r="D215" i="14"/>
  <c r="AN214" i="14"/>
  <c r="O214" i="14"/>
  <c r="M214" i="14"/>
  <c r="K214" i="14"/>
  <c r="J214" i="14"/>
  <c r="H214" i="14"/>
  <c r="F214" i="14"/>
  <c r="D214" i="14"/>
  <c r="AN213" i="14"/>
  <c r="O213" i="14"/>
  <c r="M213" i="14"/>
  <c r="K213" i="14"/>
  <c r="J213" i="14"/>
  <c r="H213" i="14"/>
  <c r="F213" i="14"/>
  <c r="D213" i="14"/>
  <c r="AN212" i="14"/>
  <c r="O212" i="14"/>
  <c r="M212" i="14"/>
  <c r="K212" i="14"/>
  <c r="J212" i="14"/>
  <c r="H212" i="14"/>
  <c r="F212" i="14"/>
  <c r="D212" i="14"/>
  <c r="AN211" i="14"/>
  <c r="O211" i="14"/>
  <c r="M211" i="14"/>
  <c r="K211" i="14"/>
  <c r="J211" i="14"/>
  <c r="H211" i="14"/>
  <c r="F211" i="14"/>
  <c r="D211" i="14"/>
  <c r="AN210" i="14"/>
  <c r="O210" i="14"/>
  <c r="M210" i="14"/>
  <c r="K210" i="14"/>
  <c r="J210" i="14"/>
  <c r="H210" i="14"/>
  <c r="F210" i="14"/>
  <c r="D210" i="14"/>
  <c r="AN209" i="14"/>
  <c r="O209" i="14"/>
  <c r="M209" i="14"/>
  <c r="K209" i="14"/>
  <c r="J209" i="14"/>
  <c r="H209" i="14"/>
  <c r="F209" i="14"/>
  <c r="D209" i="14"/>
  <c r="AN208" i="14"/>
  <c r="O208" i="14"/>
  <c r="M208" i="14"/>
  <c r="K208" i="14"/>
  <c r="J208" i="14"/>
  <c r="H208" i="14"/>
  <c r="F208" i="14"/>
  <c r="D208" i="14"/>
  <c r="AN207" i="14"/>
  <c r="O207" i="14"/>
  <c r="M207" i="14"/>
  <c r="K207" i="14"/>
  <c r="J207" i="14"/>
  <c r="H207" i="14"/>
  <c r="F207" i="14"/>
  <c r="D207" i="14"/>
  <c r="AN206" i="14"/>
  <c r="O206" i="14"/>
  <c r="M206" i="14"/>
  <c r="K206" i="14"/>
  <c r="J206" i="14"/>
  <c r="H206" i="14"/>
  <c r="F206" i="14"/>
  <c r="D206" i="14"/>
  <c r="AN205" i="14"/>
  <c r="O205" i="14"/>
  <c r="M205" i="14"/>
  <c r="K205" i="14"/>
  <c r="J205" i="14"/>
  <c r="H205" i="14"/>
  <c r="F205" i="14"/>
  <c r="D205" i="14"/>
  <c r="AN204" i="14"/>
  <c r="O204" i="14"/>
  <c r="M204" i="14"/>
  <c r="K204" i="14"/>
  <c r="J204" i="14"/>
  <c r="H204" i="14"/>
  <c r="F204" i="14"/>
  <c r="D204" i="14"/>
  <c r="AN203" i="14"/>
  <c r="O203" i="14"/>
  <c r="M203" i="14"/>
  <c r="K203" i="14"/>
  <c r="J203" i="14"/>
  <c r="H203" i="14"/>
  <c r="F203" i="14"/>
  <c r="D203" i="14"/>
  <c r="AN202" i="14"/>
  <c r="O202" i="14"/>
  <c r="M202" i="14"/>
  <c r="K202" i="14"/>
  <c r="J202" i="14"/>
  <c r="H202" i="14"/>
  <c r="F202" i="14"/>
  <c r="D202" i="14"/>
  <c r="AN201" i="14"/>
  <c r="O201" i="14"/>
  <c r="M201" i="14"/>
  <c r="K201" i="14"/>
  <c r="J201" i="14"/>
  <c r="H201" i="14"/>
  <c r="F201" i="14"/>
  <c r="D201" i="14"/>
  <c r="AN200" i="14"/>
  <c r="O200" i="14"/>
  <c r="M200" i="14"/>
  <c r="K200" i="14"/>
  <c r="J200" i="14"/>
  <c r="H200" i="14"/>
  <c r="F200" i="14"/>
  <c r="D200" i="14"/>
  <c r="AN199" i="14"/>
  <c r="O199" i="14"/>
  <c r="M199" i="14"/>
  <c r="K199" i="14"/>
  <c r="J199" i="14"/>
  <c r="H199" i="14"/>
  <c r="F199" i="14"/>
  <c r="D199" i="14"/>
  <c r="AN198" i="14"/>
  <c r="O198" i="14"/>
  <c r="M198" i="14"/>
  <c r="K198" i="14"/>
  <c r="J198" i="14"/>
  <c r="H198" i="14"/>
  <c r="F198" i="14"/>
  <c r="D198" i="14"/>
  <c r="AN197" i="14"/>
  <c r="O197" i="14"/>
  <c r="M197" i="14"/>
  <c r="K197" i="14"/>
  <c r="J197" i="14"/>
  <c r="H197" i="14"/>
  <c r="F197" i="14"/>
  <c r="D197" i="14"/>
  <c r="AN196" i="14"/>
  <c r="O196" i="14"/>
  <c r="M196" i="14"/>
  <c r="K196" i="14"/>
  <c r="J196" i="14"/>
  <c r="H196" i="14"/>
  <c r="F196" i="14"/>
  <c r="D196" i="14"/>
  <c r="AN195" i="14"/>
  <c r="O195" i="14"/>
  <c r="M195" i="14"/>
  <c r="K195" i="14"/>
  <c r="J195" i="14"/>
  <c r="H195" i="14"/>
  <c r="F195" i="14"/>
  <c r="D195" i="14"/>
  <c r="AN194" i="14"/>
  <c r="O194" i="14"/>
  <c r="M194" i="14"/>
  <c r="K194" i="14"/>
  <c r="J194" i="14"/>
  <c r="H194" i="14"/>
  <c r="F194" i="14"/>
  <c r="D194" i="14"/>
  <c r="AN193" i="14"/>
  <c r="O193" i="14"/>
  <c r="M193" i="14"/>
  <c r="K193" i="14"/>
  <c r="J193" i="14"/>
  <c r="H193" i="14"/>
  <c r="F193" i="14"/>
  <c r="D193" i="14"/>
  <c r="AN192" i="14"/>
  <c r="O192" i="14"/>
  <c r="M192" i="14"/>
  <c r="K192" i="14"/>
  <c r="J192" i="14"/>
  <c r="H192" i="14"/>
  <c r="F192" i="14"/>
  <c r="D192" i="14"/>
  <c r="AN191" i="14"/>
  <c r="O191" i="14"/>
  <c r="M191" i="14"/>
  <c r="K191" i="14"/>
  <c r="J191" i="14"/>
  <c r="H191" i="14"/>
  <c r="F191" i="14"/>
  <c r="D191" i="14"/>
  <c r="AN190" i="14"/>
  <c r="O190" i="14"/>
  <c r="M190" i="14"/>
  <c r="K190" i="14"/>
  <c r="J190" i="14"/>
  <c r="H190" i="14"/>
  <c r="F190" i="14"/>
  <c r="D190" i="14"/>
  <c r="AN189" i="14"/>
  <c r="O189" i="14"/>
  <c r="M189" i="14"/>
  <c r="K189" i="14"/>
  <c r="J189" i="14"/>
  <c r="H189" i="14"/>
  <c r="F189" i="14"/>
  <c r="D189" i="14"/>
  <c r="AN188" i="14"/>
  <c r="O188" i="14"/>
  <c r="M188" i="14"/>
  <c r="K188" i="14"/>
  <c r="J188" i="14"/>
  <c r="H188" i="14"/>
  <c r="F188" i="14"/>
  <c r="D188" i="14"/>
  <c r="AN187" i="14"/>
  <c r="O187" i="14"/>
  <c r="M187" i="14"/>
  <c r="K187" i="14"/>
  <c r="J187" i="14"/>
  <c r="H187" i="14"/>
  <c r="F187" i="14"/>
  <c r="D187" i="14"/>
  <c r="AN186" i="14"/>
  <c r="O186" i="14"/>
  <c r="M186" i="14"/>
  <c r="K186" i="14"/>
  <c r="J186" i="14"/>
  <c r="H186" i="14"/>
  <c r="F186" i="14"/>
  <c r="D186" i="14"/>
  <c r="AN185" i="14"/>
  <c r="O185" i="14"/>
  <c r="M185" i="14"/>
  <c r="K185" i="14"/>
  <c r="J185" i="14"/>
  <c r="H185" i="14"/>
  <c r="F185" i="14"/>
  <c r="D185" i="14"/>
  <c r="AN184" i="14"/>
  <c r="O184" i="14"/>
  <c r="M184" i="14"/>
  <c r="K184" i="14"/>
  <c r="J184" i="14"/>
  <c r="H184" i="14"/>
  <c r="F184" i="14"/>
  <c r="D184" i="14"/>
  <c r="AN183" i="14"/>
  <c r="O183" i="14"/>
  <c r="M183" i="14"/>
  <c r="K183" i="14"/>
  <c r="J183" i="14"/>
  <c r="H183" i="14"/>
  <c r="F183" i="14"/>
  <c r="D183" i="14"/>
  <c r="AN182" i="14"/>
  <c r="O182" i="14"/>
  <c r="M182" i="14"/>
  <c r="K182" i="14"/>
  <c r="J182" i="14"/>
  <c r="H182" i="14"/>
  <c r="F182" i="14"/>
  <c r="D182" i="14"/>
  <c r="AN181" i="14"/>
  <c r="O181" i="14"/>
  <c r="M181" i="14"/>
  <c r="K181" i="14"/>
  <c r="J181" i="14"/>
  <c r="H181" i="14"/>
  <c r="F181" i="14"/>
  <c r="D181" i="14"/>
  <c r="AN180" i="14"/>
  <c r="O180" i="14"/>
  <c r="M180" i="14"/>
  <c r="K180" i="14"/>
  <c r="J180" i="14"/>
  <c r="H180" i="14"/>
  <c r="F180" i="14"/>
  <c r="D180" i="14"/>
  <c r="AN179" i="14"/>
  <c r="O179" i="14"/>
  <c r="M179" i="14"/>
  <c r="K179" i="14"/>
  <c r="J179" i="14"/>
  <c r="H179" i="14"/>
  <c r="F179" i="14"/>
  <c r="D179" i="14"/>
  <c r="AN178" i="14"/>
  <c r="O178" i="14"/>
  <c r="M178" i="14"/>
  <c r="K178" i="14"/>
  <c r="J178" i="14"/>
  <c r="H178" i="14"/>
  <c r="F178" i="14"/>
  <c r="D178" i="14"/>
  <c r="AN177" i="14"/>
  <c r="O177" i="14"/>
  <c r="M177" i="14"/>
  <c r="K177" i="14"/>
  <c r="J177" i="14"/>
  <c r="H177" i="14"/>
  <c r="F177" i="14"/>
  <c r="D177" i="14"/>
  <c r="AN176" i="14"/>
  <c r="O176" i="14"/>
  <c r="M176" i="14"/>
  <c r="K176" i="14"/>
  <c r="J176" i="14"/>
  <c r="H176" i="14"/>
  <c r="F176" i="14"/>
  <c r="D176" i="14"/>
  <c r="AN175" i="14"/>
  <c r="O175" i="14"/>
  <c r="M175" i="14"/>
  <c r="K175" i="14"/>
  <c r="J175" i="14"/>
  <c r="H175" i="14"/>
  <c r="F175" i="14"/>
  <c r="D175" i="14"/>
  <c r="AN174" i="14"/>
  <c r="O174" i="14"/>
  <c r="M174" i="14"/>
  <c r="K174" i="14"/>
  <c r="J174" i="14"/>
  <c r="H174" i="14"/>
  <c r="F174" i="14"/>
  <c r="D174" i="14"/>
  <c r="AN173" i="14"/>
  <c r="O173" i="14"/>
  <c r="M173" i="14"/>
  <c r="K173" i="14"/>
  <c r="J173" i="14"/>
  <c r="H173" i="14"/>
  <c r="F173" i="14"/>
  <c r="D173" i="14"/>
  <c r="AN172" i="14"/>
  <c r="O172" i="14"/>
  <c r="M172" i="14"/>
  <c r="K172" i="14"/>
  <c r="J172" i="14"/>
  <c r="H172" i="14"/>
  <c r="F172" i="14"/>
  <c r="D172" i="14"/>
  <c r="AN171" i="14"/>
  <c r="O171" i="14"/>
  <c r="M171" i="14"/>
  <c r="K171" i="14"/>
  <c r="J171" i="14"/>
  <c r="H171" i="14"/>
  <c r="F171" i="14"/>
  <c r="D171" i="14"/>
  <c r="AN170" i="14"/>
  <c r="O170" i="14"/>
  <c r="M170" i="14"/>
  <c r="K170" i="14"/>
  <c r="J170" i="14"/>
  <c r="H170" i="14"/>
  <c r="F170" i="14"/>
  <c r="D170" i="14"/>
  <c r="AN169" i="14"/>
  <c r="O169" i="14"/>
  <c r="M169" i="14"/>
  <c r="K169" i="14"/>
  <c r="J169" i="14"/>
  <c r="H169" i="14"/>
  <c r="F169" i="14"/>
  <c r="D169" i="14"/>
  <c r="AN168" i="14"/>
  <c r="O168" i="14"/>
  <c r="M168" i="14"/>
  <c r="K168" i="14"/>
  <c r="J168" i="14"/>
  <c r="H168" i="14"/>
  <c r="F168" i="14"/>
  <c r="D168" i="14"/>
  <c r="AN167" i="14"/>
  <c r="O167" i="14"/>
  <c r="M167" i="14"/>
  <c r="K167" i="14"/>
  <c r="J167" i="14"/>
  <c r="H167" i="14"/>
  <c r="F167" i="14"/>
  <c r="D167" i="14"/>
  <c r="AN166" i="14"/>
  <c r="O166" i="14"/>
  <c r="M166" i="14"/>
  <c r="K166" i="14"/>
  <c r="J166" i="14"/>
  <c r="H166" i="14"/>
  <c r="F166" i="14"/>
  <c r="D166" i="14"/>
  <c r="AN165" i="14"/>
  <c r="O165" i="14"/>
  <c r="M165" i="14"/>
  <c r="K165" i="14"/>
  <c r="J165" i="14"/>
  <c r="H165" i="14"/>
  <c r="F165" i="14"/>
  <c r="D165" i="14"/>
  <c r="AN164" i="14"/>
  <c r="O164" i="14"/>
  <c r="M164" i="14"/>
  <c r="K164" i="14"/>
  <c r="J164" i="14"/>
  <c r="H164" i="14"/>
  <c r="F164" i="14"/>
  <c r="D164" i="14"/>
  <c r="AN163" i="14"/>
  <c r="O163" i="14"/>
  <c r="M163" i="14"/>
  <c r="K163" i="14"/>
  <c r="J163" i="14"/>
  <c r="H163" i="14"/>
  <c r="F163" i="14"/>
  <c r="D163" i="14"/>
  <c r="AN162" i="14"/>
  <c r="O162" i="14"/>
  <c r="M162" i="14"/>
  <c r="K162" i="14"/>
  <c r="J162" i="14"/>
  <c r="H162" i="14"/>
  <c r="F162" i="14"/>
  <c r="D162" i="14"/>
  <c r="AN161" i="14"/>
  <c r="O161" i="14"/>
  <c r="M161" i="14"/>
  <c r="K161" i="14"/>
  <c r="J161" i="14"/>
  <c r="H161" i="14"/>
  <c r="F161" i="14"/>
  <c r="D161" i="14"/>
  <c r="AN160" i="14"/>
  <c r="O160" i="14"/>
  <c r="M160" i="14"/>
  <c r="K160" i="14"/>
  <c r="J160" i="14"/>
  <c r="H160" i="14"/>
  <c r="F160" i="14"/>
  <c r="D160" i="14"/>
  <c r="AN159" i="14"/>
  <c r="O159" i="14"/>
  <c r="M159" i="14"/>
  <c r="K159" i="14"/>
  <c r="J159" i="14"/>
  <c r="H159" i="14"/>
  <c r="F159" i="14"/>
  <c r="D159" i="14"/>
  <c r="AN158" i="14"/>
  <c r="O158" i="14"/>
  <c r="M158" i="14"/>
  <c r="K158" i="14"/>
  <c r="J158" i="14"/>
  <c r="H158" i="14"/>
  <c r="F158" i="14"/>
  <c r="D158" i="14"/>
  <c r="AN157" i="14"/>
  <c r="O157" i="14"/>
  <c r="M157" i="14"/>
  <c r="K157" i="14"/>
  <c r="J157" i="14"/>
  <c r="H157" i="14"/>
  <c r="F157" i="14"/>
  <c r="D157" i="14"/>
  <c r="AN156" i="14"/>
  <c r="O156" i="14"/>
  <c r="M156" i="14"/>
  <c r="K156" i="14"/>
  <c r="J156" i="14"/>
  <c r="H156" i="14"/>
  <c r="F156" i="14"/>
  <c r="D156" i="14"/>
  <c r="AN155" i="14"/>
  <c r="O155" i="14"/>
  <c r="M155" i="14"/>
  <c r="K155" i="14"/>
  <c r="J155" i="14"/>
  <c r="H155" i="14"/>
  <c r="F155" i="14"/>
  <c r="D155" i="14"/>
  <c r="AN154" i="14"/>
  <c r="O154" i="14"/>
  <c r="M154" i="14"/>
  <c r="K154" i="14"/>
  <c r="J154" i="14"/>
  <c r="H154" i="14"/>
  <c r="F154" i="14"/>
  <c r="D154" i="14"/>
  <c r="AN153" i="14"/>
  <c r="O153" i="14"/>
  <c r="M153" i="14"/>
  <c r="K153" i="14"/>
  <c r="J153" i="14"/>
  <c r="H153" i="14"/>
  <c r="F153" i="14"/>
  <c r="D153" i="14"/>
  <c r="AN152" i="14"/>
  <c r="O152" i="14"/>
  <c r="M152" i="14"/>
  <c r="K152" i="14"/>
  <c r="J152" i="14"/>
  <c r="H152" i="14"/>
  <c r="F152" i="14"/>
  <c r="D152" i="14"/>
  <c r="AN151" i="14"/>
  <c r="O151" i="14"/>
  <c r="M151" i="14"/>
  <c r="K151" i="14"/>
  <c r="J151" i="14"/>
  <c r="H151" i="14"/>
  <c r="F151" i="14"/>
  <c r="D151" i="14"/>
  <c r="AN150" i="14"/>
  <c r="O150" i="14"/>
  <c r="M150" i="14"/>
  <c r="K150" i="14"/>
  <c r="J150" i="14"/>
  <c r="H150" i="14"/>
  <c r="F150" i="14"/>
  <c r="D150" i="14"/>
  <c r="AN149" i="14"/>
  <c r="O149" i="14"/>
  <c r="M149" i="14"/>
  <c r="K149" i="14"/>
  <c r="J149" i="14"/>
  <c r="H149" i="14"/>
  <c r="F149" i="14"/>
  <c r="D149" i="14"/>
  <c r="AN148" i="14"/>
  <c r="O148" i="14"/>
  <c r="M148" i="14"/>
  <c r="K148" i="14"/>
  <c r="J148" i="14"/>
  <c r="H148" i="14"/>
  <c r="F148" i="14"/>
  <c r="D148" i="14"/>
  <c r="AN147" i="14"/>
  <c r="O147" i="14"/>
  <c r="M147" i="14"/>
  <c r="K147" i="14"/>
  <c r="J147" i="14"/>
  <c r="H147" i="14"/>
  <c r="F147" i="14"/>
  <c r="D147" i="14"/>
  <c r="AN146" i="14"/>
  <c r="O146" i="14"/>
  <c r="M146" i="14"/>
  <c r="K146" i="14"/>
  <c r="J146" i="14"/>
  <c r="H146" i="14"/>
  <c r="F146" i="14"/>
  <c r="D146" i="14"/>
  <c r="AN145" i="14"/>
  <c r="O145" i="14"/>
  <c r="M145" i="14"/>
  <c r="K145" i="14"/>
  <c r="J145" i="14"/>
  <c r="H145" i="14"/>
  <c r="F145" i="14"/>
  <c r="D145" i="14"/>
  <c r="AN144" i="14"/>
  <c r="O144" i="14"/>
  <c r="M144" i="14"/>
  <c r="K144" i="14"/>
  <c r="J144" i="14"/>
  <c r="H144" i="14"/>
  <c r="F144" i="14"/>
  <c r="D144" i="14"/>
  <c r="AN143" i="14"/>
  <c r="O143" i="14"/>
  <c r="M143" i="14"/>
  <c r="K143" i="14"/>
  <c r="J143" i="14"/>
  <c r="H143" i="14"/>
  <c r="F143" i="14"/>
  <c r="D143" i="14"/>
  <c r="AN142" i="14"/>
  <c r="O142" i="14"/>
  <c r="M142" i="14"/>
  <c r="K142" i="14"/>
  <c r="J142" i="14"/>
  <c r="H142" i="14"/>
  <c r="F142" i="14"/>
  <c r="D142" i="14"/>
  <c r="AN141" i="14"/>
  <c r="O141" i="14"/>
  <c r="M141" i="14"/>
  <c r="K141" i="14"/>
  <c r="J141" i="14"/>
  <c r="H141" i="14"/>
  <c r="F141" i="14"/>
  <c r="D141" i="14"/>
  <c r="AN140" i="14"/>
  <c r="O140" i="14"/>
  <c r="M140" i="14"/>
  <c r="K140" i="14"/>
  <c r="J140" i="14"/>
  <c r="H140" i="14"/>
  <c r="F140" i="14"/>
  <c r="D140" i="14"/>
  <c r="AN139" i="14"/>
  <c r="O139" i="14"/>
  <c r="M139" i="14"/>
  <c r="K139" i="14"/>
  <c r="J139" i="14"/>
  <c r="H139" i="14"/>
  <c r="F139" i="14"/>
  <c r="D139" i="14"/>
  <c r="AN138" i="14"/>
  <c r="O138" i="14"/>
  <c r="M138" i="14"/>
  <c r="K138" i="14"/>
  <c r="J138" i="14"/>
  <c r="H138" i="14"/>
  <c r="F138" i="14"/>
  <c r="D138" i="14"/>
  <c r="AN137" i="14"/>
  <c r="O137" i="14"/>
  <c r="M137" i="14"/>
  <c r="K137" i="14"/>
  <c r="J137" i="14"/>
  <c r="H137" i="14"/>
  <c r="F137" i="14"/>
  <c r="D137" i="14"/>
  <c r="AN136" i="14"/>
  <c r="O136" i="14"/>
  <c r="M136" i="14"/>
  <c r="K136" i="14"/>
  <c r="J136" i="14"/>
  <c r="H136" i="14"/>
  <c r="F136" i="14"/>
  <c r="D136" i="14"/>
  <c r="AN135" i="14"/>
  <c r="O135" i="14"/>
  <c r="M135" i="14"/>
  <c r="K135" i="14"/>
  <c r="J135" i="14"/>
  <c r="H135" i="14"/>
  <c r="F135" i="14"/>
  <c r="D135" i="14"/>
  <c r="AN134" i="14"/>
  <c r="O134" i="14"/>
  <c r="M134" i="14"/>
  <c r="K134" i="14"/>
  <c r="J134" i="14"/>
  <c r="H134" i="14"/>
  <c r="F134" i="14"/>
  <c r="D134" i="14"/>
  <c r="AN133" i="14"/>
  <c r="O133" i="14"/>
  <c r="M133" i="14"/>
  <c r="K133" i="14"/>
  <c r="J133" i="14"/>
  <c r="H133" i="14"/>
  <c r="F133" i="14"/>
  <c r="D133" i="14"/>
  <c r="AN132" i="14"/>
  <c r="O132" i="14"/>
  <c r="M132" i="14"/>
  <c r="K132" i="14"/>
  <c r="J132" i="14"/>
  <c r="H132" i="14"/>
  <c r="F132" i="14"/>
  <c r="D132" i="14"/>
  <c r="AN131" i="14"/>
  <c r="O131" i="14"/>
  <c r="M131" i="14"/>
  <c r="K131" i="14"/>
  <c r="J131" i="14"/>
  <c r="H131" i="14"/>
  <c r="F131" i="14"/>
  <c r="D131" i="14"/>
  <c r="AN130" i="14"/>
  <c r="O130" i="14"/>
  <c r="M130" i="14"/>
  <c r="K130" i="14"/>
  <c r="J130" i="14"/>
  <c r="H130" i="14"/>
  <c r="F130" i="14"/>
  <c r="D130" i="14"/>
  <c r="AN129" i="14"/>
  <c r="O129" i="14"/>
  <c r="M129" i="14"/>
  <c r="K129" i="14"/>
  <c r="J129" i="14"/>
  <c r="H129" i="14"/>
  <c r="F129" i="14"/>
  <c r="D129" i="14"/>
  <c r="AN128" i="14"/>
  <c r="O128" i="14"/>
  <c r="M128" i="14"/>
  <c r="K128" i="14"/>
  <c r="J128" i="14"/>
  <c r="H128" i="14"/>
  <c r="F128" i="14"/>
  <c r="D128" i="14"/>
  <c r="AN127" i="14"/>
  <c r="O127" i="14"/>
  <c r="M127" i="14"/>
  <c r="K127" i="14"/>
  <c r="J127" i="14"/>
  <c r="H127" i="14"/>
  <c r="F127" i="14"/>
  <c r="D127" i="14"/>
  <c r="AN126" i="14"/>
  <c r="O126" i="14"/>
  <c r="M126" i="14"/>
  <c r="K126" i="14"/>
  <c r="J126" i="14"/>
  <c r="H126" i="14"/>
  <c r="F126" i="14"/>
  <c r="D126" i="14"/>
  <c r="AN125" i="14"/>
  <c r="O125" i="14"/>
  <c r="M125" i="14"/>
  <c r="K125" i="14"/>
  <c r="J125" i="14"/>
  <c r="H125" i="14"/>
  <c r="F125" i="14"/>
  <c r="D125" i="14"/>
  <c r="AN124" i="14"/>
  <c r="O124" i="14"/>
  <c r="M124" i="14"/>
  <c r="K124" i="14"/>
  <c r="J124" i="14"/>
  <c r="H124" i="14"/>
  <c r="F124" i="14"/>
  <c r="D124" i="14"/>
  <c r="AN123" i="14"/>
  <c r="O123" i="14"/>
  <c r="M123" i="14"/>
  <c r="K123" i="14"/>
  <c r="J123" i="14"/>
  <c r="H123" i="14"/>
  <c r="F123" i="14"/>
  <c r="D123" i="14"/>
  <c r="AN122" i="14"/>
  <c r="O122" i="14"/>
  <c r="M122" i="14"/>
  <c r="K122" i="14"/>
  <c r="J122" i="14"/>
  <c r="H122" i="14"/>
  <c r="F122" i="14"/>
  <c r="D122" i="14"/>
  <c r="AN121" i="14"/>
  <c r="O121" i="14"/>
  <c r="M121" i="14"/>
  <c r="K121" i="14"/>
  <c r="J121" i="14"/>
  <c r="H121" i="14"/>
  <c r="F121" i="14"/>
  <c r="D121" i="14"/>
  <c r="AN120" i="14"/>
  <c r="O120" i="14"/>
  <c r="M120" i="14"/>
  <c r="K120" i="14"/>
  <c r="J120" i="14"/>
  <c r="H120" i="14"/>
  <c r="F120" i="14"/>
  <c r="D120" i="14"/>
  <c r="AN119" i="14"/>
  <c r="O119" i="14"/>
  <c r="M119" i="14"/>
  <c r="K119" i="14"/>
  <c r="J119" i="14"/>
  <c r="H119" i="14"/>
  <c r="F119" i="14"/>
  <c r="D119" i="14"/>
  <c r="AN118" i="14"/>
  <c r="O118" i="14"/>
  <c r="M118" i="14"/>
  <c r="K118" i="14"/>
  <c r="J118" i="14"/>
  <c r="H118" i="14"/>
  <c r="F118" i="14"/>
  <c r="D118" i="14"/>
  <c r="AN117" i="14"/>
  <c r="O117" i="14"/>
  <c r="M117" i="14"/>
  <c r="K117" i="14"/>
  <c r="J117" i="14"/>
  <c r="H117" i="14"/>
  <c r="F117" i="14"/>
  <c r="D117" i="14"/>
  <c r="AN116" i="14"/>
  <c r="O116" i="14"/>
  <c r="M116" i="14"/>
  <c r="K116" i="14"/>
  <c r="J116" i="14"/>
  <c r="H116" i="14"/>
  <c r="F116" i="14"/>
  <c r="D116" i="14"/>
  <c r="AN115" i="14"/>
  <c r="O115" i="14"/>
  <c r="M115" i="14"/>
  <c r="K115" i="14"/>
  <c r="J115" i="14"/>
  <c r="H115" i="14"/>
  <c r="F115" i="14"/>
  <c r="D115" i="14"/>
  <c r="AN114" i="14"/>
  <c r="O114" i="14"/>
  <c r="M114" i="14"/>
  <c r="K114" i="14"/>
  <c r="J114" i="14"/>
  <c r="H114" i="14"/>
  <c r="F114" i="14"/>
  <c r="D114" i="14"/>
  <c r="AN113" i="14"/>
  <c r="O113" i="14"/>
  <c r="M113" i="14"/>
  <c r="K113" i="14"/>
  <c r="J113" i="14"/>
  <c r="H113" i="14"/>
  <c r="F113" i="14"/>
  <c r="D113" i="14"/>
  <c r="AN112" i="14"/>
  <c r="O112" i="14"/>
  <c r="M112" i="14"/>
  <c r="K112" i="14"/>
  <c r="J112" i="14"/>
  <c r="H112" i="14"/>
  <c r="F112" i="14"/>
  <c r="D112" i="14"/>
  <c r="AN111" i="14"/>
  <c r="O111" i="14"/>
  <c r="M111" i="14"/>
  <c r="K111" i="14"/>
  <c r="J111" i="14"/>
  <c r="H111" i="14"/>
  <c r="F111" i="14"/>
  <c r="D111" i="14"/>
  <c r="AN110" i="14"/>
  <c r="O110" i="14"/>
  <c r="M110" i="14"/>
  <c r="K110" i="14"/>
  <c r="J110" i="14"/>
  <c r="H110" i="14"/>
  <c r="F110" i="14"/>
  <c r="D110" i="14"/>
  <c r="AN109" i="14"/>
  <c r="O109" i="14"/>
  <c r="M109" i="14"/>
  <c r="K109" i="14"/>
  <c r="J109" i="14"/>
  <c r="H109" i="14"/>
  <c r="F109" i="14"/>
  <c r="D109" i="14"/>
  <c r="AN108" i="14"/>
  <c r="O108" i="14"/>
  <c r="M108" i="14"/>
  <c r="K108" i="14"/>
  <c r="J108" i="14"/>
  <c r="H108" i="14"/>
  <c r="F108" i="14"/>
  <c r="D108" i="14"/>
  <c r="AN107" i="14"/>
  <c r="O107" i="14"/>
  <c r="M107" i="14"/>
  <c r="K107" i="14"/>
  <c r="J107" i="14"/>
  <c r="H107" i="14"/>
  <c r="F107" i="14"/>
  <c r="D107" i="14"/>
  <c r="AN106" i="14"/>
  <c r="O106" i="14"/>
  <c r="M106" i="14"/>
  <c r="K106" i="14"/>
  <c r="J106" i="14"/>
  <c r="H106" i="14"/>
  <c r="F106" i="14"/>
  <c r="D106" i="14"/>
  <c r="AN105" i="14"/>
  <c r="O105" i="14"/>
  <c r="M105" i="14"/>
  <c r="K105" i="14"/>
  <c r="J105" i="14"/>
  <c r="H105" i="14"/>
  <c r="F105" i="14"/>
  <c r="D105" i="14"/>
  <c r="AN104" i="14"/>
  <c r="O104" i="14"/>
  <c r="M104" i="14"/>
  <c r="K104" i="14"/>
  <c r="J104" i="14"/>
  <c r="H104" i="14"/>
  <c r="F104" i="14"/>
  <c r="D104" i="14"/>
  <c r="AN103" i="14"/>
  <c r="O103" i="14"/>
  <c r="M103" i="14"/>
  <c r="K103" i="14"/>
  <c r="J103" i="14"/>
  <c r="H103" i="14"/>
  <c r="F103" i="14"/>
  <c r="D103" i="14"/>
  <c r="AN102" i="14"/>
  <c r="O102" i="14"/>
  <c r="M102" i="14"/>
  <c r="K102" i="14"/>
  <c r="J102" i="14"/>
  <c r="H102" i="14"/>
  <c r="F102" i="14"/>
  <c r="D102" i="14"/>
  <c r="AN101" i="14"/>
  <c r="O101" i="14"/>
  <c r="M101" i="14"/>
  <c r="K101" i="14"/>
  <c r="J101" i="14"/>
  <c r="H101" i="14"/>
  <c r="F101" i="14"/>
  <c r="D101" i="14"/>
  <c r="AN100" i="14"/>
  <c r="O100" i="14"/>
  <c r="M100" i="14"/>
  <c r="K100" i="14"/>
  <c r="J100" i="14"/>
  <c r="H100" i="14"/>
  <c r="F100" i="14"/>
  <c r="D100" i="14"/>
  <c r="AN99" i="14"/>
  <c r="O99" i="14"/>
  <c r="M99" i="14"/>
  <c r="K99" i="14"/>
  <c r="J99" i="14"/>
  <c r="H99" i="14"/>
  <c r="F99" i="14"/>
  <c r="D99" i="14"/>
  <c r="AN98" i="14"/>
  <c r="O98" i="14"/>
  <c r="M98" i="14"/>
  <c r="K98" i="14"/>
  <c r="J98" i="14"/>
  <c r="H98" i="14"/>
  <c r="F98" i="14"/>
  <c r="D98" i="14"/>
  <c r="AN97" i="14"/>
  <c r="O97" i="14"/>
  <c r="M97" i="14"/>
  <c r="K97" i="14"/>
  <c r="J97" i="14"/>
  <c r="H97" i="14"/>
  <c r="F97" i="14"/>
  <c r="D97" i="14"/>
  <c r="AN96" i="14"/>
  <c r="O96" i="14"/>
  <c r="M96" i="14"/>
  <c r="K96" i="14"/>
  <c r="J96" i="14"/>
  <c r="H96" i="14"/>
  <c r="F96" i="14"/>
  <c r="D96" i="14"/>
  <c r="AN95" i="14"/>
  <c r="O95" i="14"/>
  <c r="M95" i="14"/>
  <c r="K95" i="14"/>
  <c r="J95" i="14"/>
  <c r="H95" i="14"/>
  <c r="F95" i="14"/>
  <c r="D95" i="14"/>
  <c r="AN94" i="14"/>
  <c r="O94" i="14"/>
  <c r="M94" i="14"/>
  <c r="K94" i="14"/>
  <c r="J94" i="14"/>
  <c r="H94" i="14"/>
  <c r="F94" i="14"/>
  <c r="D94" i="14"/>
  <c r="AN93" i="14"/>
  <c r="O93" i="14"/>
  <c r="M93" i="14"/>
  <c r="K93" i="14"/>
  <c r="J93" i="14"/>
  <c r="H93" i="14"/>
  <c r="F93" i="14"/>
  <c r="D93" i="14"/>
  <c r="AN92" i="14"/>
  <c r="O92" i="14"/>
  <c r="M92" i="14"/>
  <c r="K92" i="14"/>
  <c r="J92" i="14"/>
  <c r="H92" i="14"/>
  <c r="F92" i="14"/>
  <c r="D92" i="14"/>
  <c r="AN91" i="14"/>
  <c r="O91" i="14"/>
  <c r="M91" i="14"/>
  <c r="K91" i="14"/>
  <c r="J91" i="14"/>
  <c r="H91" i="14"/>
  <c r="F91" i="14"/>
  <c r="D91" i="14"/>
  <c r="AN90" i="14"/>
  <c r="O90" i="14"/>
  <c r="M90" i="14"/>
  <c r="K90" i="14"/>
  <c r="J90" i="14"/>
  <c r="H90" i="14"/>
  <c r="F90" i="14"/>
  <c r="D90" i="14"/>
  <c r="AN89" i="14"/>
  <c r="O89" i="14"/>
  <c r="M89" i="14"/>
  <c r="K89" i="14"/>
  <c r="J89" i="14"/>
  <c r="H89" i="14"/>
  <c r="F89" i="14"/>
  <c r="D89" i="14"/>
  <c r="AN88" i="14"/>
  <c r="O88" i="14"/>
  <c r="M88" i="14"/>
  <c r="K88" i="14"/>
  <c r="J88" i="14"/>
  <c r="H88" i="14"/>
  <c r="F88" i="14"/>
  <c r="D88" i="14"/>
  <c r="AN87" i="14"/>
  <c r="O87" i="14"/>
  <c r="M87" i="14"/>
  <c r="K87" i="14"/>
  <c r="J87" i="14"/>
  <c r="H87" i="14"/>
  <c r="F87" i="14"/>
  <c r="D87" i="14"/>
  <c r="AN86" i="14"/>
  <c r="O86" i="14"/>
  <c r="M86" i="14"/>
  <c r="K86" i="14"/>
  <c r="J86" i="14"/>
  <c r="H86" i="14"/>
  <c r="F86" i="14"/>
  <c r="D86" i="14"/>
  <c r="AN85" i="14"/>
  <c r="O85" i="14"/>
  <c r="M85" i="14"/>
  <c r="K85" i="14"/>
  <c r="J85" i="14"/>
  <c r="H85" i="14"/>
  <c r="F85" i="14"/>
  <c r="D85" i="14"/>
  <c r="AN84" i="14"/>
  <c r="O84" i="14"/>
  <c r="M84" i="14"/>
  <c r="K84" i="14"/>
  <c r="J84" i="14"/>
  <c r="H84" i="14"/>
  <c r="F84" i="14"/>
  <c r="D84" i="14"/>
  <c r="AN83" i="14"/>
  <c r="O83" i="14"/>
  <c r="M83" i="14"/>
  <c r="K83" i="14"/>
  <c r="J83" i="14"/>
  <c r="H83" i="14"/>
  <c r="F83" i="14"/>
  <c r="D83" i="14"/>
  <c r="AN82" i="14"/>
  <c r="O82" i="14"/>
  <c r="M82" i="14"/>
  <c r="K82" i="14"/>
  <c r="J82" i="14"/>
  <c r="H82" i="14"/>
  <c r="F82" i="14"/>
  <c r="D82" i="14"/>
  <c r="AN81" i="14"/>
  <c r="O81" i="14"/>
  <c r="M81" i="14"/>
  <c r="K81" i="14"/>
  <c r="J81" i="14"/>
  <c r="H81" i="14"/>
  <c r="F81" i="14"/>
  <c r="D81" i="14"/>
  <c r="AN80" i="14"/>
  <c r="O80" i="14"/>
  <c r="M80" i="14"/>
  <c r="K80" i="14"/>
  <c r="J80" i="14"/>
  <c r="H80" i="14"/>
  <c r="F80" i="14"/>
  <c r="D80" i="14"/>
  <c r="AN79" i="14"/>
  <c r="O79" i="14"/>
  <c r="M79" i="14"/>
  <c r="K79" i="14"/>
  <c r="J79" i="14"/>
  <c r="H79" i="14"/>
  <c r="F79" i="14"/>
  <c r="D79" i="14"/>
  <c r="AN78" i="14"/>
  <c r="O78" i="14"/>
  <c r="M78" i="14"/>
  <c r="K78" i="14"/>
  <c r="J78" i="14"/>
  <c r="H78" i="14"/>
  <c r="F78" i="14"/>
  <c r="D78" i="14"/>
  <c r="AN77" i="14"/>
  <c r="O77" i="14"/>
  <c r="M77" i="14"/>
  <c r="K77" i="14"/>
  <c r="J77" i="14"/>
  <c r="H77" i="14"/>
  <c r="F77" i="14"/>
  <c r="D77" i="14"/>
  <c r="AN76" i="14"/>
  <c r="O76" i="14"/>
  <c r="M76" i="14"/>
  <c r="K76" i="14"/>
  <c r="J76" i="14"/>
  <c r="H76" i="14"/>
  <c r="F76" i="14"/>
  <c r="D76" i="14"/>
  <c r="AN75" i="14"/>
  <c r="O75" i="14"/>
  <c r="M75" i="14"/>
  <c r="K75" i="14"/>
  <c r="J75" i="14"/>
  <c r="H75" i="14"/>
  <c r="F75" i="14"/>
  <c r="D75" i="14"/>
  <c r="AN74" i="14"/>
  <c r="O74" i="14"/>
  <c r="M74" i="14"/>
  <c r="K74" i="14"/>
  <c r="J74" i="14"/>
  <c r="H74" i="14"/>
  <c r="F74" i="14"/>
  <c r="D74" i="14"/>
  <c r="AN73" i="14"/>
  <c r="O73" i="14"/>
  <c r="M73" i="14"/>
  <c r="K73" i="14"/>
  <c r="J73" i="14"/>
  <c r="H73" i="14"/>
  <c r="F73" i="14"/>
  <c r="D73" i="14"/>
  <c r="AN72" i="14"/>
  <c r="O72" i="14"/>
  <c r="M72" i="14"/>
  <c r="K72" i="14"/>
  <c r="J72" i="14"/>
  <c r="H72" i="14"/>
  <c r="F72" i="14"/>
  <c r="D72" i="14"/>
  <c r="AN71" i="14"/>
  <c r="O71" i="14"/>
  <c r="M71" i="14"/>
  <c r="K71" i="14"/>
  <c r="J71" i="14"/>
  <c r="H71" i="14"/>
  <c r="F71" i="14"/>
  <c r="D71" i="14"/>
  <c r="AN70" i="14"/>
  <c r="O70" i="14"/>
  <c r="M70" i="14"/>
  <c r="K70" i="14"/>
  <c r="J70" i="14"/>
  <c r="H70" i="14"/>
  <c r="F70" i="14"/>
  <c r="D70" i="14"/>
  <c r="AN69" i="14"/>
  <c r="O69" i="14"/>
  <c r="M69" i="14"/>
  <c r="K69" i="14"/>
  <c r="J69" i="14"/>
  <c r="H69" i="14"/>
  <c r="F69" i="14"/>
  <c r="D69" i="14"/>
  <c r="AN68" i="14"/>
  <c r="O68" i="14"/>
  <c r="M68" i="14"/>
  <c r="K68" i="14"/>
  <c r="J68" i="14"/>
  <c r="H68" i="14"/>
  <c r="F68" i="14"/>
  <c r="D68" i="14"/>
  <c r="AN67" i="14"/>
  <c r="O67" i="14"/>
  <c r="M67" i="14"/>
  <c r="K67" i="14"/>
  <c r="J67" i="14"/>
  <c r="H67" i="14"/>
  <c r="F67" i="14"/>
  <c r="D67" i="14"/>
  <c r="AN66" i="14"/>
  <c r="O66" i="14"/>
  <c r="M66" i="14"/>
  <c r="K66" i="14"/>
  <c r="J66" i="14"/>
  <c r="H66" i="14"/>
  <c r="F66" i="14"/>
  <c r="D66" i="14"/>
  <c r="AN65" i="14"/>
  <c r="O65" i="14"/>
  <c r="M65" i="14"/>
  <c r="K65" i="14"/>
  <c r="J65" i="14"/>
  <c r="H65" i="14"/>
  <c r="F65" i="14"/>
  <c r="D65" i="14"/>
  <c r="AN64" i="14"/>
  <c r="O64" i="14"/>
  <c r="M64" i="14"/>
  <c r="K64" i="14"/>
  <c r="J64" i="14"/>
  <c r="H64" i="14"/>
  <c r="F64" i="14"/>
  <c r="D64" i="14"/>
  <c r="AN63" i="14"/>
  <c r="O63" i="14"/>
  <c r="M63" i="14"/>
  <c r="K63" i="14"/>
  <c r="J63" i="14"/>
  <c r="H63" i="14"/>
  <c r="F63" i="14"/>
  <c r="D63" i="14"/>
  <c r="AN62" i="14"/>
  <c r="O62" i="14"/>
  <c r="M62" i="14"/>
  <c r="K62" i="14"/>
  <c r="J62" i="14"/>
  <c r="H62" i="14"/>
  <c r="F62" i="14"/>
  <c r="D62" i="14"/>
  <c r="AN61" i="14"/>
  <c r="O61" i="14"/>
  <c r="M61" i="14"/>
  <c r="K61" i="14"/>
  <c r="J61" i="14"/>
  <c r="H61" i="14"/>
  <c r="F61" i="14"/>
  <c r="D61" i="14"/>
  <c r="AN60" i="14"/>
  <c r="O60" i="14"/>
  <c r="M60" i="14"/>
  <c r="K60" i="14"/>
  <c r="J60" i="14"/>
  <c r="H60" i="14"/>
  <c r="F60" i="14"/>
  <c r="D60" i="14"/>
  <c r="AN59" i="14"/>
  <c r="O59" i="14"/>
  <c r="M59" i="14"/>
  <c r="K59" i="14"/>
  <c r="J59" i="14"/>
  <c r="H59" i="14"/>
  <c r="F59" i="14"/>
  <c r="D59" i="14"/>
  <c r="AN58" i="14"/>
  <c r="O58" i="14"/>
  <c r="M58" i="14"/>
  <c r="K58" i="14"/>
  <c r="J58" i="14"/>
  <c r="H58" i="14"/>
  <c r="F58" i="14"/>
  <c r="D58" i="14"/>
  <c r="AN57" i="14"/>
  <c r="O57" i="14"/>
  <c r="M57" i="14"/>
  <c r="K57" i="14"/>
  <c r="J57" i="14"/>
  <c r="H57" i="14"/>
  <c r="F57" i="14"/>
  <c r="D57" i="14"/>
  <c r="AN56" i="14"/>
  <c r="O56" i="14"/>
  <c r="M56" i="14"/>
  <c r="K56" i="14"/>
  <c r="J56" i="14"/>
  <c r="H56" i="14"/>
  <c r="F56" i="14"/>
  <c r="D56" i="14"/>
  <c r="AN55" i="14"/>
  <c r="O55" i="14"/>
  <c r="M55" i="14"/>
  <c r="K55" i="14"/>
  <c r="J55" i="14"/>
  <c r="H55" i="14"/>
  <c r="F55" i="14"/>
  <c r="D55" i="14"/>
  <c r="AN54" i="14"/>
  <c r="O54" i="14"/>
  <c r="M54" i="14"/>
  <c r="K54" i="14"/>
  <c r="J54" i="14"/>
  <c r="H54" i="14"/>
  <c r="F54" i="14"/>
  <c r="D54" i="14"/>
  <c r="AN53" i="14"/>
  <c r="O53" i="14"/>
  <c r="M53" i="14"/>
  <c r="K53" i="14"/>
  <c r="J53" i="14"/>
  <c r="H53" i="14"/>
  <c r="F53" i="14"/>
  <c r="D53" i="14"/>
  <c r="AN52" i="14"/>
  <c r="O52" i="14"/>
  <c r="M52" i="14"/>
  <c r="K52" i="14"/>
  <c r="J52" i="14"/>
  <c r="H52" i="14"/>
  <c r="F52" i="14"/>
  <c r="D52" i="14"/>
  <c r="AN51" i="14"/>
  <c r="O51" i="14"/>
  <c r="M51" i="14"/>
  <c r="K51" i="14"/>
  <c r="J51" i="14"/>
  <c r="H51" i="14"/>
  <c r="F51" i="14"/>
  <c r="D51" i="14"/>
  <c r="AO50" i="14" a="1"/>
  <c r="AO233" i="14" s="1"/>
  <c r="AP233" i="14" s="1"/>
  <c r="AN50" i="14"/>
  <c r="O50" i="14"/>
  <c r="M50" i="14"/>
  <c r="K50" i="14"/>
  <c r="J50" i="14"/>
  <c r="H50" i="14"/>
  <c r="F50" i="14"/>
  <c r="D50" i="14"/>
  <c r="O49" i="14"/>
  <c r="M49" i="14"/>
  <c r="K49" i="14"/>
  <c r="J49" i="14"/>
  <c r="H49" i="14"/>
  <c r="F49" i="14"/>
  <c r="D49" i="14"/>
  <c r="O48" i="14"/>
  <c r="M48" i="14"/>
  <c r="K48" i="14"/>
  <c r="J48" i="14"/>
  <c r="H48" i="14"/>
  <c r="F48" i="14"/>
  <c r="D48" i="14"/>
  <c r="O47" i="14"/>
  <c r="M47" i="14"/>
  <c r="K47" i="14"/>
  <c r="J47" i="14"/>
  <c r="H47" i="14"/>
  <c r="F47" i="14"/>
  <c r="D47" i="14"/>
  <c r="O46" i="14"/>
  <c r="M46" i="14"/>
  <c r="K46" i="14"/>
  <c r="J46" i="14"/>
  <c r="H46" i="14"/>
  <c r="F46" i="14"/>
  <c r="D46" i="14"/>
  <c r="O45" i="14"/>
  <c r="M45" i="14"/>
  <c r="K45" i="14"/>
  <c r="J45" i="14"/>
  <c r="H45" i="14"/>
  <c r="F45" i="14"/>
  <c r="D45" i="14"/>
  <c r="O44" i="14"/>
  <c r="M44" i="14"/>
  <c r="K44" i="14"/>
  <c r="J44" i="14"/>
  <c r="H44" i="14"/>
  <c r="F44" i="14"/>
  <c r="D44" i="14"/>
  <c r="O43" i="14"/>
  <c r="M43" i="14"/>
  <c r="K43" i="14"/>
  <c r="J43" i="14"/>
  <c r="H43" i="14"/>
  <c r="F43" i="14"/>
  <c r="D43" i="14"/>
  <c r="O42" i="14"/>
  <c r="M42" i="14"/>
  <c r="K42" i="14"/>
  <c r="J42" i="14"/>
  <c r="H42" i="14"/>
  <c r="F42" i="14"/>
  <c r="D42" i="14"/>
  <c r="O41" i="14"/>
  <c r="M41" i="14"/>
  <c r="K41" i="14"/>
  <c r="J41" i="14"/>
  <c r="H41" i="14"/>
  <c r="F41" i="14"/>
  <c r="D41" i="14"/>
  <c r="O40" i="14"/>
  <c r="M40" i="14"/>
  <c r="K40" i="14"/>
  <c r="J40" i="14"/>
  <c r="H40" i="14"/>
  <c r="F40" i="14"/>
  <c r="D40" i="14"/>
  <c r="O39" i="14"/>
  <c r="M39" i="14"/>
  <c r="K39" i="14"/>
  <c r="J39" i="14"/>
  <c r="H39" i="14"/>
  <c r="F39" i="14"/>
  <c r="D39" i="14"/>
  <c r="O38" i="14"/>
  <c r="M38" i="14"/>
  <c r="K38" i="14"/>
  <c r="J38" i="14"/>
  <c r="H38" i="14"/>
  <c r="F38" i="14"/>
  <c r="D38" i="14"/>
  <c r="O37" i="14"/>
  <c r="M37" i="14"/>
  <c r="K37" i="14"/>
  <c r="J37" i="14"/>
  <c r="H37" i="14"/>
  <c r="F37" i="14"/>
  <c r="D37" i="14"/>
  <c r="O36" i="14"/>
  <c r="M36" i="14"/>
  <c r="K36" i="14"/>
  <c r="J36" i="14"/>
  <c r="H36" i="14"/>
  <c r="F36" i="14"/>
  <c r="D36" i="14"/>
  <c r="O35" i="14"/>
  <c r="M35" i="14"/>
  <c r="K35" i="14"/>
  <c r="J35" i="14"/>
  <c r="H35" i="14"/>
  <c r="F35" i="14"/>
  <c r="D35" i="14"/>
  <c r="O34" i="14"/>
  <c r="M34" i="14"/>
  <c r="K34" i="14"/>
  <c r="J34" i="14"/>
  <c r="H34" i="14"/>
  <c r="F34" i="14"/>
  <c r="D34" i="14"/>
  <c r="O33" i="14"/>
  <c r="M33" i="14"/>
  <c r="K33" i="14"/>
  <c r="J33" i="14"/>
  <c r="H33" i="14"/>
  <c r="F33" i="14"/>
  <c r="D33" i="14"/>
  <c r="O32" i="14"/>
  <c r="M32" i="14"/>
  <c r="K32" i="14"/>
  <c r="J32" i="14"/>
  <c r="H32" i="14"/>
  <c r="F32" i="14"/>
  <c r="D32" i="14"/>
  <c r="O31" i="14"/>
  <c r="M31" i="14"/>
  <c r="K31" i="14"/>
  <c r="J31" i="14"/>
  <c r="H31" i="14"/>
  <c r="F31" i="14"/>
  <c r="D31" i="14"/>
  <c r="O30" i="14"/>
  <c r="M30" i="14"/>
  <c r="K30" i="14"/>
  <c r="J30" i="14"/>
  <c r="H30" i="14"/>
  <c r="F30" i="14"/>
  <c r="D30" i="14"/>
  <c r="O29" i="14"/>
  <c r="M29" i="14"/>
  <c r="K29" i="14"/>
  <c r="J29" i="14"/>
  <c r="H29" i="14"/>
  <c r="F29" i="14"/>
  <c r="D29" i="14"/>
  <c r="O28" i="14"/>
  <c r="M28" i="14"/>
  <c r="K28" i="14"/>
  <c r="J28" i="14"/>
  <c r="H28" i="14"/>
  <c r="F28" i="14"/>
  <c r="D28" i="14"/>
  <c r="O27" i="14"/>
  <c r="M27" i="14"/>
  <c r="K27" i="14"/>
  <c r="J27" i="14"/>
  <c r="H27" i="14"/>
  <c r="F27" i="14"/>
  <c r="D27" i="14"/>
  <c r="O26" i="14"/>
  <c r="M26" i="14"/>
  <c r="K26" i="14"/>
  <c r="J26" i="14"/>
  <c r="H26" i="14"/>
  <c r="F26" i="14"/>
  <c r="D26" i="14"/>
  <c r="O25" i="14"/>
  <c r="M25" i="14"/>
  <c r="K25" i="14"/>
  <c r="J25" i="14"/>
  <c r="H25" i="14"/>
  <c r="F25" i="14"/>
  <c r="D25" i="14"/>
  <c r="O24" i="14"/>
  <c r="M24" i="14"/>
  <c r="K24" i="14"/>
  <c r="J24" i="14"/>
  <c r="H24" i="14"/>
  <c r="F24" i="14"/>
  <c r="D24" i="14"/>
  <c r="O23" i="14"/>
  <c r="M23" i="14"/>
  <c r="K23" i="14"/>
  <c r="J23" i="14"/>
  <c r="H23" i="14"/>
  <c r="F23" i="14"/>
  <c r="D23" i="14"/>
  <c r="O22" i="14"/>
  <c r="M22" i="14"/>
  <c r="K22" i="14"/>
  <c r="J22" i="14"/>
  <c r="H22" i="14"/>
  <c r="F22" i="14"/>
  <c r="D22" i="14"/>
  <c r="O21" i="14"/>
  <c r="M21" i="14"/>
  <c r="K21" i="14"/>
  <c r="J21" i="14"/>
  <c r="H21" i="14"/>
  <c r="F21" i="14"/>
  <c r="D21" i="14"/>
  <c r="O20" i="14"/>
  <c r="M20" i="14"/>
  <c r="K20" i="14"/>
  <c r="J20" i="14"/>
  <c r="H20" i="14"/>
  <c r="F20" i="14"/>
  <c r="D20" i="14"/>
  <c r="O19" i="14"/>
  <c r="M19" i="14"/>
  <c r="K19" i="14"/>
  <c r="J19" i="14"/>
  <c r="H19" i="14"/>
  <c r="F19" i="14"/>
  <c r="D19" i="14"/>
  <c r="O18" i="14"/>
  <c r="M18" i="14"/>
  <c r="K18" i="14"/>
  <c r="J18" i="14"/>
  <c r="H18" i="14"/>
  <c r="F18" i="14"/>
  <c r="D18" i="14"/>
  <c r="O17" i="14"/>
  <c r="M17" i="14"/>
  <c r="K17" i="14"/>
  <c r="J17" i="14"/>
  <c r="H17" i="14"/>
  <c r="F17" i="14"/>
  <c r="D17" i="14"/>
  <c r="O16" i="14"/>
  <c r="M16" i="14"/>
  <c r="K16" i="14"/>
  <c r="J16" i="14"/>
  <c r="H16" i="14"/>
  <c r="F16" i="14"/>
  <c r="D16" i="14"/>
  <c r="O15" i="14"/>
  <c r="M15" i="14"/>
  <c r="K15" i="14"/>
  <c r="J15" i="14"/>
  <c r="H15" i="14"/>
  <c r="F15" i="14"/>
  <c r="D15" i="14"/>
  <c r="O14" i="14"/>
  <c r="M14" i="14"/>
  <c r="K14" i="14"/>
  <c r="J14" i="14"/>
  <c r="H14" i="14"/>
  <c r="F14" i="14"/>
  <c r="D14" i="14"/>
  <c r="O13" i="14"/>
  <c r="M13" i="14"/>
  <c r="K13" i="14"/>
  <c r="J13" i="14"/>
  <c r="H13" i="14"/>
  <c r="F13" i="14"/>
  <c r="D13" i="14"/>
  <c r="O12" i="14"/>
  <c r="M12" i="14"/>
  <c r="K12" i="14"/>
  <c r="J12" i="14"/>
  <c r="H12" i="14"/>
  <c r="F12" i="14"/>
  <c r="D12" i="14"/>
  <c r="O11" i="14"/>
  <c r="M11" i="14"/>
  <c r="K11" i="14"/>
  <c r="J11" i="14"/>
  <c r="H11" i="14"/>
  <c r="F11" i="14"/>
  <c r="D11" i="14"/>
  <c r="O10" i="14"/>
  <c r="M10" i="14"/>
  <c r="K10" i="14"/>
  <c r="J10" i="14"/>
  <c r="H10" i="14"/>
  <c r="F10" i="14"/>
  <c r="D10" i="14"/>
  <c r="O9" i="14"/>
  <c r="M9" i="14"/>
  <c r="K9" i="14"/>
  <c r="J9" i="14"/>
  <c r="H9" i="14"/>
  <c r="F9" i="14"/>
  <c r="D9" i="14"/>
  <c r="O8" i="14"/>
  <c r="M8" i="14"/>
  <c r="K8" i="14"/>
  <c r="J8" i="14"/>
  <c r="H8" i="14"/>
  <c r="F8" i="14"/>
  <c r="D8" i="14"/>
  <c r="O7" i="14"/>
  <c r="M7" i="14"/>
  <c r="K7" i="14"/>
  <c r="J7" i="14"/>
  <c r="H7" i="14"/>
  <c r="F7" i="14"/>
  <c r="D7" i="14"/>
  <c r="O6" i="14"/>
  <c r="M6" i="14"/>
  <c r="K6" i="14"/>
  <c r="J6" i="14"/>
  <c r="H6" i="14"/>
  <c r="F6" i="14"/>
  <c r="D6" i="14"/>
  <c r="O5" i="14"/>
  <c r="M5" i="14"/>
  <c r="K5" i="14"/>
  <c r="J5" i="14"/>
  <c r="H5" i="14"/>
  <c r="F5" i="14"/>
  <c r="D5" i="14"/>
  <c r="O4" i="14"/>
  <c r="M4" i="14"/>
  <c r="K4" i="14"/>
  <c r="J4" i="14"/>
  <c r="H4" i="14"/>
  <c r="F4" i="14"/>
  <c r="D4" i="14"/>
  <c r="O3" i="14"/>
  <c r="M3" i="14"/>
  <c r="K3" i="14"/>
  <c r="J3" i="14"/>
  <c r="H3" i="14"/>
  <c r="F3" i="14"/>
  <c r="D3" i="14"/>
  <c r="AK2" i="14" a="1"/>
  <c r="AK220" i="14" s="1"/>
  <c r="AI195" i="14"/>
  <c r="AJ195" i="14" s="1"/>
  <c r="AI2" i="14" a="1"/>
  <c r="AI235" i="14" s="1"/>
  <c r="AJ235" i="14" s="1"/>
  <c r="AG2" i="14" a="1"/>
  <c r="AG218" i="14" s="1"/>
  <c r="AE2" i="14" a="1"/>
  <c r="AE247" i="14" s="1"/>
  <c r="AC2" i="14" a="1"/>
  <c r="AA2" i="14" a="1"/>
  <c r="AA253" i="14" s="1"/>
  <c r="AB253" i="14" s="1"/>
  <c r="Y2" i="14" a="1"/>
  <c r="Y249" i="14" s="1"/>
  <c r="W2" i="14" a="1"/>
  <c r="W251" i="14" s="1"/>
  <c r="X251" i="14" s="1"/>
  <c r="U2" i="14" a="1"/>
  <c r="U245" i="14" s="1"/>
  <c r="Q2" i="14" a="1"/>
  <c r="Q249" i="14" s="1"/>
  <c r="R249" i="14" s="1"/>
  <c r="O2" i="14"/>
  <c r="M2" i="14"/>
  <c r="K2" i="14"/>
  <c r="J2" i="14"/>
  <c r="H2" i="14"/>
  <c r="F2" i="14"/>
  <c r="D2" i="14"/>
  <c r="W19" i="15" l="1"/>
  <c r="Y55" i="15"/>
  <c r="Z55" i="15" s="1"/>
  <c r="Y159" i="15"/>
  <c r="Z159" i="15" s="1"/>
  <c r="AE23" i="15"/>
  <c r="AO92" i="14"/>
  <c r="AP92" i="14" s="1"/>
  <c r="U23" i="15"/>
  <c r="V23" i="15" s="1"/>
  <c r="W29" i="15"/>
  <c r="X29" i="15" s="1"/>
  <c r="Y5" i="15"/>
  <c r="Z5" i="15" s="1"/>
  <c r="Y78" i="15"/>
  <c r="Y187" i="15"/>
  <c r="AE126" i="15"/>
  <c r="AF126" i="15" s="1"/>
  <c r="AK81" i="15"/>
  <c r="AL81" i="15" s="1"/>
  <c r="AO179" i="14"/>
  <c r="AP179" i="14" s="1"/>
  <c r="U31" i="15"/>
  <c r="V31" i="15" s="1"/>
  <c r="W39" i="15"/>
  <c r="Y6" i="15"/>
  <c r="Z6" i="15" s="1"/>
  <c r="Y79" i="15"/>
  <c r="Y188" i="15"/>
  <c r="AE151" i="15"/>
  <c r="AF151" i="15" s="1"/>
  <c r="Q18" i="15"/>
  <c r="R18" i="15" s="1"/>
  <c r="U89" i="15"/>
  <c r="W92" i="15"/>
  <c r="X92" i="15" s="1"/>
  <c r="Y8" i="15"/>
  <c r="Y83" i="15"/>
  <c r="Z83" i="15" s="1"/>
  <c r="Y195" i="15"/>
  <c r="AE176" i="15"/>
  <c r="AG252" i="15"/>
  <c r="W206" i="15"/>
  <c r="Q114" i="15"/>
  <c r="R114" i="15" s="1"/>
  <c r="U106" i="15"/>
  <c r="W143" i="15"/>
  <c r="Y19" i="15"/>
  <c r="Y101" i="15"/>
  <c r="Y227" i="15"/>
  <c r="AE227" i="15"/>
  <c r="U36" i="15"/>
  <c r="U124" i="15"/>
  <c r="U206" i="15"/>
  <c r="Z8" i="15"/>
  <c r="AC232" i="15"/>
  <c r="AD232" i="15" s="1"/>
  <c r="AO93" i="15"/>
  <c r="AO92" i="15"/>
  <c r="AF247" i="14"/>
  <c r="U47" i="15"/>
  <c r="U134" i="15"/>
  <c r="V134" i="15" s="1"/>
  <c r="U218" i="15"/>
  <c r="V218" i="15" s="1"/>
  <c r="W60" i="15"/>
  <c r="X60" i="15" s="1"/>
  <c r="W196" i="15"/>
  <c r="X196" i="15" s="1"/>
  <c r="Y17" i="15"/>
  <c r="Z17" i="15" s="1"/>
  <c r="Y54" i="15"/>
  <c r="Y92" i="15"/>
  <c r="Z92" i="15" s="1"/>
  <c r="Y150" i="15"/>
  <c r="Y214" i="15"/>
  <c r="Z214" i="15" s="1"/>
  <c r="AE202" i="15"/>
  <c r="AF202" i="15" s="1"/>
  <c r="AK77" i="15"/>
  <c r="AL77" i="15" s="1"/>
  <c r="U60" i="15"/>
  <c r="U141" i="15"/>
  <c r="V141" i="15" s="1"/>
  <c r="U223" i="15"/>
  <c r="AF23" i="15"/>
  <c r="U2" i="15"/>
  <c r="U70" i="15"/>
  <c r="V70" i="15" s="1"/>
  <c r="U153" i="15"/>
  <c r="U242" i="15"/>
  <c r="W102" i="15"/>
  <c r="X102" i="15" s="1"/>
  <c r="W228" i="15"/>
  <c r="X228" i="15" s="1"/>
  <c r="Y22" i="15"/>
  <c r="Y60" i="15"/>
  <c r="Z60" i="15" s="1"/>
  <c r="Y102" i="15"/>
  <c r="Y160" i="15"/>
  <c r="Z160" i="15" s="1"/>
  <c r="Y228" i="15"/>
  <c r="Z228" i="15" s="1"/>
  <c r="AE48" i="15"/>
  <c r="AF48" i="15" s="1"/>
  <c r="AE254" i="15"/>
  <c r="AF254" i="15" s="1"/>
  <c r="AK173" i="15"/>
  <c r="AI25" i="14"/>
  <c r="AJ25" i="14" s="1"/>
  <c r="U12" i="15"/>
  <c r="V12" i="15" s="1"/>
  <c r="U73" i="15"/>
  <c r="U155" i="15"/>
  <c r="W112" i="15"/>
  <c r="Y27" i="15"/>
  <c r="Y64" i="15"/>
  <c r="Z64" i="15" s="1"/>
  <c r="Y108" i="15"/>
  <c r="Y164" i="15"/>
  <c r="Z164" i="15" s="1"/>
  <c r="Y230" i="15"/>
  <c r="Z230" i="15" s="1"/>
  <c r="AE74" i="15"/>
  <c r="AF74" i="15" s="1"/>
  <c r="AK205" i="15"/>
  <c r="AL205" i="15" s="1"/>
  <c r="AD238" i="15"/>
  <c r="AI66" i="14"/>
  <c r="AJ66" i="14" s="1"/>
  <c r="Q90" i="15"/>
  <c r="R90" i="15" s="1"/>
  <c r="U20" i="15"/>
  <c r="U86" i="15"/>
  <c r="U172" i="15"/>
  <c r="V172" i="15" s="1"/>
  <c r="W8" i="15"/>
  <c r="W123" i="15"/>
  <c r="X123" i="15" s="1"/>
  <c r="Y4" i="15"/>
  <c r="Z4" i="15" s="1"/>
  <c r="Y35" i="15"/>
  <c r="Y77" i="15"/>
  <c r="Y120" i="15"/>
  <c r="Y176" i="15"/>
  <c r="Y251" i="15"/>
  <c r="AE99" i="15"/>
  <c r="AG124" i="15"/>
  <c r="AI169" i="14"/>
  <c r="AJ169" i="14" s="1"/>
  <c r="AO215" i="14"/>
  <c r="Q122" i="15"/>
  <c r="R122" i="15" s="1"/>
  <c r="U45" i="15"/>
  <c r="U100" i="15"/>
  <c r="U170" i="15"/>
  <c r="V170" i="15" s="1"/>
  <c r="U235" i="15"/>
  <c r="V235" i="15" s="1"/>
  <c r="W50" i="15"/>
  <c r="X50" i="15" s="1"/>
  <c r="W133" i="15"/>
  <c r="X133" i="15" s="1"/>
  <c r="W216" i="15"/>
  <c r="X216" i="15" s="1"/>
  <c r="Y7" i="15"/>
  <c r="Z7" i="15" s="1"/>
  <c r="Y23" i="15"/>
  <c r="Y43" i="15"/>
  <c r="Y63" i="15"/>
  <c r="Z63" i="15" s="1"/>
  <c r="Y80" i="15"/>
  <c r="Y107" i="15"/>
  <c r="Z107" i="15" s="1"/>
  <c r="Y133" i="15"/>
  <c r="Z133" i="15" s="1"/>
  <c r="Y163" i="15"/>
  <c r="Y192" i="15"/>
  <c r="Z192" i="15" s="1"/>
  <c r="Y229" i="15"/>
  <c r="AA13" i="15"/>
  <c r="AB13" i="15" s="1"/>
  <c r="AA71" i="15"/>
  <c r="AB71" i="15" s="1"/>
  <c r="AA129" i="15"/>
  <c r="AA197" i="15"/>
  <c r="AA249" i="15"/>
  <c r="AE7" i="15"/>
  <c r="AE32" i="15"/>
  <c r="AE58" i="15"/>
  <c r="AF58" i="15" s="1"/>
  <c r="AE83" i="15"/>
  <c r="AE110" i="15"/>
  <c r="AF110" i="15" s="1"/>
  <c r="AE135" i="15"/>
  <c r="AF135" i="15" s="1"/>
  <c r="AE160" i="15"/>
  <c r="AF160" i="15" s="1"/>
  <c r="AE186" i="15"/>
  <c r="AF186" i="15" s="1"/>
  <c r="AE211" i="15"/>
  <c r="AF211" i="15" s="1"/>
  <c r="AE238" i="15"/>
  <c r="AF238" i="15" s="1"/>
  <c r="AG28" i="15"/>
  <c r="AG156" i="15"/>
  <c r="AI123" i="15"/>
  <c r="AJ123" i="15" s="1"/>
  <c r="AK88" i="15"/>
  <c r="AL88" i="15" s="1"/>
  <c r="AK209" i="15"/>
  <c r="AO157" i="15"/>
  <c r="AP157" i="15" s="1"/>
  <c r="AA60" i="15"/>
  <c r="AB60" i="15" s="1"/>
  <c r="AA112" i="15"/>
  <c r="AB112" i="15" s="1"/>
  <c r="AA175" i="15"/>
  <c r="AB175" i="15" s="1"/>
  <c r="AA241" i="15"/>
  <c r="AA61" i="15"/>
  <c r="AB61" i="15" s="1"/>
  <c r="AA193" i="15"/>
  <c r="AB193" i="15" s="1"/>
  <c r="AE203" i="15"/>
  <c r="AF203" i="15" s="1"/>
  <c r="AA23" i="15"/>
  <c r="AB23" i="15" s="1"/>
  <c r="AA78" i="15"/>
  <c r="AA144" i="15"/>
  <c r="AB144" i="15" s="1"/>
  <c r="AA198" i="15"/>
  <c r="AE8" i="15"/>
  <c r="AF8" i="15" s="1"/>
  <c r="AE34" i="15"/>
  <c r="AF34" i="15" s="1"/>
  <c r="AE59" i="15"/>
  <c r="AF59" i="15" s="1"/>
  <c r="AE86" i="15"/>
  <c r="AF86" i="15" s="1"/>
  <c r="AE111" i="15"/>
  <c r="AE136" i="15"/>
  <c r="AF136" i="15" s="1"/>
  <c r="AE162" i="15"/>
  <c r="AF162" i="15" s="1"/>
  <c r="AE187" i="15"/>
  <c r="AF187" i="15" s="1"/>
  <c r="AE214" i="15"/>
  <c r="AF214" i="15" s="1"/>
  <c r="AE239" i="15"/>
  <c r="AF239" i="15" s="1"/>
  <c r="AG31" i="15"/>
  <c r="AG159" i="15"/>
  <c r="AK120" i="15"/>
  <c r="AL120" i="15" s="1"/>
  <c r="AK216" i="15"/>
  <c r="AO166" i="15"/>
  <c r="AP166" i="15" s="1"/>
  <c r="W224" i="14"/>
  <c r="AA7" i="15"/>
  <c r="AB7" i="15" s="1"/>
  <c r="AA124" i="15"/>
  <c r="AB124" i="15" s="1"/>
  <c r="AA248" i="15"/>
  <c r="AE230" i="15"/>
  <c r="AF230" i="15" s="1"/>
  <c r="Q26" i="15"/>
  <c r="R26" i="15" s="1"/>
  <c r="Q154" i="15"/>
  <c r="R154" i="15" s="1"/>
  <c r="U10" i="15"/>
  <c r="V10" i="15" s="1"/>
  <c r="U58" i="15"/>
  <c r="U117" i="15"/>
  <c r="V117" i="15" s="1"/>
  <c r="U187" i="15"/>
  <c r="V187" i="15" s="1"/>
  <c r="W70" i="15"/>
  <c r="W155" i="15"/>
  <c r="X155" i="15" s="1"/>
  <c r="W238" i="15"/>
  <c r="X238" i="15" s="1"/>
  <c r="Y9" i="15"/>
  <c r="Z9" i="15" s="1"/>
  <c r="Y28" i="15"/>
  <c r="Z28" i="15" s="1"/>
  <c r="Y46" i="15"/>
  <c r="Y68" i="15"/>
  <c r="Y88" i="15"/>
  <c r="Z88" i="15" s="1"/>
  <c r="Y117" i="15"/>
  <c r="Y143" i="15"/>
  <c r="Z143" i="15" s="1"/>
  <c r="Y173" i="15"/>
  <c r="Y205" i="15"/>
  <c r="Z205" i="15" s="1"/>
  <c r="Y246" i="15"/>
  <c r="Z246" i="15" s="1"/>
  <c r="AA25" i="15"/>
  <c r="AB25" i="15" s="1"/>
  <c r="AA79" i="15"/>
  <c r="AB79" i="15" s="1"/>
  <c r="AA145" i="15"/>
  <c r="AB145" i="15" s="1"/>
  <c r="AA208" i="15"/>
  <c r="AB208" i="15" s="1"/>
  <c r="AC29" i="15"/>
  <c r="AE10" i="15"/>
  <c r="AF10" i="15" s="1"/>
  <c r="AE35" i="15"/>
  <c r="AF35" i="15" s="1"/>
  <c r="AE62" i="15"/>
  <c r="AF62" i="15" s="1"/>
  <c r="AE87" i="15"/>
  <c r="AF87" i="15" s="1"/>
  <c r="AE112" i="15"/>
  <c r="AF112" i="15" s="1"/>
  <c r="AE138" i="15"/>
  <c r="AF138" i="15" s="1"/>
  <c r="AE163" i="15"/>
  <c r="AE190" i="15"/>
  <c r="AE215" i="15"/>
  <c r="AF215" i="15" s="1"/>
  <c r="AE240" i="15"/>
  <c r="AF240" i="15" s="1"/>
  <c r="AG60" i="15"/>
  <c r="AG188" i="15"/>
  <c r="AK2" i="15"/>
  <c r="AK124" i="15"/>
  <c r="AL124" i="15" s="1"/>
  <c r="AK248" i="15"/>
  <c r="AL248" i="15" s="1"/>
  <c r="AO230" i="15"/>
  <c r="Q50" i="15"/>
  <c r="R50" i="15" s="1"/>
  <c r="Q178" i="15"/>
  <c r="R178" i="15" s="1"/>
  <c r="W82" i="15"/>
  <c r="X82" i="15" s="1"/>
  <c r="W165" i="15"/>
  <c r="X165" i="15" s="1"/>
  <c r="W248" i="15"/>
  <c r="X248" i="15" s="1"/>
  <c r="Y15" i="15"/>
  <c r="Z15" i="15" s="1"/>
  <c r="Y31" i="15"/>
  <c r="Y52" i="15"/>
  <c r="Z52" i="15" s="1"/>
  <c r="Y69" i="15"/>
  <c r="Y89" i="15"/>
  <c r="Y118" i="15"/>
  <c r="Z118" i="15" s="1"/>
  <c r="Y144" i="15"/>
  <c r="Y174" i="15"/>
  <c r="Y207" i="15"/>
  <c r="Z207" i="15" s="1"/>
  <c r="Y247" i="15"/>
  <c r="Z247" i="15" s="1"/>
  <c r="AA28" i="15"/>
  <c r="AB28" i="15" s="1"/>
  <c r="AA97" i="15"/>
  <c r="AB97" i="15" s="1"/>
  <c r="AA157" i="15"/>
  <c r="AB157" i="15" s="1"/>
  <c r="AA215" i="15"/>
  <c r="AB215" i="15" s="1"/>
  <c r="AC78" i="15"/>
  <c r="AE11" i="15"/>
  <c r="AF11" i="15" s="1"/>
  <c r="AE38" i="15"/>
  <c r="AF38" i="15" s="1"/>
  <c r="AE63" i="15"/>
  <c r="AF63" i="15" s="1"/>
  <c r="AE88" i="15"/>
  <c r="AE114" i="15"/>
  <c r="AF114" i="15" s="1"/>
  <c r="AE139" i="15"/>
  <c r="AE166" i="15"/>
  <c r="AF166" i="15" s="1"/>
  <c r="AE191" i="15"/>
  <c r="AE216" i="15"/>
  <c r="AE242" i="15"/>
  <c r="AF242" i="15" s="1"/>
  <c r="AG63" i="15"/>
  <c r="AG191" i="15"/>
  <c r="AK34" i="15"/>
  <c r="AL34" i="15" s="1"/>
  <c r="AK130" i="15"/>
  <c r="AK252" i="15"/>
  <c r="AL252" i="15" s="1"/>
  <c r="AO231" i="15"/>
  <c r="AE24" i="15"/>
  <c r="AE50" i="15"/>
  <c r="AF50" i="15" s="1"/>
  <c r="AE75" i="15"/>
  <c r="AE102" i="15"/>
  <c r="AF102" i="15" s="1"/>
  <c r="AE127" i="15"/>
  <c r="AF127" i="15" s="1"/>
  <c r="AE152" i="15"/>
  <c r="AF152" i="15" s="1"/>
  <c r="AE178" i="15"/>
  <c r="AG127" i="15"/>
  <c r="AL2" i="15"/>
  <c r="Q58" i="15"/>
  <c r="R58" i="15" s="1"/>
  <c r="Q186" i="15"/>
  <c r="R186" i="15" s="1"/>
  <c r="Y16" i="15"/>
  <c r="Z16" i="15" s="1"/>
  <c r="Y32" i="15"/>
  <c r="Z32" i="15" s="1"/>
  <c r="Y53" i="15"/>
  <c r="Y71" i="15"/>
  <c r="Z71" i="15" s="1"/>
  <c r="Y91" i="15"/>
  <c r="Y119" i="15"/>
  <c r="Y149" i="15"/>
  <c r="Z149" i="15" s="1"/>
  <c r="Y175" i="15"/>
  <c r="Z175" i="15" s="1"/>
  <c r="Y208" i="15"/>
  <c r="Z208" i="15" s="1"/>
  <c r="Y248" i="15"/>
  <c r="Z248" i="15" s="1"/>
  <c r="AA38" i="15"/>
  <c r="AA109" i="15"/>
  <c r="AB109" i="15" s="1"/>
  <c r="AA164" i="15"/>
  <c r="AB164" i="15" s="1"/>
  <c r="AA216" i="15"/>
  <c r="AB216" i="15" s="1"/>
  <c r="AC121" i="15"/>
  <c r="AD121" i="15" s="1"/>
  <c r="AE19" i="15"/>
  <c r="AF19" i="15" s="1"/>
  <c r="AE46" i="15"/>
  <c r="AF46" i="15" s="1"/>
  <c r="AE71" i="15"/>
  <c r="AF71" i="15" s="1"/>
  <c r="AE96" i="15"/>
  <c r="AF96" i="15" s="1"/>
  <c r="AE122" i="15"/>
  <c r="AF122" i="15" s="1"/>
  <c r="AE147" i="15"/>
  <c r="AF147" i="15" s="1"/>
  <c r="AE174" i="15"/>
  <c r="AE199" i="15"/>
  <c r="AF199" i="15" s="1"/>
  <c r="AE224" i="15"/>
  <c r="AF224" i="15" s="1"/>
  <c r="AE250" i="15"/>
  <c r="AF250" i="15" s="1"/>
  <c r="AG92" i="15"/>
  <c r="AG220" i="15"/>
  <c r="AK38" i="15"/>
  <c r="AL38" i="15" s="1"/>
  <c r="AK162" i="15"/>
  <c r="AL162" i="15" s="1"/>
  <c r="AO60" i="14"/>
  <c r="AP60" i="14" s="1"/>
  <c r="Q82" i="15"/>
  <c r="R82" i="15" s="1"/>
  <c r="Q212" i="15"/>
  <c r="R212" i="15" s="1"/>
  <c r="AA56" i="15"/>
  <c r="AB56" i="15" s="1"/>
  <c r="AA111" i="15"/>
  <c r="AB111" i="15" s="1"/>
  <c r="AA165" i="15"/>
  <c r="AB165" i="15" s="1"/>
  <c r="AA231" i="15"/>
  <c r="AB231" i="15" s="1"/>
  <c r="AC178" i="15"/>
  <c r="AE22" i="15"/>
  <c r="AF22" i="15" s="1"/>
  <c r="AE47" i="15"/>
  <c r="AF47" i="15" s="1"/>
  <c r="AE72" i="15"/>
  <c r="AE98" i="15"/>
  <c r="AF98" i="15" s="1"/>
  <c r="AE123" i="15"/>
  <c r="AF123" i="15" s="1"/>
  <c r="AE150" i="15"/>
  <c r="AF150" i="15" s="1"/>
  <c r="AE175" i="15"/>
  <c r="AF175" i="15" s="1"/>
  <c r="AE200" i="15"/>
  <c r="AE226" i="15"/>
  <c r="AF226" i="15" s="1"/>
  <c r="AE251" i="15"/>
  <c r="AF251" i="15" s="1"/>
  <c r="AG95" i="15"/>
  <c r="AK45" i="15"/>
  <c r="AL45" i="15" s="1"/>
  <c r="AK166" i="15"/>
  <c r="AL166" i="15" s="1"/>
  <c r="AI41" i="14"/>
  <c r="AJ41" i="14" s="1"/>
  <c r="AI178" i="14"/>
  <c r="AJ178" i="14" s="1"/>
  <c r="AO63" i="14"/>
  <c r="AO184" i="14"/>
  <c r="AP184" i="14" s="1"/>
  <c r="Q24" i="15"/>
  <c r="R24" i="15" s="1"/>
  <c r="Q56" i="15"/>
  <c r="R56" i="15" s="1"/>
  <c r="Q88" i="15"/>
  <c r="R88" i="15" s="1"/>
  <c r="Q120" i="15"/>
  <c r="R120" i="15" s="1"/>
  <c r="Q152" i="15"/>
  <c r="R152" i="15" s="1"/>
  <c r="Q184" i="15"/>
  <c r="R184" i="15" s="1"/>
  <c r="Q219" i="15"/>
  <c r="R219" i="15" s="1"/>
  <c r="U247" i="15"/>
  <c r="V247" i="15" s="1"/>
  <c r="U253" i="15"/>
  <c r="U237" i="15"/>
  <c r="U225" i="15"/>
  <c r="V225" i="15" s="1"/>
  <c r="U209" i="15"/>
  <c r="V209" i="15" s="1"/>
  <c r="U196" i="15"/>
  <c r="U180" i="15"/>
  <c r="V180" i="15" s="1"/>
  <c r="U164" i="15"/>
  <c r="V164" i="15" s="1"/>
  <c r="U151" i="15"/>
  <c r="V151" i="15" s="1"/>
  <c r="U135" i="15"/>
  <c r="U123" i="15"/>
  <c r="U107" i="15"/>
  <c r="V107" i="15" s="1"/>
  <c r="U91" i="15"/>
  <c r="V91" i="15" s="1"/>
  <c r="U78" i="15"/>
  <c r="V78" i="15" s="1"/>
  <c r="U67" i="15"/>
  <c r="V67" i="15" s="1"/>
  <c r="U54" i="15"/>
  <c r="U44" i="15"/>
  <c r="V44" i="15" s="1"/>
  <c r="U34" i="15"/>
  <c r="U22" i="15"/>
  <c r="U11" i="15"/>
  <c r="U21" i="15"/>
  <c r="V21" i="15" s="1"/>
  <c r="U35" i="15"/>
  <c r="U46" i="15"/>
  <c r="V46" i="15" s="1"/>
  <c r="U59" i="15"/>
  <c r="U71" i="15"/>
  <c r="V71" i="15" s="1"/>
  <c r="U87" i="15"/>
  <c r="U105" i="15"/>
  <c r="U118" i="15"/>
  <c r="V118" i="15" s="1"/>
  <c r="U137" i="15"/>
  <c r="V137" i="15" s="1"/>
  <c r="U154" i="15"/>
  <c r="U171" i="15"/>
  <c r="U188" i="15"/>
  <c r="U205" i="15"/>
  <c r="V205" i="15" s="1"/>
  <c r="U219" i="15"/>
  <c r="V219" i="15" s="1"/>
  <c r="U236" i="15"/>
  <c r="U254" i="15"/>
  <c r="V254" i="15" s="1"/>
  <c r="W10" i="15"/>
  <c r="X10" i="15" s="1"/>
  <c r="W20" i="15"/>
  <c r="W30" i="15"/>
  <c r="X30" i="15" s="1"/>
  <c r="W40" i="15"/>
  <c r="W51" i="15"/>
  <c r="X51" i="15" s="1"/>
  <c r="W61" i="15"/>
  <c r="W72" i="15"/>
  <c r="W83" i="15"/>
  <c r="X83" i="15" s="1"/>
  <c r="W93" i="15"/>
  <c r="X93" i="15" s="1"/>
  <c r="W103" i="15"/>
  <c r="W114" i="15"/>
  <c r="X114" i="15" s="1"/>
  <c r="W124" i="15"/>
  <c r="W134" i="15"/>
  <c r="X134" i="15" s="1"/>
  <c r="W146" i="15"/>
  <c r="W156" i="15"/>
  <c r="W166" i="15"/>
  <c r="W176" i="15"/>
  <c r="X176" i="15" s="1"/>
  <c r="W187" i="15"/>
  <c r="X187" i="15" s="1"/>
  <c r="W197" i="15"/>
  <c r="X197" i="15" s="1"/>
  <c r="W207" i="15"/>
  <c r="X207" i="15" s="1"/>
  <c r="W219" i="15"/>
  <c r="X219" i="15" s="1"/>
  <c r="W229" i="15"/>
  <c r="W239" i="15"/>
  <c r="AC30" i="15"/>
  <c r="AD30" i="15" s="1"/>
  <c r="AC79" i="15"/>
  <c r="AD79" i="15" s="1"/>
  <c r="AC130" i="15"/>
  <c r="AC184" i="15"/>
  <c r="AD184" i="15" s="1"/>
  <c r="AI187" i="15"/>
  <c r="AJ187" i="15" s="1"/>
  <c r="W249" i="15"/>
  <c r="X249" i="15" s="1"/>
  <c r="W254" i="15"/>
  <c r="W245" i="15"/>
  <c r="W236" i="15"/>
  <c r="X236" i="15" s="1"/>
  <c r="W227" i="15"/>
  <c r="X227" i="15" s="1"/>
  <c r="W218" i="15"/>
  <c r="W208" i="15"/>
  <c r="X208" i="15" s="1"/>
  <c r="W199" i="15"/>
  <c r="X199" i="15" s="1"/>
  <c r="W190" i="15"/>
  <c r="X190" i="15" s="1"/>
  <c r="W181" i="15"/>
  <c r="W172" i="15"/>
  <c r="W163" i="15"/>
  <c r="X163" i="15" s="1"/>
  <c r="W154" i="15"/>
  <c r="X154" i="15" s="1"/>
  <c r="W144" i="15"/>
  <c r="W135" i="15"/>
  <c r="X135" i="15" s="1"/>
  <c r="W126" i="15"/>
  <c r="X126" i="15" s="1"/>
  <c r="W117" i="15"/>
  <c r="X117" i="15" s="1"/>
  <c r="W108" i="15"/>
  <c r="W99" i="15"/>
  <c r="W90" i="15"/>
  <c r="W80" i="15"/>
  <c r="X80" i="15" s="1"/>
  <c r="W71" i="15"/>
  <c r="W62" i="15"/>
  <c r="X62" i="15" s="1"/>
  <c r="W53" i="15"/>
  <c r="X53" i="15" s="1"/>
  <c r="W44" i="15"/>
  <c r="X44" i="15" s="1"/>
  <c r="W35" i="15"/>
  <c r="W26" i="15"/>
  <c r="X26" i="15" s="1"/>
  <c r="W16" i="15"/>
  <c r="X16" i="15" s="1"/>
  <c r="W7" i="15"/>
  <c r="W11" i="15"/>
  <c r="W21" i="15"/>
  <c r="X21" i="15" s="1"/>
  <c r="W31" i="15"/>
  <c r="X31" i="15" s="1"/>
  <c r="W42" i="15"/>
  <c r="X42" i="15" s="1"/>
  <c r="W52" i="15"/>
  <c r="X52" i="15" s="1"/>
  <c r="W63" i="15"/>
  <c r="X63" i="15" s="1"/>
  <c r="W74" i="15"/>
  <c r="X74" i="15" s="1"/>
  <c r="W84" i="15"/>
  <c r="X84" i="15" s="1"/>
  <c r="W94" i="15"/>
  <c r="X94" i="15" s="1"/>
  <c r="W104" i="15"/>
  <c r="X104" i="15" s="1"/>
  <c r="W115" i="15"/>
  <c r="X115" i="15" s="1"/>
  <c r="W125" i="15"/>
  <c r="X125" i="15" s="1"/>
  <c r="W136" i="15"/>
  <c r="W147" i="15"/>
  <c r="W157" i="15"/>
  <c r="X157" i="15" s="1"/>
  <c r="W167" i="15"/>
  <c r="X167" i="15" s="1"/>
  <c r="W178" i="15"/>
  <c r="W188" i="15"/>
  <c r="W198" i="15"/>
  <c r="X198" i="15" s="1"/>
  <c r="W210" i="15"/>
  <c r="X210" i="15" s="1"/>
  <c r="W220" i="15"/>
  <c r="X220" i="15" s="1"/>
  <c r="W230" i="15"/>
  <c r="W240" i="15"/>
  <c r="X240" i="15" s="1"/>
  <c r="W251" i="15"/>
  <c r="X251" i="15" s="1"/>
  <c r="AC246" i="15"/>
  <c r="AD246" i="15" s="1"/>
  <c r="AC248" i="15"/>
  <c r="AD248" i="15" s="1"/>
  <c r="AC230" i="15"/>
  <c r="AD230" i="15" s="1"/>
  <c r="AC210" i="15"/>
  <c r="AD210" i="15" s="1"/>
  <c r="AC197" i="15"/>
  <c r="AD197" i="15" s="1"/>
  <c r="AC177" i="15"/>
  <c r="AC162" i="15"/>
  <c r="AD162" i="15" s="1"/>
  <c r="AC144" i="15"/>
  <c r="AD144" i="15" s="1"/>
  <c r="AC126" i="15"/>
  <c r="AC111" i="15"/>
  <c r="AD111" i="15" s="1"/>
  <c r="AC242" i="15"/>
  <c r="AD242" i="15" s="1"/>
  <c r="AC229" i="15"/>
  <c r="AD229" i="15" s="1"/>
  <c r="AC209" i="15"/>
  <c r="AD209" i="15" s="1"/>
  <c r="AC194" i="15"/>
  <c r="AC176" i="15"/>
  <c r="AD176" i="15" s="1"/>
  <c r="AC158" i="15"/>
  <c r="AD158" i="15" s="1"/>
  <c r="AC143" i="15"/>
  <c r="AD143" i="15" s="1"/>
  <c r="AC125" i="15"/>
  <c r="AD125" i="15" s="1"/>
  <c r="AC110" i="15"/>
  <c r="AD110" i="15" s="1"/>
  <c r="AC90" i="15"/>
  <c r="AD90" i="15" s="1"/>
  <c r="AC72" i="15"/>
  <c r="AC57" i="15"/>
  <c r="AC39" i="15"/>
  <c r="AD39" i="15" s="1"/>
  <c r="AC24" i="15"/>
  <c r="AD24" i="15" s="1"/>
  <c r="AC6" i="15"/>
  <c r="AC241" i="15"/>
  <c r="AD241" i="15" s="1"/>
  <c r="AC226" i="15"/>
  <c r="AD226" i="15" s="1"/>
  <c r="AC208" i="15"/>
  <c r="AD208" i="15" s="1"/>
  <c r="AC190" i="15"/>
  <c r="AD190" i="15" s="1"/>
  <c r="AC175" i="15"/>
  <c r="AD175" i="15" s="1"/>
  <c r="AC157" i="15"/>
  <c r="AD157" i="15" s="1"/>
  <c r="AC142" i="15"/>
  <c r="AD142" i="15" s="1"/>
  <c r="AC122" i="15"/>
  <c r="AC104" i="15"/>
  <c r="AD104" i="15" s="1"/>
  <c r="AC89" i="15"/>
  <c r="AD89" i="15" s="1"/>
  <c r="AC71" i="15"/>
  <c r="AD71" i="15" s="1"/>
  <c r="AC56" i="15"/>
  <c r="AC38" i="15"/>
  <c r="AC18" i="15"/>
  <c r="AD18" i="15" s="1"/>
  <c r="AC5" i="15"/>
  <c r="AD5" i="15" s="1"/>
  <c r="AC250" i="15"/>
  <c r="AD250" i="15" s="1"/>
  <c r="AC221" i="15"/>
  <c r="AD221" i="15" s="1"/>
  <c r="AC198" i="15"/>
  <c r="AD198" i="15" s="1"/>
  <c r="AC167" i="15"/>
  <c r="AD167" i="15" s="1"/>
  <c r="AC136" i="15"/>
  <c r="AD136" i="15" s="1"/>
  <c r="AC113" i="15"/>
  <c r="AD113" i="15" s="1"/>
  <c r="AC88" i="15"/>
  <c r="AD88" i="15" s="1"/>
  <c r="AC66" i="15"/>
  <c r="AD66" i="15" s="1"/>
  <c r="AC46" i="15"/>
  <c r="AD46" i="15" s="1"/>
  <c r="AC17" i="15"/>
  <c r="AD17" i="15" s="1"/>
  <c r="AC249" i="15"/>
  <c r="AD249" i="15" s="1"/>
  <c r="AC218" i="15"/>
  <c r="AD218" i="15" s="1"/>
  <c r="AC189" i="15"/>
  <c r="AC166" i="15"/>
  <c r="AC135" i="15"/>
  <c r="AD135" i="15" s="1"/>
  <c r="AC112" i="15"/>
  <c r="AD112" i="15" s="1"/>
  <c r="AC82" i="15"/>
  <c r="AC62" i="15"/>
  <c r="AD62" i="15" s="1"/>
  <c r="AC40" i="15"/>
  <c r="AD40" i="15" s="1"/>
  <c r="AC16" i="15"/>
  <c r="AD16" i="15" s="1"/>
  <c r="AC240" i="15"/>
  <c r="AC217" i="15"/>
  <c r="AD217" i="15" s="1"/>
  <c r="AC186" i="15"/>
  <c r="AD186" i="15" s="1"/>
  <c r="AC165" i="15"/>
  <c r="AC134" i="15"/>
  <c r="AC103" i="15"/>
  <c r="AD103" i="15" s="1"/>
  <c r="AC81" i="15"/>
  <c r="AD81" i="15" s="1"/>
  <c r="AC61" i="15"/>
  <c r="AD61" i="15" s="1"/>
  <c r="AC37" i="15"/>
  <c r="AC15" i="15"/>
  <c r="AC239" i="15"/>
  <c r="AD239" i="15" s="1"/>
  <c r="AC216" i="15"/>
  <c r="AD216" i="15" s="1"/>
  <c r="AC185" i="15"/>
  <c r="AC154" i="15"/>
  <c r="AD154" i="15" s="1"/>
  <c r="AC133" i="15"/>
  <c r="AD133" i="15" s="1"/>
  <c r="AC102" i="15"/>
  <c r="AD102" i="15" s="1"/>
  <c r="AC80" i="15"/>
  <c r="AD80" i="15" s="1"/>
  <c r="AC58" i="15"/>
  <c r="AD58" i="15" s="1"/>
  <c r="AC34" i="15"/>
  <c r="AC14" i="15"/>
  <c r="AD14" i="15" s="1"/>
  <c r="AC47" i="15"/>
  <c r="AC93" i="15"/>
  <c r="AD93" i="15" s="1"/>
  <c r="AC145" i="15"/>
  <c r="AD145" i="15" s="1"/>
  <c r="AC199" i="15"/>
  <c r="AD199" i="15" s="1"/>
  <c r="AC253" i="15"/>
  <c r="AD253" i="15" s="1"/>
  <c r="AI188" i="15"/>
  <c r="AJ188" i="15" s="1"/>
  <c r="AI75" i="14"/>
  <c r="AJ75" i="14" s="1"/>
  <c r="AI227" i="14"/>
  <c r="AJ227" i="14" s="1"/>
  <c r="AO95" i="14"/>
  <c r="AO219" i="14"/>
  <c r="Q32" i="15"/>
  <c r="R32" i="15" s="1"/>
  <c r="Q64" i="15"/>
  <c r="R64" i="15" s="1"/>
  <c r="Q96" i="15"/>
  <c r="R96" i="15" s="1"/>
  <c r="Q128" i="15"/>
  <c r="R128" i="15" s="1"/>
  <c r="Q160" i="15"/>
  <c r="R160" i="15" s="1"/>
  <c r="Q192" i="15"/>
  <c r="R192" i="15" s="1"/>
  <c r="Q228" i="15"/>
  <c r="R228" i="15" s="1"/>
  <c r="U3" i="15"/>
  <c r="V3" i="15" s="1"/>
  <c r="U13" i="15"/>
  <c r="V13" i="15" s="1"/>
  <c r="U26" i="15"/>
  <c r="V26" i="15" s="1"/>
  <c r="U37" i="15"/>
  <c r="U50" i="15"/>
  <c r="U61" i="15"/>
  <c r="V61" i="15" s="1"/>
  <c r="U76" i="15"/>
  <c r="V76" i="15" s="1"/>
  <c r="U90" i="15"/>
  <c r="U108" i="15"/>
  <c r="V108" i="15" s="1"/>
  <c r="U125" i="15"/>
  <c r="V125" i="15" s="1"/>
  <c r="U142" i="15"/>
  <c r="V142" i="15" s="1"/>
  <c r="U159" i="15"/>
  <c r="U173" i="15"/>
  <c r="V173" i="15" s="1"/>
  <c r="U190" i="15"/>
  <c r="V190" i="15" s="1"/>
  <c r="U207" i="15"/>
  <c r="V207" i="15" s="1"/>
  <c r="U226" i="15"/>
  <c r="U243" i="15"/>
  <c r="V243" i="15" s="1"/>
  <c r="W2" i="15"/>
  <c r="X2" i="15" s="1"/>
  <c r="W12" i="15"/>
  <c r="X12" i="15" s="1"/>
  <c r="W22" i="15"/>
  <c r="X22" i="15" s="1"/>
  <c r="W32" i="15"/>
  <c r="W43" i="15"/>
  <c r="X43" i="15" s="1"/>
  <c r="W54" i="15"/>
  <c r="X54" i="15" s="1"/>
  <c r="W64" i="15"/>
  <c r="W75" i="15"/>
  <c r="X75" i="15" s="1"/>
  <c r="W85" i="15"/>
  <c r="X85" i="15" s="1"/>
  <c r="W95" i="15"/>
  <c r="X95" i="15" s="1"/>
  <c r="W106" i="15"/>
  <c r="X106" i="15" s="1"/>
  <c r="W116" i="15"/>
  <c r="W127" i="15"/>
  <c r="W138" i="15"/>
  <c r="X138" i="15" s="1"/>
  <c r="W148" i="15"/>
  <c r="X148" i="15" s="1"/>
  <c r="W158" i="15"/>
  <c r="X158" i="15" s="1"/>
  <c r="W168" i="15"/>
  <c r="X168" i="15" s="1"/>
  <c r="W179" i="15"/>
  <c r="X179" i="15" s="1"/>
  <c r="W189" i="15"/>
  <c r="X189" i="15" s="1"/>
  <c r="W200" i="15"/>
  <c r="X200" i="15" s="1"/>
  <c r="W211" i="15"/>
  <c r="X211" i="15" s="1"/>
  <c r="W221" i="15"/>
  <c r="W231" i="15"/>
  <c r="W242" i="15"/>
  <c r="X242" i="15" s="1"/>
  <c r="W252" i="15"/>
  <c r="X252" i="15" s="1"/>
  <c r="AC2" i="15"/>
  <c r="AD2" i="15" s="1"/>
  <c r="AC48" i="15"/>
  <c r="AD48" i="15" s="1"/>
  <c r="AC94" i="15"/>
  <c r="AC146" i="15"/>
  <c r="AD146" i="15" s="1"/>
  <c r="AC200" i="15"/>
  <c r="AD200" i="15" s="1"/>
  <c r="AC254" i="15"/>
  <c r="AI91" i="14"/>
  <c r="AJ91" i="14" s="1"/>
  <c r="AI240" i="14"/>
  <c r="AJ240" i="14" s="1"/>
  <c r="AO118" i="14"/>
  <c r="AP118" i="14" s="1"/>
  <c r="V2" i="15"/>
  <c r="Q2" i="15"/>
  <c r="R2" i="15" s="1"/>
  <c r="Q34" i="15"/>
  <c r="R34" i="15" s="1"/>
  <c r="Q66" i="15"/>
  <c r="R66" i="15" s="1"/>
  <c r="Q98" i="15"/>
  <c r="R98" i="15" s="1"/>
  <c r="Q130" i="15"/>
  <c r="R130" i="15" s="1"/>
  <c r="Q162" i="15"/>
  <c r="R162" i="15" s="1"/>
  <c r="Q194" i="15"/>
  <c r="R194" i="15" s="1"/>
  <c r="Q230" i="15"/>
  <c r="R230" i="15" s="1"/>
  <c r="U4" i="15"/>
  <c r="U14" i="15"/>
  <c r="V14" i="15" s="1"/>
  <c r="U27" i="15"/>
  <c r="V27" i="15" s="1"/>
  <c r="U38" i="15"/>
  <c r="V38" i="15" s="1"/>
  <c r="U51" i="15"/>
  <c r="V51" i="15" s="1"/>
  <c r="U62" i="15"/>
  <c r="V62" i="15" s="1"/>
  <c r="U77" i="15"/>
  <c r="V77" i="15" s="1"/>
  <c r="U95" i="15"/>
  <c r="U109" i="15"/>
  <c r="V109" i="15" s="1"/>
  <c r="U126" i="15"/>
  <c r="V126" i="15" s="1"/>
  <c r="U143" i="15"/>
  <c r="V143" i="15" s="1"/>
  <c r="U161" i="15"/>
  <c r="U178" i="15"/>
  <c r="V178" i="15" s="1"/>
  <c r="U191" i="15"/>
  <c r="V191" i="15" s="1"/>
  <c r="U210" i="15"/>
  <c r="V210" i="15" s="1"/>
  <c r="U227" i="15"/>
  <c r="V227" i="15" s="1"/>
  <c r="U244" i="15"/>
  <c r="W3" i="15"/>
  <c r="X3" i="15" s="1"/>
  <c r="W13" i="15"/>
  <c r="X13" i="15" s="1"/>
  <c r="W23" i="15"/>
  <c r="W34" i="15"/>
  <c r="X34" i="15" s="1"/>
  <c r="W45" i="15"/>
  <c r="X45" i="15" s="1"/>
  <c r="W55" i="15"/>
  <c r="X55" i="15" s="1"/>
  <c r="W66" i="15"/>
  <c r="X66" i="15" s="1"/>
  <c r="W76" i="15"/>
  <c r="W86" i="15"/>
  <c r="X86" i="15" s="1"/>
  <c r="W96" i="15"/>
  <c r="X96" i="15" s="1"/>
  <c r="W107" i="15"/>
  <c r="X107" i="15" s="1"/>
  <c r="W118" i="15"/>
  <c r="X118" i="15" s="1"/>
  <c r="W128" i="15"/>
  <c r="X128" i="15" s="1"/>
  <c r="W139" i="15"/>
  <c r="X139" i="15" s="1"/>
  <c r="W149" i="15"/>
  <c r="W159" i="15"/>
  <c r="W170" i="15"/>
  <c r="X170" i="15" s="1"/>
  <c r="W180" i="15"/>
  <c r="X180" i="15" s="1"/>
  <c r="W191" i="15"/>
  <c r="W202" i="15"/>
  <c r="X202" i="15" s="1"/>
  <c r="W212" i="15"/>
  <c r="X212" i="15" s="1"/>
  <c r="W222" i="15"/>
  <c r="X222" i="15" s="1"/>
  <c r="W232" i="15"/>
  <c r="W243" i="15"/>
  <c r="X243" i="15" s="1"/>
  <c r="W253" i="15"/>
  <c r="X253" i="15" s="1"/>
  <c r="AC7" i="15"/>
  <c r="AD7" i="15" s="1"/>
  <c r="AC49" i="15"/>
  <c r="AD49" i="15" s="1"/>
  <c r="AC98" i="15"/>
  <c r="AD98" i="15" s="1"/>
  <c r="AC152" i="15"/>
  <c r="AD152" i="15" s="1"/>
  <c r="AC206" i="15"/>
  <c r="AI240" i="15"/>
  <c r="AJ240" i="15" s="1"/>
  <c r="AI247" i="15"/>
  <c r="AJ247" i="15" s="1"/>
  <c r="AI209" i="15"/>
  <c r="AJ209" i="15" s="1"/>
  <c r="AI172" i="15"/>
  <c r="AJ172" i="15" s="1"/>
  <c r="AI144" i="15"/>
  <c r="AJ144" i="15" s="1"/>
  <c r="AI107" i="15"/>
  <c r="AJ107" i="15" s="1"/>
  <c r="AI76" i="15"/>
  <c r="AJ76" i="15" s="1"/>
  <c r="AI42" i="15"/>
  <c r="AJ42" i="15" s="1"/>
  <c r="AI13" i="15"/>
  <c r="AJ13" i="15" s="1"/>
  <c r="AI236" i="15"/>
  <c r="AJ236" i="15" s="1"/>
  <c r="AI208" i="15"/>
  <c r="AJ208" i="15" s="1"/>
  <c r="AI171" i="15"/>
  <c r="AJ171" i="15" s="1"/>
  <c r="AI140" i="15"/>
  <c r="AJ140" i="15" s="1"/>
  <c r="AI103" i="15"/>
  <c r="AJ103" i="15" s="1"/>
  <c r="AI65" i="15"/>
  <c r="AJ65" i="15" s="1"/>
  <c r="AI41" i="15"/>
  <c r="AJ41" i="15" s="1"/>
  <c r="AI12" i="15"/>
  <c r="AJ12" i="15" s="1"/>
  <c r="AI235" i="15"/>
  <c r="AJ235" i="15" s="1"/>
  <c r="AI204" i="15"/>
  <c r="AJ204" i="15" s="1"/>
  <c r="AI167" i="15"/>
  <c r="AJ167" i="15" s="1"/>
  <c r="AI129" i="15"/>
  <c r="AJ129" i="15" s="1"/>
  <c r="AI101" i="15"/>
  <c r="AJ101" i="15" s="1"/>
  <c r="AI64" i="15"/>
  <c r="AJ64" i="15" s="1"/>
  <c r="AI37" i="15"/>
  <c r="AJ37" i="15" s="1"/>
  <c r="AI9" i="15"/>
  <c r="AJ9" i="15" s="1"/>
  <c r="AI231" i="15"/>
  <c r="AJ231" i="15" s="1"/>
  <c r="AI193" i="15"/>
  <c r="AJ193" i="15" s="1"/>
  <c r="AI165" i="15"/>
  <c r="AJ165" i="15" s="1"/>
  <c r="AI128" i="15"/>
  <c r="AJ128" i="15" s="1"/>
  <c r="AI97" i="15"/>
  <c r="AJ97" i="15" s="1"/>
  <c r="AI60" i="15"/>
  <c r="AJ60" i="15" s="1"/>
  <c r="AI29" i="15"/>
  <c r="AJ29" i="15" s="1"/>
  <c r="AI8" i="15"/>
  <c r="AJ8" i="15" s="1"/>
  <c r="AI251" i="15"/>
  <c r="AJ251" i="15" s="1"/>
  <c r="AI183" i="15"/>
  <c r="AJ183" i="15" s="1"/>
  <c r="AI108" i="15"/>
  <c r="AJ108" i="15" s="1"/>
  <c r="AI45" i="15"/>
  <c r="AJ45" i="15" s="1"/>
  <c r="AI229" i="15"/>
  <c r="AJ229" i="15" s="1"/>
  <c r="AI161" i="15"/>
  <c r="AJ161" i="15" s="1"/>
  <c r="AI87" i="15"/>
  <c r="AJ87" i="15" s="1"/>
  <c r="AI28" i="15"/>
  <c r="AJ28" i="15" s="1"/>
  <c r="AI225" i="15"/>
  <c r="AJ225" i="15" s="1"/>
  <c r="AI151" i="15"/>
  <c r="AJ151" i="15" s="1"/>
  <c r="AI85" i="15"/>
  <c r="AJ85" i="15" s="1"/>
  <c r="AI25" i="15"/>
  <c r="AJ25" i="15" s="1"/>
  <c r="AI215" i="15"/>
  <c r="AJ215" i="15" s="1"/>
  <c r="AI149" i="15"/>
  <c r="AJ149" i="15" s="1"/>
  <c r="AI81" i="15"/>
  <c r="AJ81" i="15" s="1"/>
  <c r="AI24" i="15"/>
  <c r="AJ24" i="15" s="1"/>
  <c r="AI213" i="15"/>
  <c r="AJ213" i="15" s="1"/>
  <c r="AI145" i="15"/>
  <c r="AJ145" i="15" s="1"/>
  <c r="AI80" i="15"/>
  <c r="AJ80" i="15" s="1"/>
  <c r="AI21" i="15"/>
  <c r="AJ21" i="15" s="1"/>
  <c r="AI192" i="15"/>
  <c r="AJ192" i="15" s="1"/>
  <c r="AI124" i="15"/>
  <c r="AJ124" i="15" s="1"/>
  <c r="AI59" i="15"/>
  <c r="AJ59" i="15" s="1"/>
  <c r="AI5" i="15"/>
  <c r="AJ5" i="15" s="1"/>
  <c r="AI119" i="14"/>
  <c r="AJ119" i="14" s="1"/>
  <c r="AO124" i="14"/>
  <c r="AP124" i="14" s="1"/>
  <c r="Q8" i="15"/>
  <c r="R8" i="15" s="1"/>
  <c r="Q40" i="15"/>
  <c r="R40" i="15" s="1"/>
  <c r="Q72" i="15"/>
  <c r="R72" i="15" s="1"/>
  <c r="Q104" i="15"/>
  <c r="R104" i="15" s="1"/>
  <c r="Q136" i="15"/>
  <c r="R136" i="15" s="1"/>
  <c r="Q168" i="15"/>
  <c r="R168" i="15" s="1"/>
  <c r="Q201" i="15"/>
  <c r="R201" i="15" s="1"/>
  <c r="Q237" i="15"/>
  <c r="R237" i="15" s="1"/>
  <c r="U5" i="15"/>
  <c r="V5" i="15" s="1"/>
  <c r="U15" i="15"/>
  <c r="U28" i="15"/>
  <c r="V28" i="15" s="1"/>
  <c r="U39" i="15"/>
  <c r="V39" i="15" s="1"/>
  <c r="U52" i="15"/>
  <c r="U63" i="15"/>
  <c r="V63" i="15" s="1"/>
  <c r="U79" i="15"/>
  <c r="U97" i="15"/>
  <c r="V97" i="15" s="1"/>
  <c r="U114" i="15"/>
  <c r="U127" i="15"/>
  <c r="U145" i="15"/>
  <c r="U162" i="15"/>
  <c r="V162" i="15" s="1"/>
  <c r="U179" i="15"/>
  <c r="V179" i="15" s="1"/>
  <c r="U197" i="15"/>
  <c r="U214" i="15"/>
  <c r="U228" i="15"/>
  <c r="V228" i="15" s="1"/>
  <c r="U245" i="15"/>
  <c r="V245" i="15" s="1"/>
  <c r="W4" i="15"/>
  <c r="X4" i="15" s="1"/>
  <c r="W14" i="15"/>
  <c r="X14" i="15" s="1"/>
  <c r="W24" i="15"/>
  <c r="X24" i="15" s="1"/>
  <c r="W36" i="15"/>
  <c r="X36" i="15" s="1"/>
  <c r="W46" i="15"/>
  <c r="X46" i="15" s="1"/>
  <c r="W56" i="15"/>
  <c r="W67" i="15"/>
  <c r="X67" i="15" s="1"/>
  <c r="W77" i="15"/>
  <c r="X77" i="15" s="1"/>
  <c r="W87" i="15"/>
  <c r="W98" i="15"/>
  <c r="X98" i="15" s="1"/>
  <c r="W109" i="15"/>
  <c r="X109" i="15" s="1"/>
  <c r="W119" i="15"/>
  <c r="X119" i="15" s="1"/>
  <c r="W130" i="15"/>
  <c r="W140" i="15"/>
  <c r="W150" i="15"/>
  <c r="W160" i="15"/>
  <c r="X160" i="15" s="1"/>
  <c r="W171" i="15"/>
  <c r="W182" i="15"/>
  <c r="X182" i="15" s="1"/>
  <c r="W192" i="15"/>
  <c r="X192" i="15" s="1"/>
  <c r="W203" i="15"/>
  <c r="X203" i="15" s="1"/>
  <c r="W213" i="15"/>
  <c r="W223" i="15"/>
  <c r="W234" i="15"/>
  <c r="W244" i="15"/>
  <c r="X244" i="15" s="1"/>
  <c r="AC8" i="15"/>
  <c r="AC50" i="15"/>
  <c r="AD50" i="15" s="1"/>
  <c r="AC101" i="15"/>
  <c r="AD101" i="15" s="1"/>
  <c r="AC153" i="15"/>
  <c r="AD153" i="15" s="1"/>
  <c r="AC207" i="15"/>
  <c r="AI47" i="15"/>
  <c r="AJ47" i="15" s="1"/>
  <c r="AI128" i="14"/>
  <c r="AJ128" i="14" s="1"/>
  <c r="AO150" i="14"/>
  <c r="AP150" i="14" s="1"/>
  <c r="Q10" i="15"/>
  <c r="R10" i="15" s="1"/>
  <c r="Q42" i="15"/>
  <c r="R42" i="15" s="1"/>
  <c r="Q74" i="15"/>
  <c r="R74" i="15" s="1"/>
  <c r="Q106" i="15"/>
  <c r="R106" i="15" s="1"/>
  <c r="Q138" i="15"/>
  <c r="R138" i="15" s="1"/>
  <c r="Q170" i="15"/>
  <c r="R170" i="15" s="1"/>
  <c r="Q203" i="15"/>
  <c r="R203" i="15" s="1"/>
  <c r="Q240" i="15"/>
  <c r="R240" i="15" s="1"/>
  <c r="U6" i="15"/>
  <c r="V6" i="15" s="1"/>
  <c r="U18" i="15"/>
  <c r="V18" i="15" s="1"/>
  <c r="U29" i="15"/>
  <c r="U42" i="15"/>
  <c r="V42" i="15" s="1"/>
  <c r="U53" i="15"/>
  <c r="U68" i="15"/>
  <c r="U81" i="15"/>
  <c r="V81" i="15" s="1"/>
  <c r="U98" i="15"/>
  <c r="V98" i="15" s="1"/>
  <c r="U115" i="15"/>
  <c r="V115" i="15" s="1"/>
  <c r="U132" i="15"/>
  <c r="V132" i="15" s="1"/>
  <c r="U146" i="15"/>
  <c r="U163" i="15"/>
  <c r="V163" i="15" s="1"/>
  <c r="U181" i="15"/>
  <c r="U198" i="15"/>
  <c r="U215" i="15"/>
  <c r="V215" i="15" s="1"/>
  <c r="U233" i="15"/>
  <c r="U246" i="15"/>
  <c r="V246" i="15" s="1"/>
  <c r="W5" i="15"/>
  <c r="X5" i="15" s="1"/>
  <c r="W15" i="15"/>
  <c r="X15" i="15" s="1"/>
  <c r="W27" i="15"/>
  <c r="X27" i="15" s="1"/>
  <c r="W37" i="15"/>
  <c r="X37" i="15" s="1"/>
  <c r="W47" i="15"/>
  <c r="W58" i="15"/>
  <c r="X58" i="15" s="1"/>
  <c r="W68" i="15"/>
  <c r="X68" i="15" s="1"/>
  <c r="W78" i="15"/>
  <c r="X78" i="15" s="1"/>
  <c r="W88" i="15"/>
  <c r="X88" i="15" s="1"/>
  <c r="W100" i="15"/>
  <c r="W110" i="15"/>
  <c r="X110" i="15" s="1"/>
  <c r="W120" i="15"/>
  <c r="X120" i="15" s="1"/>
  <c r="W131" i="15"/>
  <c r="W141" i="15"/>
  <c r="X141" i="15" s="1"/>
  <c r="W151" i="15"/>
  <c r="W162" i="15"/>
  <c r="X162" i="15" s="1"/>
  <c r="W173" i="15"/>
  <c r="X173" i="15" s="1"/>
  <c r="W183" i="15"/>
  <c r="X183" i="15" s="1"/>
  <c r="W194" i="15"/>
  <c r="W204" i="15"/>
  <c r="W214" i="15"/>
  <c r="W224" i="15"/>
  <c r="X224" i="15" s="1"/>
  <c r="W235" i="15"/>
  <c r="X235" i="15" s="1"/>
  <c r="W246" i="15"/>
  <c r="X246" i="15" s="1"/>
  <c r="AC25" i="15"/>
  <c r="AD25" i="15" s="1"/>
  <c r="AC69" i="15"/>
  <c r="AD69" i="15" s="1"/>
  <c r="AC114" i="15"/>
  <c r="AD114" i="15" s="1"/>
  <c r="AC168" i="15"/>
  <c r="AD168" i="15" s="1"/>
  <c r="AC222" i="15"/>
  <c r="AI56" i="15"/>
  <c r="AJ56" i="15" s="1"/>
  <c r="AI16" i="14"/>
  <c r="AJ16" i="14" s="1"/>
  <c r="AI144" i="14"/>
  <c r="AJ144" i="14" s="1"/>
  <c r="AO151" i="14"/>
  <c r="AP151" i="14" s="1"/>
  <c r="Q16" i="15"/>
  <c r="R16" i="15" s="1"/>
  <c r="Q48" i="15"/>
  <c r="R48" i="15" s="1"/>
  <c r="Q80" i="15"/>
  <c r="R80" i="15" s="1"/>
  <c r="Q112" i="15"/>
  <c r="R112" i="15" s="1"/>
  <c r="Q144" i="15"/>
  <c r="R144" i="15" s="1"/>
  <c r="Q176" i="15"/>
  <c r="R176" i="15" s="1"/>
  <c r="Q210" i="15"/>
  <c r="R210" i="15" s="1"/>
  <c r="U7" i="15"/>
  <c r="V7" i="15" s="1"/>
  <c r="U19" i="15"/>
  <c r="U30" i="15"/>
  <c r="V30" i="15" s="1"/>
  <c r="U43" i="15"/>
  <c r="U55" i="15"/>
  <c r="V55" i="15" s="1"/>
  <c r="U69" i="15"/>
  <c r="V69" i="15" s="1"/>
  <c r="U82" i="15"/>
  <c r="V82" i="15" s="1"/>
  <c r="U99" i="15"/>
  <c r="V99" i="15" s="1"/>
  <c r="U116" i="15"/>
  <c r="V116" i="15" s="1"/>
  <c r="U133" i="15"/>
  <c r="U150" i="15"/>
  <c r="U169" i="15"/>
  <c r="U182" i="15"/>
  <c r="U199" i="15"/>
  <c r="V199" i="15" s="1"/>
  <c r="U217" i="15"/>
  <c r="V217" i="15" s="1"/>
  <c r="U234" i="15"/>
  <c r="V234" i="15" s="1"/>
  <c r="U251" i="15"/>
  <c r="V251" i="15" s="1"/>
  <c r="W6" i="15"/>
  <c r="X6" i="15" s="1"/>
  <c r="W18" i="15"/>
  <c r="X18" i="15" s="1"/>
  <c r="W28" i="15"/>
  <c r="W38" i="15"/>
  <c r="X38" i="15" s="1"/>
  <c r="W48" i="15"/>
  <c r="W59" i="15"/>
  <c r="X59" i="15" s="1"/>
  <c r="W69" i="15"/>
  <c r="X69" i="15" s="1"/>
  <c r="W79" i="15"/>
  <c r="X79" i="15" s="1"/>
  <c r="W91" i="15"/>
  <c r="W101" i="15"/>
  <c r="X101" i="15" s="1"/>
  <c r="W111" i="15"/>
  <c r="W122" i="15"/>
  <c r="X122" i="15" s="1"/>
  <c r="W132" i="15"/>
  <c r="X132" i="15" s="1"/>
  <c r="W142" i="15"/>
  <c r="X142" i="15" s="1"/>
  <c r="W152" i="15"/>
  <c r="X152" i="15" s="1"/>
  <c r="W164" i="15"/>
  <c r="X164" i="15" s="1"/>
  <c r="W174" i="15"/>
  <c r="W184" i="15"/>
  <c r="X184" i="15" s="1"/>
  <c r="W195" i="15"/>
  <c r="X195" i="15" s="1"/>
  <c r="W205" i="15"/>
  <c r="W215" i="15"/>
  <c r="X215" i="15" s="1"/>
  <c r="W226" i="15"/>
  <c r="X226" i="15" s="1"/>
  <c r="W237" i="15"/>
  <c r="X237" i="15" s="1"/>
  <c r="W247" i="15"/>
  <c r="X247" i="15" s="1"/>
  <c r="AC26" i="15"/>
  <c r="AC70" i="15"/>
  <c r="AD70" i="15" s="1"/>
  <c r="AC120" i="15"/>
  <c r="AD120" i="15" s="1"/>
  <c r="AC174" i="15"/>
  <c r="AD174" i="15" s="1"/>
  <c r="AC231" i="15"/>
  <c r="AD231" i="15" s="1"/>
  <c r="AI119" i="15"/>
  <c r="AJ119" i="15" s="1"/>
  <c r="AG250" i="15"/>
  <c r="AG248" i="15"/>
  <c r="AG232" i="15"/>
  <c r="AG216" i="15"/>
  <c r="AG200" i="15"/>
  <c r="AG184" i="15"/>
  <c r="AG168" i="15"/>
  <c r="AG152" i="15"/>
  <c r="AG136" i="15"/>
  <c r="AG120" i="15"/>
  <c r="AG104" i="15"/>
  <c r="AG88" i="15"/>
  <c r="AG72" i="15"/>
  <c r="AG56" i="15"/>
  <c r="AG40" i="15"/>
  <c r="AG24" i="15"/>
  <c r="AG8" i="15"/>
  <c r="AG247" i="15"/>
  <c r="AG231" i="15"/>
  <c r="AG215" i="15"/>
  <c r="AG199" i="15"/>
  <c r="AG183" i="15"/>
  <c r="AG167" i="15"/>
  <c r="AG151" i="15"/>
  <c r="AG135" i="15"/>
  <c r="AG119" i="15"/>
  <c r="AG103" i="15"/>
  <c r="AG87" i="15"/>
  <c r="AG71" i="15"/>
  <c r="AG55" i="15"/>
  <c r="AG39" i="15"/>
  <c r="AG23" i="15"/>
  <c r="AG7" i="15"/>
  <c r="AG244" i="15"/>
  <c r="AG228" i="15"/>
  <c r="AG212" i="15"/>
  <c r="AH212" i="15" s="1"/>
  <c r="AG196" i="15"/>
  <c r="AG180" i="15"/>
  <c r="AG164" i="15"/>
  <c r="AG148" i="15"/>
  <c r="AG132" i="15"/>
  <c r="AG116" i="15"/>
  <c r="AG100" i="15"/>
  <c r="AG84" i="15"/>
  <c r="AG68" i="15"/>
  <c r="AG52" i="15"/>
  <c r="AG36" i="15"/>
  <c r="AG20" i="15"/>
  <c r="AG4" i="15"/>
  <c r="AG243" i="15"/>
  <c r="AG227" i="15"/>
  <c r="AG211" i="15"/>
  <c r="AG195" i="15"/>
  <c r="AG179" i="15"/>
  <c r="AG163" i="15"/>
  <c r="AG147" i="15"/>
  <c r="AG131" i="15"/>
  <c r="AG115" i="15"/>
  <c r="AG99" i="15"/>
  <c r="AG83" i="15"/>
  <c r="AG67" i="15"/>
  <c r="AG51" i="15"/>
  <c r="AG35" i="15"/>
  <c r="AG19" i="15"/>
  <c r="AG3" i="15"/>
  <c r="AG32" i="15"/>
  <c r="AG64" i="15"/>
  <c r="AG96" i="15"/>
  <c r="AG128" i="15"/>
  <c r="AG160" i="15"/>
  <c r="AG192" i="15"/>
  <c r="AG224" i="15"/>
  <c r="AG11" i="15"/>
  <c r="AG43" i="15"/>
  <c r="AG75" i="15"/>
  <c r="AG107" i="15"/>
  <c r="AG139" i="15"/>
  <c r="AG171" i="15"/>
  <c r="AG203" i="15"/>
  <c r="AG235" i="15"/>
  <c r="Y33" i="15"/>
  <c r="Z33" i="15" s="1"/>
  <c r="Y45" i="15"/>
  <c r="Y59" i="15"/>
  <c r="Y70" i="15"/>
  <c r="Z70" i="15" s="1"/>
  <c r="Y81" i="15"/>
  <c r="Y95" i="15"/>
  <c r="Z95" i="15" s="1"/>
  <c r="Y109" i="15"/>
  <c r="Z109" i="15" s="1"/>
  <c r="Y123" i="15"/>
  <c r="Z123" i="15" s="1"/>
  <c r="Y139" i="15"/>
  <c r="Z139" i="15" s="1"/>
  <c r="Y151" i="15"/>
  <c r="Z151" i="15" s="1"/>
  <c r="Y165" i="15"/>
  <c r="Y181" i="15"/>
  <c r="Z181" i="15" s="1"/>
  <c r="Y196" i="15"/>
  <c r="Z196" i="15" s="1"/>
  <c r="Y215" i="15"/>
  <c r="Z215" i="15" s="1"/>
  <c r="Y236" i="15"/>
  <c r="Z236" i="15" s="1"/>
  <c r="Y252" i="15"/>
  <c r="Z252" i="15" s="1"/>
  <c r="AG12" i="15"/>
  <c r="AG44" i="15"/>
  <c r="AG76" i="15"/>
  <c r="AG108" i="15"/>
  <c r="AG140" i="15"/>
  <c r="AG172" i="15"/>
  <c r="AG204" i="15"/>
  <c r="AG236" i="15"/>
  <c r="Y96" i="15"/>
  <c r="Z96" i="15" s="1"/>
  <c r="Y110" i="15"/>
  <c r="Y124" i="15"/>
  <c r="Y140" i="15"/>
  <c r="Z140" i="15" s="1"/>
  <c r="Y152" i="15"/>
  <c r="Y166" i="15"/>
  <c r="Y182" i="15"/>
  <c r="Z182" i="15" s="1"/>
  <c r="Y197" i="15"/>
  <c r="Z197" i="15" s="1"/>
  <c r="Y216" i="15"/>
  <c r="Z216" i="15" s="1"/>
  <c r="Y237" i="15"/>
  <c r="Z237" i="15" s="1"/>
  <c r="AG15" i="15"/>
  <c r="AG47" i="15"/>
  <c r="AG79" i="15"/>
  <c r="AG111" i="15"/>
  <c r="AG143" i="15"/>
  <c r="AG175" i="15"/>
  <c r="AG207" i="15"/>
  <c r="AG239" i="15"/>
  <c r="Y13" i="15"/>
  <c r="Z13" i="15" s="1"/>
  <c r="Y24" i="15"/>
  <c r="Z24" i="15" s="1"/>
  <c r="Y36" i="15"/>
  <c r="Y49" i="15"/>
  <c r="Y61" i="15"/>
  <c r="Z61" i="15" s="1"/>
  <c r="Y72" i="15"/>
  <c r="Z72" i="15" s="1"/>
  <c r="Y86" i="15"/>
  <c r="Z86" i="15" s="1"/>
  <c r="Y99" i="15"/>
  <c r="Y111" i="15"/>
  <c r="Z111" i="15" s="1"/>
  <c r="Y127" i="15"/>
  <c r="Z127" i="15" s="1"/>
  <c r="Y141" i="15"/>
  <c r="Y155" i="15"/>
  <c r="Y171" i="15"/>
  <c r="Y183" i="15"/>
  <c r="Z183" i="15" s="1"/>
  <c r="Y198" i="15"/>
  <c r="Y219" i="15"/>
  <c r="AG16" i="15"/>
  <c r="AG48" i="15"/>
  <c r="AG80" i="15"/>
  <c r="AG112" i="15"/>
  <c r="AG144" i="15"/>
  <c r="AG176" i="15"/>
  <c r="AG208" i="15"/>
  <c r="AG240" i="15"/>
  <c r="Y239" i="15"/>
  <c r="Y224" i="15"/>
  <c r="Z224" i="15" s="1"/>
  <c r="Y206" i="15"/>
  <c r="Y191" i="15"/>
  <c r="Y14" i="15"/>
  <c r="Z14" i="15" s="1"/>
  <c r="Y25" i="15"/>
  <c r="Y37" i="15"/>
  <c r="Z37" i="15" s="1"/>
  <c r="Y51" i="15"/>
  <c r="Z51" i="15" s="1"/>
  <c r="Y62" i="15"/>
  <c r="Z62" i="15" s="1"/>
  <c r="Y73" i="15"/>
  <c r="Z73" i="15" s="1"/>
  <c r="Y87" i="15"/>
  <c r="Y100" i="15"/>
  <c r="Y112" i="15"/>
  <c r="Z112" i="15" s="1"/>
  <c r="Y128" i="15"/>
  <c r="Z128" i="15" s="1"/>
  <c r="Y142" i="15"/>
  <c r="Z142" i="15" s="1"/>
  <c r="Y156" i="15"/>
  <c r="Z156" i="15" s="1"/>
  <c r="Y172" i="15"/>
  <c r="Y184" i="15"/>
  <c r="Z184" i="15" s="1"/>
  <c r="Y204" i="15"/>
  <c r="Y220" i="15"/>
  <c r="Z220" i="15" s="1"/>
  <c r="Y240" i="15"/>
  <c r="Z240" i="15" s="1"/>
  <c r="AG27" i="15"/>
  <c r="AG59" i="15"/>
  <c r="AG91" i="15"/>
  <c r="AG123" i="15"/>
  <c r="AG155" i="15"/>
  <c r="AG187" i="15"/>
  <c r="AG219" i="15"/>
  <c r="AG251" i="15"/>
  <c r="AK40" i="15"/>
  <c r="AL40" i="15" s="1"/>
  <c r="AK82" i="15"/>
  <c r="AL82" i="15" s="1"/>
  <c r="AK125" i="15"/>
  <c r="AK168" i="15"/>
  <c r="AK210" i="15"/>
  <c r="AL210" i="15" s="1"/>
  <c r="AK253" i="15"/>
  <c r="AL253" i="15" s="1"/>
  <c r="AO108" i="15"/>
  <c r="AO177" i="15"/>
  <c r="AP177" i="15" s="1"/>
  <c r="AO242" i="15"/>
  <c r="AP242" i="15" s="1"/>
  <c r="AO113" i="15"/>
  <c r="AO178" i="15"/>
  <c r="AO252" i="15"/>
  <c r="AE14" i="15"/>
  <c r="AF14" i="15" s="1"/>
  <c r="AE26" i="15"/>
  <c r="AF26" i="15" s="1"/>
  <c r="AE39" i="15"/>
  <c r="AF39" i="15" s="1"/>
  <c r="AE51" i="15"/>
  <c r="AF51" i="15" s="1"/>
  <c r="AE64" i="15"/>
  <c r="AF64" i="15" s="1"/>
  <c r="AE78" i="15"/>
  <c r="AF78" i="15" s="1"/>
  <c r="AE90" i="15"/>
  <c r="AF90" i="15" s="1"/>
  <c r="AE103" i="15"/>
  <c r="AE115" i="15"/>
  <c r="AF115" i="15" s="1"/>
  <c r="AE128" i="15"/>
  <c r="AF128" i="15" s="1"/>
  <c r="AE142" i="15"/>
  <c r="AE154" i="15"/>
  <c r="AF154" i="15" s="1"/>
  <c r="AE167" i="15"/>
  <c r="AF167" i="15" s="1"/>
  <c r="AE179" i="15"/>
  <c r="AE192" i="15"/>
  <c r="AF192" i="15" s="1"/>
  <c r="AE206" i="15"/>
  <c r="AF206" i="15" s="1"/>
  <c r="AE218" i="15"/>
  <c r="AF218" i="15" s="1"/>
  <c r="AE231" i="15"/>
  <c r="AF231" i="15" s="1"/>
  <c r="AE243" i="15"/>
  <c r="AK13" i="15"/>
  <c r="AK56" i="15"/>
  <c r="AL56" i="15" s="1"/>
  <c r="AK98" i="15"/>
  <c r="AK141" i="15"/>
  <c r="AL141" i="15" s="1"/>
  <c r="AK184" i="15"/>
  <c r="AL184" i="15" s="1"/>
  <c r="AK226" i="15"/>
  <c r="AL226" i="15" s="1"/>
  <c r="AO60" i="15"/>
  <c r="AP60" i="15" s="1"/>
  <c r="AO125" i="15"/>
  <c r="AP125" i="15" s="1"/>
  <c r="AO193" i="15"/>
  <c r="AA45" i="15"/>
  <c r="AB45" i="15" s="1"/>
  <c r="AA89" i="15"/>
  <c r="AA132" i="15"/>
  <c r="AB132" i="15" s="1"/>
  <c r="AA177" i="15"/>
  <c r="AB177" i="15" s="1"/>
  <c r="AA228" i="15"/>
  <c r="AB228" i="15" s="1"/>
  <c r="AE2" i="15"/>
  <c r="AF2" i="15" s="1"/>
  <c r="AF255" i="15" s="1"/>
  <c r="AE15" i="15"/>
  <c r="AF15" i="15" s="1"/>
  <c r="AE27" i="15"/>
  <c r="AF27" i="15" s="1"/>
  <c r="AE40" i="15"/>
  <c r="AF40" i="15" s="1"/>
  <c r="AE54" i="15"/>
  <c r="AF54" i="15" s="1"/>
  <c r="AE66" i="15"/>
  <c r="AF66" i="15" s="1"/>
  <c r="AE79" i="15"/>
  <c r="AE91" i="15"/>
  <c r="AE104" i="15"/>
  <c r="AF104" i="15" s="1"/>
  <c r="AE118" i="15"/>
  <c r="AE130" i="15"/>
  <c r="AF130" i="15" s="1"/>
  <c r="AE143" i="15"/>
  <c r="AF143" i="15" s="1"/>
  <c r="AE155" i="15"/>
  <c r="AF155" i="15" s="1"/>
  <c r="AE168" i="15"/>
  <c r="AF168" i="15" s="1"/>
  <c r="AE182" i="15"/>
  <c r="AF182" i="15" s="1"/>
  <c r="AE194" i="15"/>
  <c r="AE207" i="15"/>
  <c r="AF207" i="15" s="1"/>
  <c r="AE219" i="15"/>
  <c r="AF219" i="15" s="1"/>
  <c r="AE232" i="15"/>
  <c r="AF232" i="15" s="1"/>
  <c r="AE246" i="15"/>
  <c r="AF246" i="15" s="1"/>
  <c r="AK17" i="15"/>
  <c r="AK60" i="15"/>
  <c r="AL60" i="15" s="1"/>
  <c r="AK102" i="15"/>
  <c r="AL102" i="15" s="1"/>
  <c r="AK145" i="15"/>
  <c r="AK188" i="15"/>
  <c r="AL188" i="15" s="1"/>
  <c r="AK230" i="15"/>
  <c r="AL230" i="15" s="1"/>
  <c r="X11" i="15"/>
  <c r="X20" i="15"/>
  <c r="AO61" i="15"/>
  <c r="AO129" i="15"/>
  <c r="AP129" i="15" s="1"/>
  <c r="AO198" i="15"/>
  <c r="AA5" i="15"/>
  <c r="AB5" i="15" s="1"/>
  <c r="AA46" i="15"/>
  <c r="AB46" i="15" s="1"/>
  <c r="AA93" i="15"/>
  <c r="AB93" i="15" s="1"/>
  <c r="AA142" i="15"/>
  <c r="AB142" i="15" s="1"/>
  <c r="AA183" i="15"/>
  <c r="AA230" i="15"/>
  <c r="AB230" i="15" s="1"/>
  <c r="AE3" i="15"/>
  <c r="AF3" i="15" s="1"/>
  <c r="AE16" i="15"/>
  <c r="AF16" i="15" s="1"/>
  <c r="AE30" i="15"/>
  <c r="AF30" i="15" s="1"/>
  <c r="AE42" i="15"/>
  <c r="AF42" i="15" s="1"/>
  <c r="AE55" i="15"/>
  <c r="AF55" i="15" s="1"/>
  <c r="AE67" i="15"/>
  <c r="AF67" i="15" s="1"/>
  <c r="AE80" i="15"/>
  <c r="AF80" i="15" s="1"/>
  <c r="AE94" i="15"/>
  <c r="AF94" i="15" s="1"/>
  <c r="AE106" i="15"/>
  <c r="AF106" i="15" s="1"/>
  <c r="AE119" i="15"/>
  <c r="AF119" i="15" s="1"/>
  <c r="AE131" i="15"/>
  <c r="AE144" i="15"/>
  <c r="AE158" i="15"/>
  <c r="AF158" i="15" s="1"/>
  <c r="AE170" i="15"/>
  <c r="AE183" i="15"/>
  <c r="AF183" i="15" s="1"/>
  <c r="AE195" i="15"/>
  <c r="AF195" i="15" s="1"/>
  <c r="AE208" i="15"/>
  <c r="AF208" i="15" s="1"/>
  <c r="AE222" i="15"/>
  <c r="AF222" i="15" s="1"/>
  <c r="AE234" i="15"/>
  <c r="AF234" i="15" s="1"/>
  <c r="AE247" i="15"/>
  <c r="AF247" i="15" s="1"/>
  <c r="AK18" i="15"/>
  <c r="AL18" i="15" s="1"/>
  <c r="AK61" i="15"/>
  <c r="AL61" i="15" s="1"/>
  <c r="AK104" i="15"/>
  <c r="AL104" i="15" s="1"/>
  <c r="AK146" i="15"/>
  <c r="AL146" i="15" s="1"/>
  <c r="AK189" i="15"/>
  <c r="AL189" i="15" s="1"/>
  <c r="AK232" i="15"/>
  <c r="AL232" i="15" s="1"/>
  <c r="AD15" i="15"/>
  <c r="AD34" i="15"/>
  <c r="X39" i="15"/>
  <c r="AO71" i="15"/>
  <c r="AP71" i="15" s="1"/>
  <c r="AO145" i="15"/>
  <c r="AP145" i="15" s="1"/>
  <c r="AO210" i="15"/>
  <c r="AF91" i="15"/>
  <c r="AE6" i="15"/>
  <c r="AF6" i="15" s="1"/>
  <c r="AE18" i="15"/>
  <c r="AF18" i="15" s="1"/>
  <c r="AE31" i="15"/>
  <c r="AF31" i="15" s="1"/>
  <c r="AE43" i="15"/>
  <c r="AF43" i="15" s="1"/>
  <c r="AE56" i="15"/>
  <c r="AF56" i="15" s="1"/>
  <c r="AE70" i="15"/>
  <c r="AF70" i="15" s="1"/>
  <c r="AE82" i="15"/>
  <c r="AF82" i="15" s="1"/>
  <c r="AE95" i="15"/>
  <c r="AF95" i="15" s="1"/>
  <c r="AE107" i="15"/>
  <c r="AF107" i="15" s="1"/>
  <c r="AE120" i="15"/>
  <c r="AF120" i="15" s="1"/>
  <c r="AE134" i="15"/>
  <c r="AF134" i="15" s="1"/>
  <c r="AE146" i="15"/>
  <c r="AE159" i="15"/>
  <c r="AF159" i="15" s="1"/>
  <c r="AE171" i="15"/>
  <c r="AF171" i="15" s="1"/>
  <c r="AE184" i="15"/>
  <c r="AF184" i="15" s="1"/>
  <c r="AE198" i="15"/>
  <c r="AF198" i="15" s="1"/>
  <c r="AE210" i="15"/>
  <c r="AF210" i="15" s="1"/>
  <c r="AE223" i="15"/>
  <c r="AF223" i="15" s="1"/>
  <c r="AE235" i="15"/>
  <c r="AE248" i="15"/>
  <c r="AF248" i="15" s="1"/>
  <c r="AK24" i="15"/>
  <c r="AL24" i="15" s="1"/>
  <c r="AK66" i="15"/>
  <c r="AL66" i="15" s="1"/>
  <c r="AK109" i="15"/>
  <c r="AL109" i="15" s="1"/>
  <c r="AK152" i="15"/>
  <c r="AL152" i="15" s="1"/>
  <c r="AK194" i="15"/>
  <c r="AL194" i="15" s="1"/>
  <c r="Z19" i="15"/>
  <c r="X47" i="15"/>
  <c r="AO81" i="15"/>
  <c r="AO146" i="15"/>
  <c r="AP146" i="15" s="1"/>
  <c r="Q11" i="14"/>
  <c r="R11" i="14" s="1"/>
  <c r="Q29" i="14"/>
  <c r="R29" i="14" s="1"/>
  <c r="Q56" i="14"/>
  <c r="R56" i="14" s="1"/>
  <c r="Q84" i="14"/>
  <c r="R84" i="14" s="1"/>
  <c r="Q111" i="14"/>
  <c r="R111" i="14" s="1"/>
  <c r="Q130" i="14"/>
  <c r="R130" i="14" s="1"/>
  <c r="Q157" i="14"/>
  <c r="R157" i="14" s="1"/>
  <c r="Q184" i="14"/>
  <c r="R184" i="14" s="1"/>
  <c r="Q212" i="14"/>
  <c r="R212" i="14" s="1"/>
  <c r="Q239" i="14"/>
  <c r="R239" i="14" s="1"/>
  <c r="W23" i="14"/>
  <c r="X23" i="14" s="1"/>
  <c r="W55" i="14"/>
  <c r="X55" i="14" s="1"/>
  <c r="W87" i="14"/>
  <c r="X87" i="14" s="1"/>
  <c r="W130" i="14"/>
  <c r="W162" i="14"/>
  <c r="X162" i="14" s="1"/>
  <c r="W194" i="14"/>
  <c r="X194" i="14" s="1"/>
  <c r="W237" i="14"/>
  <c r="X237" i="14" s="1"/>
  <c r="AA28" i="14"/>
  <c r="AB28" i="14" s="1"/>
  <c r="AA66" i="14"/>
  <c r="AB66" i="14" s="1"/>
  <c r="AA118" i="14"/>
  <c r="AB118" i="14" s="1"/>
  <c r="AA156" i="14"/>
  <c r="AB156" i="14" s="1"/>
  <c r="AA207" i="14"/>
  <c r="AB207" i="14" s="1"/>
  <c r="AA246" i="14"/>
  <c r="AB246" i="14" s="1"/>
  <c r="AE54" i="14"/>
  <c r="AF54" i="14" s="1"/>
  <c r="AE105" i="14"/>
  <c r="AF105" i="14" s="1"/>
  <c r="AE181" i="14"/>
  <c r="AF181" i="14" s="1"/>
  <c r="AG26" i="14"/>
  <c r="AG79" i="14"/>
  <c r="AG117" i="14"/>
  <c r="AG231" i="14"/>
  <c r="Q3" i="14"/>
  <c r="R3" i="14" s="1"/>
  <c r="Q12" i="14"/>
  <c r="R12" i="14" s="1"/>
  <c r="Q21" i="14"/>
  <c r="R21" i="14" s="1"/>
  <c r="Q30" i="14"/>
  <c r="R30" i="14" s="1"/>
  <c r="Q39" i="14"/>
  <c r="R39" i="14" s="1"/>
  <c r="Q48" i="14"/>
  <c r="R48" i="14" s="1"/>
  <c r="Q58" i="14"/>
  <c r="R58" i="14" s="1"/>
  <c r="Q67" i="14"/>
  <c r="R67" i="14" s="1"/>
  <c r="Q76" i="14"/>
  <c r="R76" i="14" s="1"/>
  <c r="Q85" i="14"/>
  <c r="R85" i="14" s="1"/>
  <c r="Q94" i="14"/>
  <c r="R94" i="14" s="1"/>
  <c r="Q103" i="14"/>
  <c r="R103" i="14" s="1"/>
  <c r="Q112" i="14"/>
  <c r="R112" i="14" s="1"/>
  <c r="Q122" i="14"/>
  <c r="R122" i="14" s="1"/>
  <c r="Q131" i="14"/>
  <c r="R131" i="14" s="1"/>
  <c r="Q140" i="14"/>
  <c r="R140" i="14" s="1"/>
  <c r="Q149" i="14"/>
  <c r="R149" i="14" s="1"/>
  <c r="Q158" i="14"/>
  <c r="R158" i="14" s="1"/>
  <c r="Q167" i="14"/>
  <c r="R167" i="14" s="1"/>
  <c r="Q176" i="14"/>
  <c r="R176" i="14" s="1"/>
  <c r="Q186" i="14"/>
  <c r="R186" i="14" s="1"/>
  <c r="Q195" i="14"/>
  <c r="R195" i="14" s="1"/>
  <c r="Q204" i="14"/>
  <c r="R204" i="14" s="1"/>
  <c r="Q213" i="14"/>
  <c r="R213" i="14" s="1"/>
  <c r="Q222" i="14"/>
  <c r="R222" i="14" s="1"/>
  <c r="Q231" i="14"/>
  <c r="R231" i="14" s="1"/>
  <c r="AH231" i="14" s="1"/>
  <c r="Q240" i="14"/>
  <c r="R240" i="14" s="1"/>
  <c r="Q250" i="14"/>
  <c r="R250" i="14" s="1"/>
  <c r="W4" i="14"/>
  <c r="W14" i="14"/>
  <c r="X14" i="14" s="1"/>
  <c r="W24" i="14"/>
  <c r="X24" i="14" s="1"/>
  <c r="W36" i="14"/>
  <c r="X36" i="14" s="1"/>
  <c r="W46" i="14"/>
  <c r="X46" i="14" s="1"/>
  <c r="W56" i="14"/>
  <c r="X56" i="14" s="1"/>
  <c r="W68" i="14"/>
  <c r="W78" i="14"/>
  <c r="W88" i="14"/>
  <c r="X88" i="14" s="1"/>
  <c r="W100" i="14"/>
  <c r="X100" i="14" s="1"/>
  <c r="W110" i="14"/>
  <c r="X110" i="14" s="1"/>
  <c r="W120" i="14"/>
  <c r="X120" i="14" s="1"/>
  <c r="W132" i="14"/>
  <c r="X132" i="14" s="1"/>
  <c r="W142" i="14"/>
  <c r="W152" i="14"/>
  <c r="W164" i="14"/>
  <c r="X164" i="14" s="1"/>
  <c r="W174" i="14"/>
  <c r="W184" i="14"/>
  <c r="X184" i="14" s="1"/>
  <c r="W196" i="14"/>
  <c r="X196" i="14" s="1"/>
  <c r="W206" i="14"/>
  <c r="W216" i="14"/>
  <c r="W228" i="14"/>
  <c r="X228" i="14" s="1"/>
  <c r="W238" i="14"/>
  <c r="W248" i="14"/>
  <c r="X248" i="14" s="1"/>
  <c r="AA4" i="14"/>
  <c r="AB4" i="14" s="1"/>
  <c r="AA16" i="14"/>
  <c r="AA30" i="14"/>
  <c r="AB30" i="14" s="1"/>
  <c r="AA42" i="14"/>
  <c r="AB42" i="14" s="1"/>
  <c r="AA55" i="14"/>
  <c r="AB55" i="14" s="1"/>
  <c r="AA68" i="14"/>
  <c r="AB68" i="14" s="1"/>
  <c r="AA80" i="14"/>
  <c r="AA94" i="14"/>
  <c r="AB94" i="14" s="1"/>
  <c r="AA106" i="14"/>
  <c r="AB106" i="14" s="1"/>
  <c r="AA119" i="14"/>
  <c r="AB119" i="14" s="1"/>
  <c r="AA132" i="14"/>
  <c r="AA144" i="14"/>
  <c r="AB144" i="14" s="1"/>
  <c r="AA158" i="14"/>
  <c r="AB158" i="14" s="1"/>
  <c r="AA170" i="14"/>
  <c r="AB170" i="14" s="1"/>
  <c r="AA183" i="14"/>
  <c r="AB183" i="14" s="1"/>
  <c r="AA196" i="14"/>
  <c r="AB196" i="14" s="1"/>
  <c r="AA208" i="14"/>
  <c r="AB208" i="14" s="1"/>
  <c r="AA222" i="14"/>
  <c r="AA234" i="14"/>
  <c r="AB234" i="14" s="1"/>
  <c r="AA247" i="14"/>
  <c r="AB247" i="14" s="1"/>
  <c r="AE4" i="14"/>
  <c r="AF4" i="14" s="1"/>
  <c r="AE20" i="14"/>
  <c r="AF20" i="14" s="1"/>
  <c r="AE36" i="14"/>
  <c r="AF36" i="14" s="1"/>
  <c r="AE56" i="14"/>
  <c r="AF56" i="14" s="1"/>
  <c r="AE72" i="14"/>
  <c r="AE88" i="14"/>
  <c r="AF88" i="14" s="1"/>
  <c r="AE106" i="14"/>
  <c r="AE124" i="14"/>
  <c r="AF124" i="14" s="1"/>
  <c r="AE142" i="14"/>
  <c r="AF142" i="14" s="1"/>
  <c r="AE165" i="14"/>
  <c r="AF165" i="14" s="1"/>
  <c r="AE183" i="14"/>
  <c r="AE201" i="14"/>
  <c r="AF201" i="14" s="1"/>
  <c r="AE223" i="14"/>
  <c r="AF223" i="14" s="1"/>
  <c r="AE241" i="14"/>
  <c r="AF241" i="14" s="1"/>
  <c r="AG5" i="14"/>
  <c r="AG29" i="14"/>
  <c r="AG57" i="14"/>
  <c r="AG85" i="14"/>
  <c r="AG118" i="14"/>
  <c r="AG153" i="14"/>
  <c r="AG193" i="14"/>
  <c r="AG241" i="14"/>
  <c r="AI39" i="14"/>
  <c r="AJ39" i="14" s="1"/>
  <c r="AI89" i="14"/>
  <c r="AJ89" i="14" s="1"/>
  <c r="AI139" i="14"/>
  <c r="AJ139" i="14" s="1"/>
  <c r="AI192" i="14"/>
  <c r="AJ192" i="14" s="1"/>
  <c r="AO69" i="14"/>
  <c r="AP69" i="14" s="1"/>
  <c r="AO97" i="14"/>
  <c r="AP97" i="14" s="1"/>
  <c r="AO129" i="14"/>
  <c r="AP129" i="14" s="1"/>
  <c r="AO155" i="14"/>
  <c r="AP155" i="14" s="1"/>
  <c r="AO189" i="14"/>
  <c r="AO226" i="14"/>
  <c r="AA26" i="14"/>
  <c r="AB26" i="14" s="1"/>
  <c r="AA52" i="14"/>
  <c r="AB52" i="14" s="1"/>
  <c r="AA78" i="14"/>
  <c r="AB78" i="14" s="1"/>
  <c r="AA103" i="14"/>
  <c r="AB103" i="14" s="1"/>
  <c r="AA128" i="14"/>
  <c r="AB128" i="14" s="1"/>
  <c r="AA154" i="14"/>
  <c r="AA180" i="14"/>
  <c r="AB180" i="14" s="1"/>
  <c r="AA206" i="14"/>
  <c r="AA231" i="14"/>
  <c r="AB231" i="14" s="1"/>
  <c r="AE17" i="14"/>
  <c r="AF17" i="14" s="1"/>
  <c r="AE68" i="14"/>
  <c r="AF68" i="14" s="1"/>
  <c r="AE121" i="14"/>
  <c r="AF121" i="14" s="1"/>
  <c r="AE215" i="14"/>
  <c r="AF215" i="14" s="1"/>
  <c r="Q66" i="14"/>
  <c r="R66" i="14" s="1"/>
  <c r="Q148" i="14"/>
  <c r="R148" i="14" s="1"/>
  <c r="Q248" i="14"/>
  <c r="R248" i="14" s="1"/>
  <c r="W98" i="14"/>
  <c r="W205" i="14"/>
  <c r="X205" i="14" s="1"/>
  <c r="AA79" i="14"/>
  <c r="AB79" i="14" s="1"/>
  <c r="AA182" i="14"/>
  <c r="AB182" i="14" s="1"/>
  <c r="AE34" i="14"/>
  <c r="AF34" i="14" s="1"/>
  <c r="AE163" i="14"/>
  <c r="AG4" i="14"/>
  <c r="AG152" i="14"/>
  <c r="Q4" i="14"/>
  <c r="R4" i="14" s="1"/>
  <c r="Q13" i="14"/>
  <c r="R13" i="14" s="1"/>
  <c r="Q22" i="14"/>
  <c r="R22" i="14" s="1"/>
  <c r="Q31" i="14"/>
  <c r="R31" i="14" s="1"/>
  <c r="Q40" i="14"/>
  <c r="R40" i="14" s="1"/>
  <c r="Q50" i="14"/>
  <c r="R50" i="14" s="1"/>
  <c r="Q59" i="14"/>
  <c r="R59" i="14" s="1"/>
  <c r="Q68" i="14"/>
  <c r="R68" i="14" s="1"/>
  <c r="Q77" i="14"/>
  <c r="R77" i="14" s="1"/>
  <c r="Q86" i="14"/>
  <c r="R86" i="14" s="1"/>
  <c r="Q95" i="14"/>
  <c r="R95" i="14" s="1"/>
  <c r="Q104" i="14"/>
  <c r="R104" i="14" s="1"/>
  <c r="Q114" i="14"/>
  <c r="R114" i="14" s="1"/>
  <c r="Q123" i="14"/>
  <c r="R123" i="14" s="1"/>
  <c r="Q132" i="14"/>
  <c r="R132" i="14" s="1"/>
  <c r="Q141" i="14"/>
  <c r="R141" i="14" s="1"/>
  <c r="Q150" i="14"/>
  <c r="R150" i="14" s="1"/>
  <c r="Q159" i="14"/>
  <c r="R159" i="14" s="1"/>
  <c r="Q168" i="14"/>
  <c r="R168" i="14" s="1"/>
  <c r="Q178" i="14"/>
  <c r="R178" i="14" s="1"/>
  <c r="Q187" i="14"/>
  <c r="R187" i="14" s="1"/>
  <c r="Q196" i="14"/>
  <c r="R196" i="14" s="1"/>
  <c r="Q205" i="14"/>
  <c r="R205" i="14" s="1"/>
  <c r="Q214" i="14"/>
  <c r="R214" i="14" s="1"/>
  <c r="Q223" i="14"/>
  <c r="R223" i="14" s="1"/>
  <c r="Q232" i="14"/>
  <c r="R232" i="14" s="1"/>
  <c r="Q242" i="14"/>
  <c r="R242" i="14" s="1"/>
  <c r="Q251" i="14"/>
  <c r="R251" i="14" s="1"/>
  <c r="W5" i="14"/>
  <c r="X5" i="14" s="1"/>
  <c r="W15" i="14"/>
  <c r="X15" i="14" s="1"/>
  <c r="W26" i="14"/>
  <c r="W37" i="14"/>
  <c r="W47" i="14"/>
  <c r="X47" i="14" s="1"/>
  <c r="W58" i="14"/>
  <c r="X58" i="14" s="1"/>
  <c r="W69" i="14"/>
  <c r="X69" i="14" s="1"/>
  <c r="W79" i="14"/>
  <c r="W90" i="14"/>
  <c r="X90" i="14" s="1"/>
  <c r="W101" i="14"/>
  <c r="W111" i="14"/>
  <c r="X111" i="14" s="1"/>
  <c r="W122" i="14"/>
  <c r="W133" i="14"/>
  <c r="X133" i="14" s="1"/>
  <c r="W143" i="14"/>
  <c r="X143" i="14" s="1"/>
  <c r="W154" i="14"/>
  <c r="X154" i="14" s="1"/>
  <c r="W165" i="14"/>
  <c r="W175" i="14"/>
  <c r="X175" i="14" s="1"/>
  <c r="W186" i="14"/>
  <c r="X186" i="14" s="1"/>
  <c r="W197" i="14"/>
  <c r="X197" i="14" s="1"/>
  <c r="W207" i="14"/>
  <c r="X207" i="14" s="1"/>
  <c r="W218" i="14"/>
  <c r="X218" i="14" s="1"/>
  <c r="W229" i="14"/>
  <c r="X229" i="14" s="1"/>
  <c r="W239" i="14"/>
  <c r="X239" i="14" s="1"/>
  <c r="W250" i="14"/>
  <c r="X250" i="14" s="1"/>
  <c r="AA6" i="14"/>
  <c r="AB6" i="14" s="1"/>
  <c r="AA18" i="14"/>
  <c r="AB18" i="14" s="1"/>
  <c r="AA31" i="14"/>
  <c r="AB31" i="14" s="1"/>
  <c r="AA44" i="14"/>
  <c r="AB44" i="14" s="1"/>
  <c r="AA56" i="14"/>
  <c r="AB56" i="14" s="1"/>
  <c r="AA70" i="14"/>
  <c r="AA82" i="14"/>
  <c r="AA95" i="14"/>
  <c r="AB95" i="14" s="1"/>
  <c r="AA108" i="14"/>
  <c r="AB108" i="14" s="1"/>
  <c r="AA120" i="14"/>
  <c r="AB120" i="14" s="1"/>
  <c r="AA134" i="14"/>
  <c r="AB134" i="14" s="1"/>
  <c r="AA146" i="14"/>
  <c r="AA159" i="14"/>
  <c r="AB159" i="14" s="1"/>
  <c r="AA172" i="14"/>
  <c r="AB172" i="14" s="1"/>
  <c r="AA184" i="14"/>
  <c r="AB184" i="14" s="1"/>
  <c r="AA198" i="14"/>
  <c r="AA210" i="14"/>
  <c r="AB210" i="14" s="1"/>
  <c r="AA223" i="14"/>
  <c r="AB223" i="14" s="1"/>
  <c r="AA236" i="14"/>
  <c r="AA248" i="14"/>
  <c r="AB248" i="14" s="1"/>
  <c r="AE6" i="14"/>
  <c r="AF6" i="14" s="1"/>
  <c r="AE22" i="14"/>
  <c r="AF22" i="14" s="1"/>
  <c r="AE41" i="14"/>
  <c r="AF41" i="14" s="1"/>
  <c r="AE57" i="14"/>
  <c r="AE73" i="14"/>
  <c r="AF73" i="14" s="1"/>
  <c r="AE92" i="14"/>
  <c r="AF92" i="14" s="1"/>
  <c r="AE108" i="14"/>
  <c r="AF108" i="14" s="1"/>
  <c r="AE126" i="14"/>
  <c r="AE149" i="14"/>
  <c r="AF149" i="14" s="1"/>
  <c r="AE167" i="14"/>
  <c r="AF167" i="14" s="1"/>
  <c r="AE185" i="14"/>
  <c r="AF185" i="14" s="1"/>
  <c r="AE206" i="14"/>
  <c r="AF206" i="14" s="1"/>
  <c r="AE224" i="14"/>
  <c r="AF224" i="14" s="1"/>
  <c r="AE243" i="14"/>
  <c r="AF243" i="14" s="1"/>
  <c r="AG10" i="14"/>
  <c r="AG32" i="14"/>
  <c r="AG61" i="14"/>
  <c r="AG86" i="14"/>
  <c r="AG119" i="14"/>
  <c r="AH119" i="14" s="1"/>
  <c r="AG166" i="14"/>
  <c r="AG202" i="14"/>
  <c r="AG242" i="14"/>
  <c r="AI40" i="14"/>
  <c r="AJ40" i="14" s="1"/>
  <c r="AI90" i="14"/>
  <c r="AJ90" i="14" s="1"/>
  <c r="AI143" i="14"/>
  <c r="AJ143" i="14" s="1"/>
  <c r="AI193" i="14"/>
  <c r="AJ193" i="14" s="1"/>
  <c r="AO74" i="14"/>
  <c r="AP74" i="14" s="1"/>
  <c r="AO100" i="14"/>
  <c r="AP100" i="14" s="1"/>
  <c r="AO132" i="14"/>
  <c r="AP132" i="14" s="1"/>
  <c r="AO161" i="14"/>
  <c r="AP161" i="14" s="1"/>
  <c r="AO191" i="14"/>
  <c r="AP191" i="14" s="1"/>
  <c r="Q10" i="14"/>
  <c r="R10" i="14" s="1"/>
  <c r="Q19" i="14"/>
  <c r="R19" i="14" s="1"/>
  <c r="Q28" i="14"/>
  <c r="R28" i="14" s="1"/>
  <c r="Q37" i="14"/>
  <c r="R37" i="14" s="1"/>
  <c r="Q46" i="14"/>
  <c r="R46" i="14" s="1"/>
  <c r="Q55" i="14"/>
  <c r="R55" i="14" s="1"/>
  <c r="Q64" i="14"/>
  <c r="R64" i="14" s="1"/>
  <c r="Q74" i="14"/>
  <c r="R74" i="14" s="1"/>
  <c r="Q83" i="14"/>
  <c r="R83" i="14" s="1"/>
  <c r="Q92" i="14"/>
  <c r="R92" i="14" s="1"/>
  <c r="Q101" i="14"/>
  <c r="R101" i="14" s="1"/>
  <c r="Q110" i="14"/>
  <c r="R110" i="14" s="1"/>
  <c r="Q119" i="14"/>
  <c r="R119" i="14" s="1"/>
  <c r="Q128" i="14"/>
  <c r="R128" i="14" s="1"/>
  <c r="Q138" i="14"/>
  <c r="R138" i="14" s="1"/>
  <c r="Q147" i="14"/>
  <c r="R147" i="14" s="1"/>
  <c r="Q156" i="14"/>
  <c r="R156" i="14" s="1"/>
  <c r="Q165" i="14"/>
  <c r="R165" i="14" s="1"/>
  <c r="Q174" i="14"/>
  <c r="R174" i="14" s="1"/>
  <c r="Q183" i="14"/>
  <c r="R183" i="14" s="1"/>
  <c r="Q192" i="14"/>
  <c r="R192" i="14" s="1"/>
  <c r="Q202" i="14"/>
  <c r="R202" i="14" s="1"/>
  <c r="AH202" i="14" s="1"/>
  <c r="Q211" i="14"/>
  <c r="R211" i="14" s="1"/>
  <c r="Q220" i="14"/>
  <c r="R220" i="14" s="1"/>
  <c r="Q229" i="14"/>
  <c r="R229" i="14" s="1"/>
  <c r="Q238" i="14"/>
  <c r="R238" i="14" s="1"/>
  <c r="Q247" i="14"/>
  <c r="R247" i="14" s="1"/>
  <c r="W22" i="14"/>
  <c r="X22" i="14" s="1"/>
  <c r="AA15" i="14"/>
  <c r="AB15" i="14" s="1"/>
  <c r="Q5" i="14"/>
  <c r="R5" i="14" s="1"/>
  <c r="Q14" i="14"/>
  <c r="R14" i="14" s="1"/>
  <c r="Q23" i="14"/>
  <c r="R23" i="14" s="1"/>
  <c r="Q32" i="14"/>
  <c r="R32" i="14" s="1"/>
  <c r="AH32" i="14" s="1"/>
  <c r="Q42" i="14"/>
  <c r="R42" i="14" s="1"/>
  <c r="AH42" i="14" s="1"/>
  <c r="Q51" i="14"/>
  <c r="R51" i="14" s="1"/>
  <c r="Q60" i="14"/>
  <c r="R60" i="14" s="1"/>
  <c r="Q69" i="14"/>
  <c r="R69" i="14" s="1"/>
  <c r="Q78" i="14"/>
  <c r="R78" i="14" s="1"/>
  <c r="Q87" i="14"/>
  <c r="R87" i="14" s="1"/>
  <c r="Q96" i="14"/>
  <c r="R96" i="14" s="1"/>
  <c r="Q106" i="14"/>
  <c r="R106" i="14" s="1"/>
  <c r="Q115" i="14"/>
  <c r="R115" i="14" s="1"/>
  <c r="Q124" i="14"/>
  <c r="R124" i="14" s="1"/>
  <c r="Q133" i="14"/>
  <c r="R133" i="14" s="1"/>
  <c r="Q142" i="14"/>
  <c r="R142" i="14" s="1"/>
  <c r="Q151" i="14"/>
  <c r="R151" i="14" s="1"/>
  <c r="Q160" i="14"/>
  <c r="R160" i="14" s="1"/>
  <c r="Q170" i="14"/>
  <c r="R170" i="14" s="1"/>
  <c r="Q179" i="14"/>
  <c r="R179" i="14" s="1"/>
  <c r="Q188" i="14"/>
  <c r="R188" i="14" s="1"/>
  <c r="Q197" i="14"/>
  <c r="R197" i="14" s="1"/>
  <c r="Q206" i="14"/>
  <c r="R206" i="14" s="1"/>
  <c r="Q215" i="14"/>
  <c r="R215" i="14" s="1"/>
  <c r="Q224" i="14"/>
  <c r="R224" i="14" s="1"/>
  <c r="Q234" i="14"/>
  <c r="R234" i="14" s="1"/>
  <c r="Q243" i="14"/>
  <c r="R243" i="14" s="1"/>
  <c r="Q252" i="14"/>
  <c r="R252" i="14" s="1"/>
  <c r="W6" i="14"/>
  <c r="X6" i="14" s="1"/>
  <c r="W16" i="14"/>
  <c r="X16" i="14" s="1"/>
  <c r="W28" i="14"/>
  <c r="X28" i="14" s="1"/>
  <c r="W38" i="14"/>
  <c r="X38" i="14" s="1"/>
  <c r="W48" i="14"/>
  <c r="X48" i="14" s="1"/>
  <c r="W60" i="14"/>
  <c r="W70" i="14"/>
  <c r="X70" i="14" s="1"/>
  <c r="W80" i="14"/>
  <c r="X80" i="14" s="1"/>
  <c r="W92" i="14"/>
  <c r="W102" i="14"/>
  <c r="X102" i="14" s="1"/>
  <c r="W112" i="14"/>
  <c r="X112" i="14" s="1"/>
  <c r="W124" i="14"/>
  <c r="W134" i="14"/>
  <c r="X134" i="14" s="1"/>
  <c r="W144" i="14"/>
  <c r="X144" i="14" s="1"/>
  <c r="W156" i="14"/>
  <c r="X156" i="14" s="1"/>
  <c r="W166" i="14"/>
  <c r="X166" i="14" s="1"/>
  <c r="W176" i="14"/>
  <c r="X176" i="14" s="1"/>
  <c r="W188" i="14"/>
  <c r="X188" i="14" s="1"/>
  <c r="W198" i="14"/>
  <c r="X198" i="14" s="1"/>
  <c r="W208" i="14"/>
  <c r="X208" i="14" s="1"/>
  <c r="W220" i="14"/>
  <c r="W230" i="14"/>
  <c r="X230" i="14" s="1"/>
  <c r="W240" i="14"/>
  <c r="X240" i="14" s="1"/>
  <c r="W252" i="14"/>
  <c r="X252" i="14" s="1"/>
  <c r="AA7" i="14"/>
  <c r="AB7" i="14" s="1"/>
  <c r="AA20" i="14"/>
  <c r="AB20" i="14" s="1"/>
  <c r="AA32" i="14"/>
  <c r="AB32" i="14" s="1"/>
  <c r="AA46" i="14"/>
  <c r="AB46" i="14" s="1"/>
  <c r="AA58" i="14"/>
  <c r="AB58" i="14" s="1"/>
  <c r="AA71" i="14"/>
  <c r="AB71" i="14" s="1"/>
  <c r="AA84" i="14"/>
  <c r="AB84" i="14" s="1"/>
  <c r="AA96" i="14"/>
  <c r="AB96" i="14" s="1"/>
  <c r="AA110" i="14"/>
  <c r="AA122" i="14"/>
  <c r="AB122" i="14" s="1"/>
  <c r="AA135" i="14"/>
  <c r="AB135" i="14" s="1"/>
  <c r="AA148" i="14"/>
  <c r="AA160" i="14"/>
  <c r="AB160" i="14" s="1"/>
  <c r="AA174" i="14"/>
  <c r="AA186" i="14"/>
  <c r="AB186" i="14" s="1"/>
  <c r="AA199" i="14"/>
  <c r="AB199" i="14" s="1"/>
  <c r="AA212" i="14"/>
  <c r="AB212" i="14" s="1"/>
  <c r="AA224" i="14"/>
  <c r="AB224" i="14" s="1"/>
  <c r="AA238" i="14"/>
  <c r="AB238" i="14" s="1"/>
  <c r="AA250" i="14"/>
  <c r="AB250" i="14" s="1"/>
  <c r="AE8" i="14"/>
  <c r="AF8" i="14" s="1"/>
  <c r="AE24" i="14"/>
  <c r="AF24" i="14" s="1"/>
  <c r="AE42" i="14"/>
  <c r="AF42" i="14" s="1"/>
  <c r="AE58" i="14"/>
  <c r="AF58" i="14" s="1"/>
  <c r="AE74" i="14"/>
  <c r="AF74" i="14" s="1"/>
  <c r="AE94" i="14"/>
  <c r="AF94" i="14" s="1"/>
  <c r="AE110" i="14"/>
  <c r="AF110" i="14" s="1"/>
  <c r="AE128" i="14"/>
  <c r="AE150" i="14"/>
  <c r="AF150" i="14" s="1"/>
  <c r="AE168" i="14"/>
  <c r="AF168" i="14" s="1"/>
  <c r="AE187" i="14"/>
  <c r="AF187" i="14" s="1"/>
  <c r="AE208" i="14"/>
  <c r="AF208" i="14" s="1"/>
  <c r="AE227" i="14"/>
  <c r="AE245" i="14"/>
  <c r="AF245" i="14" s="1"/>
  <c r="AG13" i="14"/>
  <c r="AG33" i="14"/>
  <c r="AG63" i="14"/>
  <c r="AG95" i="14"/>
  <c r="AG127" i="14"/>
  <c r="AG167" i="14"/>
  <c r="AH167" i="14" s="1"/>
  <c r="AG206" i="14"/>
  <c r="AG246" i="14"/>
  <c r="AO247" i="14"/>
  <c r="AP247" i="14" s="1"/>
  <c r="AO232" i="14"/>
  <c r="AP232" i="14" s="1"/>
  <c r="AO208" i="14"/>
  <c r="AP208" i="14" s="1"/>
  <c r="AO183" i="14"/>
  <c r="AP183" i="14" s="1"/>
  <c r="AO164" i="14"/>
  <c r="AP164" i="14" s="1"/>
  <c r="AO146" i="14"/>
  <c r="AP146" i="14" s="1"/>
  <c r="AO127" i="14"/>
  <c r="AP127" i="14" s="1"/>
  <c r="AO109" i="14"/>
  <c r="AP109" i="14" s="1"/>
  <c r="AO91" i="14"/>
  <c r="AP91" i="14" s="1"/>
  <c r="AO73" i="14"/>
  <c r="AO54" i="14"/>
  <c r="AP54" i="14" s="1"/>
  <c r="AO250" i="14"/>
  <c r="AP250" i="14" s="1"/>
  <c r="AO225" i="14"/>
  <c r="AP225" i="14" s="1"/>
  <c r="AO201" i="14"/>
  <c r="AP201" i="14" s="1"/>
  <c r="AO178" i="14"/>
  <c r="AP178" i="14" s="1"/>
  <c r="AO159" i="14"/>
  <c r="AP159" i="14" s="1"/>
  <c r="AO141" i="14"/>
  <c r="AP141" i="14" s="1"/>
  <c r="AO123" i="14"/>
  <c r="AO105" i="14"/>
  <c r="AP105" i="14" s="1"/>
  <c r="AO86" i="14"/>
  <c r="AP86" i="14" s="1"/>
  <c r="AO68" i="14"/>
  <c r="AP68" i="14" s="1"/>
  <c r="AO50" i="14"/>
  <c r="AP50" i="14" s="1"/>
  <c r="AO245" i="14"/>
  <c r="AP245" i="14" s="1"/>
  <c r="AO221" i="14"/>
  <c r="AP221" i="14" s="1"/>
  <c r="AO197" i="14"/>
  <c r="AP197" i="14" s="1"/>
  <c r="AO174" i="14"/>
  <c r="AO156" i="14"/>
  <c r="AP156" i="14" s="1"/>
  <c r="AO138" i="14"/>
  <c r="AP138" i="14" s="1"/>
  <c r="AO119" i="14"/>
  <c r="AP119" i="14" s="1"/>
  <c r="AO101" i="14"/>
  <c r="AP101" i="14" s="1"/>
  <c r="AO83" i="14"/>
  <c r="AP83" i="14" s="1"/>
  <c r="AO65" i="14"/>
  <c r="AP65" i="14" s="1"/>
  <c r="AO77" i="14"/>
  <c r="AP77" i="14" s="1"/>
  <c r="AO106" i="14"/>
  <c r="AP106" i="14" s="1"/>
  <c r="AO133" i="14"/>
  <c r="AO165" i="14"/>
  <c r="AP165" i="14" s="1"/>
  <c r="AO194" i="14"/>
  <c r="AP194" i="14" s="1"/>
  <c r="AO237" i="14"/>
  <c r="AE49" i="14"/>
  <c r="AF49" i="14" s="1"/>
  <c r="AE84" i="14"/>
  <c r="AF84" i="14" s="1"/>
  <c r="AE140" i="14"/>
  <c r="AF140" i="14" s="1"/>
  <c r="AE179" i="14"/>
  <c r="AF179" i="14" s="1"/>
  <c r="AE238" i="14"/>
  <c r="AF238" i="14" s="1"/>
  <c r="AG77" i="14"/>
  <c r="Q20" i="14"/>
  <c r="R20" i="14" s="1"/>
  <c r="Q47" i="14"/>
  <c r="R47" i="14" s="1"/>
  <c r="Q93" i="14"/>
  <c r="R93" i="14" s="1"/>
  <c r="Q120" i="14"/>
  <c r="R120" i="14" s="1"/>
  <c r="Q166" i="14"/>
  <c r="R166" i="14" s="1"/>
  <c r="Q194" i="14"/>
  <c r="R194" i="14" s="1"/>
  <c r="Q221" i="14"/>
  <c r="R221" i="14" s="1"/>
  <c r="W2" i="14"/>
  <c r="X2" i="14" s="1"/>
  <c r="X255" i="14" s="1"/>
  <c r="W34" i="14"/>
  <c r="X34" i="14" s="1"/>
  <c r="W66" i="14"/>
  <c r="X66" i="14" s="1"/>
  <c r="W109" i="14"/>
  <c r="W141" i="14"/>
  <c r="X141" i="14" s="1"/>
  <c r="W173" i="14"/>
  <c r="X173" i="14" s="1"/>
  <c r="W215" i="14"/>
  <c r="X215" i="14" s="1"/>
  <c r="W247" i="14"/>
  <c r="X247" i="14" s="1"/>
  <c r="AA40" i="14"/>
  <c r="AB40" i="14" s="1"/>
  <c r="AA92" i="14"/>
  <c r="AB92" i="14" s="1"/>
  <c r="AA130" i="14"/>
  <c r="AA168" i="14"/>
  <c r="AB168" i="14" s="1"/>
  <c r="AA220" i="14"/>
  <c r="AB220" i="14" s="1"/>
  <c r="AE2" i="14"/>
  <c r="AF2" i="14" s="1"/>
  <c r="AF255" i="14" s="1"/>
  <c r="AE70" i="14"/>
  <c r="AE123" i="14"/>
  <c r="AF123" i="14" s="1"/>
  <c r="AE199" i="14"/>
  <c r="AF199" i="14" s="1"/>
  <c r="AG53" i="14"/>
  <c r="AG192" i="14"/>
  <c r="Q6" i="14"/>
  <c r="R6" i="14" s="1"/>
  <c r="Q15" i="14"/>
  <c r="R15" i="14" s="1"/>
  <c r="Q24" i="14"/>
  <c r="R24" i="14" s="1"/>
  <c r="Q34" i="14"/>
  <c r="R34" i="14" s="1"/>
  <c r="Q43" i="14"/>
  <c r="R43" i="14" s="1"/>
  <c r="Q52" i="14"/>
  <c r="R52" i="14" s="1"/>
  <c r="Q61" i="14"/>
  <c r="R61" i="14" s="1"/>
  <c r="Q70" i="14"/>
  <c r="R70" i="14" s="1"/>
  <c r="Q79" i="14"/>
  <c r="R79" i="14" s="1"/>
  <c r="Q88" i="14"/>
  <c r="R88" i="14" s="1"/>
  <c r="Q98" i="14"/>
  <c r="R98" i="14" s="1"/>
  <c r="Q107" i="14"/>
  <c r="R107" i="14" s="1"/>
  <c r="Q116" i="14"/>
  <c r="R116" i="14" s="1"/>
  <c r="Q125" i="14"/>
  <c r="R125" i="14" s="1"/>
  <c r="Q134" i="14"/>
  <c r="R134" i="14" s="1"/>
  <c r="Q143" i="14"/>
  <c r="R143" i="14" s="1"/>
  <c r="Q152" i="14"/>
  <c r="R152" i="14" s="1"/>
  <c r="Q162" i="14"/>
  <c r="R162" i="14" s="1"/>
  <c r="Q171" i="14"/>
  <c r="R171" i="14" s="1"/>
  <c r="Q180" i="14"/>
  <c r="R180" i="14" s="1"/>
  <c r="Q189" i="14"/>
  <c r="R189" i="14" s="1"/>
  <c r="Q198" i="14"/>
  <c r="R198" i="14" s="1"/>
  <c r="Q207" i="14"/>
  <c r="R207" i="14" s="1"/>
  <c r="Q216" i="14"/>
  <c r="R216" i="14" s="1"/>
  <c r="Q226" i="14"/>
  <c r="R226" i="14" s="1"/>
  <c r="Q235" i="14"/>
  <c r="R235" i="14" s="1"/>
  <c r="Q244" i="14"/>
  <c r="R244" i="14" s="1"/>
  <c r="Q253" i="14"/>
  <c r="R253" i="14" s="1"/>
  <c r="W7" i="14"/>
  <c r="X7" i="14" s="1"/>
  <c r="W18" i="14"/>
  <c r="X18" i="14" s="1"/>
  <c r="W29" i="14"/>
  <c r="X29" i="14" s="1"/>
  <c r="W39" i="14"/>
  <c r="W50" i="14"/>
  <c r="W61" i="14"/>
  <c r="X61" i="14" s="1"/>
  <c r="W71" i="14"/>
  <c r="X71" i="14" s="1"/>
  <c r="W82" i="14"/>
  <c r="W93" i="14"/>
  <c r="W103" i="14"/>
  <c r="W114" i="14"/>
  <c r="X114" i="14" s="1"/>
  <c r="W125" i="14"/>
  <c r="W135" i="14"/>
  <c r="X135" i="14" s="1"/>
  <c r="W146" i="14"/>
  <c r="X146" i="14" s="1"/>
  <c r="W157" i="14"/>
  <c r="X157" i="14" s="1"/>
  <c r="W167" i="14"/>
  <c r="W178" i="14"/>
  <c r="W189" i="14"/>
  <c r="X189" i="14" s="1"/>
  <c r="W199" i="14"/>
  <c r="X199" i="14" s="1"/>
  <c r="W210" i="14"/>
  <c r="W221" i="14"/>
  <c r="W231" i="14"/>
  <c r="X231" i="14" s="1"/>
  <c r="W242" i="14"/>
  <c r="X242" i="14" s="1"/>
  <c r="W253" i="14"/>
  <c r="AA8" i="14"/>
  <c r="AA22" i="14"/>
  <c r="AB22" i="14" s="1"/>
  <c r="AA34" i="14"/>
  <c r="AB34" i="14" s="1"/>
  <c r="AA47" i="14"/>
  <c r="AB47" i="14" s="1"/>
  <c r="AA60" i="14"/>
  <c r="AA72" i="14"/>
  <c r="AB72" i="14" s="1"/>
  <c r="AA86" i="14"/>
  <c r="AB86" i="14" s="1"/>
  <c r="AA98" i="14"/>
  <c r="AB98" i="14" s="1"/>
  <c r="AA111" i="14"/>
  <c r="AB111" i="14" s="1"/>
  <c r="AA124" i="14"/>
  <c r="AB124" i="14" s="1"/>
  <c r="AA136" i="14"/>
  <c r="AB136" i="14" s="1"/>
  <c r="AA150" i="14"/>
  <c r="AB150" i="14" s="1"/>
  <c r="AA162" i="14"/>
  <c r="AB162" i="14" s="1"/>
  <c r="AA175" i="14"/>
  <c r="AA188" i="14"/>
  <c r="AB188" i="14" s="1"/>
  <c r="AA200" i="14"/>
  <c r="AB200" i="14" s="1"/>
  <c r="AA214" i="14"/>
  <c r="AA226" i="14"/>
  <c r="AB226" i="14" s="1"/>
  <c r="AA239" i="14"/>
  <c r="AB239" i="14" s="1"/>
  <c r="AA252" i="14"/>
  <c r="AE9" i="14"/>
  <c r="AF9" i="14" s="1"/>
  <c r="AE28" i="14"/>
  <c r="AF28" i="14" s="1"/>
  <c r="AE44" i="14"/>
  <c r="AF44" i="14" s="1"/>
  <c r="AE60" i="14"/>
  <c r="AE80" i="14"/>
  <c r="AE96" i="14"/>
  <c r="AF96" i="14" s="1"/>
  <c r="AE112" i="14"/>
  <c r="AF112" i="14" s="1"/>
  <c r="AE133" i="14"/>
  <c r="AF133" i="14" s="1"/>
  <c r="AE151" i="14"/>
  <c r="AF151" i="14" s="1"/>
  <c r="AE169" i="14"/>
  <c r="AF169" i="14" s="1"/>
  <c r="AE192" i="14"/>
  <c r="AF192" i="14" s="1"/>
  <c r="AE211" i="14"/>
  <c r="AE229" i="14"/>
  <c r="AE251" i="14"/>
  <c r="AF251" i="14" s="1"/>
  <c r="AG14" i="14"/>
  <c r="AG41" i="14"/>
  <c r="AG65" i="14"/>
  <c r="AG96" i="14"/>
  <c r="AG128" i="14"/>
  <c r="AG168" i="14"/>
  <c r="AG216" i="14"/>
  <c r="AI50" i="14"/>
  <c r="AJ50" i="14" s="1"/>
  <c r="AI103" i="14"/>
  <c r="AJ103" i="14" s="1"/>
  <c r="AI153" i="14"/>
  <c r="AJ153" i="14" s="1"/>
  <c r="AI208" i="14"/>
  <c r="AJ208" i="14" s="1"/>
  <c r="AO51" i="14"/>
  <c r="AP51" i="14" s="1"/>
  <c r="AO78" i="14"/>
  <c r="AP78" i="14" s="1"/>
  <c r="AO110" i="14"/>
  <c r="AP110" i="14" s="1"/>
  <c r="AO137" i="14"/>
  <c r="AO169" i="14"/>
  <c r="AP169" i="14" s="1"/>
  <c r="AO202" i="14"/>
  <c r="AP202" i="14" s="1"/>
  <c r="AO240" i="14"/>
  <c r="AP240" i="14" s="1"/>
  <c r="AG49" i="14"/>
  <c r="AG143" i="14"/>
  <c r="AH143" i="14" s="1"/>
  <c r="AG230" i="14"/>
  <c r="Q2" i="14"/>
  <c r="R2" i="14" s="1"/>
  <c r="Q38" i="14"/>
  <c r="R38" i="14" s="1"/>
  <c r="Q75" i="14"/>
  <c r="R75" i="14" s="1"/>
  <c r="Q102" i="14"/>
  <c r="R102" i="14" s="1"/>
  <c r="Q139" i="14"/>
  <c r="R139" i="14" s="1"/>
  <c r="Q175" i="14"/>
  <c r="R175" i="14" s="1"/>
  <c r="Q203" i="14"/>
  <c r="R203" i="14" s="1"/>
  <c r="Q230" i="14"/>
  <c r="R230" i="14" s="1"/>
  <c r="AH230" i="14" s="1"/>
  <c r="W13" i="14"/>
  <c r="X13" i="14" s="1"/>
  <c r="W45" i="14"/>
  <c r="X45" i="14" s="1"/>
  <c r="W77" i="14"/>
  <c r="X77" i="14" s="1"/>
  <c r="W119" i="14"/>
  <c r="X119" i="14" s="1"/>
  <c r="W151" i="14"/>
  <c r="W183" i="14"/>
  <c r="X183" i="14" s="1"/>
  <c r="W226" i="14"/>
  <c r="X226" i="14" s="1"/>
  <c r="AA2" i="14"/>
  <c r="AB2" i="14" s="1"/>
  <c r="AB255" i="14" s="1"/>
  <c r="AA54" i="14"/>
  <c r="AA104" i="14"/>
  <c r="AA143" i="14"/>
  <c r="AB143" i="14" s="1"/>
  <c r="AA194" i="14"/>
  <c r="AB194" i="14" s="1"/>
  <c r="AA232" i="14"/>
  <c r="AB232" i="14" s="1"/>
  <c r="AE18" i="14"/>
  <c r="AF18" i="14" s="1"/>
  <c r="AE86" i="14"/>
  <c r="AE141" i="14"/>
  <c r="AE240" i="14"/>
  <c r="Q7" i="14"/>
  <c r="R7" i="14" s="1"/>
  <c r="Q16" i="14"/>
  <c r="R16" i="14" s="1"/>
  <c r="Q26" i="14"/>
  <c r="R26" i="14" s="1"/>
  <c r="Q35" i="14"/>
  <c r="R35" i="14" s="1"/>
  <c r="Q44" i="14"/>
  <c r="R44" i="14" s="1"/>
  <c r="Q53" i="14"/>
  <c r="R53" i="14" s="1"/>
  <c r="Q62" i="14"/>
  <c r="R62" i="14" s="1"/>
  <c r="Q71" i="14"/>
  <c r="R71" i="14" s="1"/>
  <c r="Q80" i="14"/>
  <c r="R80" i="14" s="1"/>
  <c r="Q90" i="14"/>
  <c r="R90" i="14" s="1"/>
  <c r="Q99" i="14"/>
  <c r="R99" i="14" s="1"/>
  <c r="Q108" i="14"/>
  <c r="R108" i="14" s="1"/>
  <c r="Q117" i="14"/>
  <c r="R117" i="14" s="1"/>
  <c r="Q126" i="14"/>
  <c r="R126" i="14" s="1"/>
  <c r="Q135" i="14"/>
  <c r="R135" i="14" s="1"/>
  <c r="Q144" i="14"/>
  <c r="R144" i="14" s="1"/>
  <c r="Q154" i="14"/>
  <c r="R154" i="14" s="1"/>
  <c r="Q163" i="14"/>
  <c r="R163" i="14" s="1"/>
  <c r="Q172" i="14"/>
  <c r="R172" i="14" s="1"/>
  <c r="Q181" i="14"/>
  <c r="R181" i="14" s="1"/>
  <c r="Q190" i="14"/>
  <c r="R190" i="14" s="1"/>
  <c r="Q199" i="14"/>
  <c r="R199" i="14" s="1"/>
  <c r="Q208" i="14"/>
  <c r="R208" i="14" s="1"/>
  <c r="Q218" i="14"/>
  <c r="R218" i="14" s="1"/>
  <c r="Q227" i="14"/>
  <c r="R227" i="14" s="1"/>
  <c r="Q236" i="14"/>
  <c r="R236" i="14" s="1"/>
  <c r="Q245" i="14"/>
  <c r="R245" i="14" s="1"/>
  <c r="Q254" i="14"/>
  <c r="R254" i="14" s="1"/>
  <c r="W8" i="14"/>
  <c r="X8" i="14" s="1"/>
  <c r="W20" i="14"/>
  <c r="X20" i="14" s="1"/>
  <c r="W30" i="14"/>
  <c r="X30" i="14" s="1"/>
  <c r="W40" i="14"/>
  <c r="X40" i="14" s="1"/>
  <c r="W52" i="14"/>
  <c r="W62" i="14"/>
  <c r="W72" i="14"/>
  <c r="X72" i="14" s="1"/>
  <c r="W84" i="14"/>
  <c r="W94" i="14"/>
  <c r="X94" i="14" s="1"/>
  <c r="W104" i="14"/>
  <c r="X104" i="14" s="1"/>
  <c r="W116" i="14"/>
  <c r="X116" i="14" s="1"/>
  <c r="W126" i="14"/>
  <c r="W136" i="14"/>
  <c r="W148" i="14"/>
  <c r="X148" i="14" s="1"/>
  <c r="W158" i="14"/>
  <c r="X158" i="14" s="1"/>
  <c r="W168" i="14"/>
  <c r="W180" i="14"/>
  <c r="X180" i="14" s="1"/>
  <c r="W190" i="14"/>
  <c r="X190" i="14" s="1"/>
  <c r="W200" i="14"/>
  <c r="W212" i="14"/>
  <c r="W222" i="14"/>
  <c r="W232" i="14"/>
  <c r="X232" i="14" s="1"/>
  <c r="W244" i="14"/>
  <c r="X244" i="14" s="1"/>
  <c r="W254" i="14"/>
  <c r="X254" i="14" s="1"/>
  <c r="AA10" i="14"/>
  <c r="AB10" i="14" s="1"/>
  <c r="AA23" i="14"/>
  <c r="AB23" i="14" s="1"/>
  <c r="AA36" i="14"/>
  <c r="AB36" i="14" s="1"/>
  <c r="AA48" i="14"/>
  <c r="AA62" i="14"/>
  <c r="AA74" i="14"/>
  <c r="AB74" i="14" s="1"/>
  <c r="AA87" i="14"/>
  <c r="AB87" i="14" s="1"/>
  <c r="AA100" i="14"/>
  <c r="AA112" i="14"/>
  <c r="AB112" i="14" s="1"/>
  <c r="AA126" i="14"/>
  <c r="AB126" i="14" s="1"/>
  <c r="AA138" i="14"/>
  <c r="AA151" i="14"/>
  <c r="AB151" i="14" s="1"/>
  <c r="AA164" i="14"/>
  <c r="AA176" i="14"/>
  <c r="AB176" i="14" s="1"/>
  <c r="AA190" i="14"/>
  <c r="AB190" i="14" s="1"/>
  <c r="AA202" i="14"/>
  <c r="AA215" i="14"/>
  <c r="AB215" i="14" s="1"/>
  <c r="AA228" i="14"/>
  <c r="AB228" i="14" s="1"/>
  <c r="AA240" i="14"/>
  <c r="AB240" i="14" s="1"/>
  <c r="AA254" i="14"/>
  <c r="AE10" i="14"/>
  <c r="AF10" i="14" s="1"/>
  <c r="AE30" i="14"/>
  <c r="AF30" i="14" s="1"/>
  <c r="AE46" i="14"/>
  <c r="AE62" i="14"/>
  <c r="AE81" i="14"/>
  <c r="AF81" i="14" s="1"/>
  <c r="AE97" i="14"/>
  <c r="AF97" i="14" s="1"/>
  <c r="AE113" i="14"/>
  <c r="AF113" i="14" s="1"/>
  <c r="AE135" i="14"/>
  <c r="AF135" i="14" s="1"/>
  <c r="AE153" i="14"/>
  <c r="AF153" i="14" s="1"/>
  <c r="AE172" i="14"/>
  <c r="AF172" i="14" s="1"/>
  <c r="AE195" i="14"/>
  <c r="AF195" i="14" s="1"/>
  <c r="AE213" i="14"/>
  <c r="AE231" i="14"/>
  <c r="AF231" i="14" s="1"/>
  <c r="AE252" i="14"/>
  <c r="AF252" i="14" s="1"/>
  <c r="AG17" i="14"/>
  <c r="AG42" i="14"/>
  <c r="AG69" i="14"/>
  <c r="AG97" i="14"/>
  <c r="AG138" i="14"/>
  <c r="AG177" i="14"/>
  <c r="AG217" i="14"/>
  <c r="AI11" i="14"/>
  <c r="AJ11" i="14" s="1"/>
  <c r="AI64" i="14"/>
  <c r="AJ64" i="14" s="1"/>
  <c r="AI114" i="14"/>
  <c r="AJ114" i="14" s="1"/>
  <c r="AI167" i="14"/>
  <c r="AJ167" i="14" s="1"/>
  <c r="AI224" i="14"/>
  <c r="AJ224" i="14" s="1"/>
  <c r="AO55" i="14"/>
  <c r="AP55" i="14" s="1"/>
  <c r="AO82" i="14"/>
  <c r="AP82" i="14" s="1"/>
  <c r="AO114" i="14"/>
  <c r="AP114" i="14" s="1"/>
  <c r="AO142" i="14"/>
  <c r="AP142" i="14" s="1"/>
  <c r="AO170" i="14"/>
  <c r="AO209" i="14"/>
  <c r="AP209" i="14" s="1"/>
  <c r="AO243" i="14"/>
  <c r="W12" i="14"/>
  <c r="X12" i="14" s="1"/>
  <c r="W32" i="14"/>
  <c r="X32" i="14" s="1"/>
  <c r="W44" i="14"/>
  <c r="X44" i="14" s="1"/>
  <c r="W54" i="14"/>
  <c r="X54" i="14" s="1"/>
  <c r="W64" i="14"/>
  <c r="X64" i="14" s="1"/>
  <c r="W76" i="14"/>
  <c r="X76" i="14" s="1"/>
  <c r="W86" i="14"/>
  <c r="X86" i="14" s="1"/>
  <c r="W96" i="14"/>
  <c r="W108" i="14"/>
  <c r="W118" i="14"/>
  <c r="X118" i="14" s="1"/>
  <c r="W128" i="14"/>
  <c r="X128" i="14" s="1"/>
  <c r="W140" i="14"/>
  <c r="X140" i="14" s="1"/>
  <c r="W150" i="14"/>
  <c r="W160" i="14"/>
  <c r="X160" i="14" s="1"/>
  <c r="W172" i="14"/>
  <c r="W182" i="14"/>
  <c r="W192" i="14"/>
  <c r="W204" i="14"/>
  <c r="X204" i="14" s="1"/>
  <c r="W214" i="14"/>
  <c r="X214" i="14" s="1"/>
  <c r="W236" i="14"/>
  <c r="X236" i="14" s="1"/>
  <c r="W246" i="14"/>
  <c r="AA14" i="14"/>
  <c r="AB14" i="14" s="1"/>
  <c r="AA39" i="14"/>
  <c r="AB39" i="14" s="1"/>
  <c r="AA64" i="14"/>
  <c r="AA90" i="14"/>
  <c r="AB90" i="14" s="1"/>
  <c r="AA116" i="14"/>
  <c r="AB116" i="14" s="1"/>
  <c r="AA142" i="14"/>
  <c r="AB142" i="14" s="1"/>
  <c r="AA167" i="14"/>
  <c r="AB167" i="14" s="1"/>
  <c r="AA192" i="14"/>
  <c r="AB192" i="14" s="1"/>
  <c r="AA218" i="14"/>
  <c r="AB218" i="14" s="1"/>
  <c r="AA244" i="14"/>
  <c r="AB244" i="14" s="1"/>
  <c r="AE33" i="14"/>
  <c r="AF33" i="14" s="1"/>
  <c r="AE100" i="14"/>
  <c r="AF100" i="14" s="1"/>
  <c r="AE158" i="14"/>
  <c r="AF158" i="14" s="1"/>
  <c r="AE197" i="14"/>
  <c r="AF197" i="14" s="1"/>
  <c r="AG24" i="14"/>
  <c r="AH24" i="14" s="1"/>
  <c r="AG106" i="14"/>
  <c r="AG191" i="14"/>
  <c r="AE222" i="14"/>
  <c r="AF222" i="14" s="1"/>
  <c r="Q8" i="14"/>
  <c r="R8" i="14" s="1"/>
  <c r="Q18" i="14"/>
  <c r="R18" i="14" s="1"/>
  <c r="Q27" i="14"/>
  <c r="R27" i="14" s="1"/>
  <c r="Q36" i="14"/>
  <c r="R36" i="14" s="1"/>
  <c r="Q45" i="14"/>
  <c r="R45" i="14" s="1"/>
  <c r="Q54" i="14"/>
  <c r="R54" i="14" s="1"/>
  <c r="Q63" i="14"/>
  <c r="R63" i="14" s="1"/>
  <c r="Q72" i="14"/>
  <c r="R72" i="14" s="1"/>
  <c r="Q82" i="14"/>
  <c r="R82" i="14" s="1"/>
  <c r="Q91" i="14"/>
  <c r="R91" i="14" s="1"/>
  <c r="Q100" i="14"/>
  <c r="R100" i="14" s="1"/>
  <c r="Q109" i="14"/>
  <c r="R109" i="14" s="1"/>
  <c r="Q118" i="14"/>
  <c r="R118" i="14" s="1"/>
  <c r="AH118" i="14" s="1"/>
  <c r="Q127" i="14"/>
  <c r="R127" i="14" s="1"/>
  <c r="Q136" i="14"/>
  <c r="R136" i="14" s="1"/>
  <c r="Q146" i="14"/>
  <c r="R146" i="14" s="1"/>
  <c r="Q155" i="14"/>
  <c r="R155" i="14" s="1"/>
  <c r="Q164" i="14"/>
  <c r="R164" i="14" s="1"/>
  <c r="Q173" i="14"/>
  <c r="R173" i="14" s="1"/>
  <c r="Q182" i="14"/>
  <c r="R182" i="14" s="1"/>
  <c r="Q191" i="14"/>
  <c r="R191" i="14" s="1"/>
  <c r="Q200" i="14"/>
  <c r="R200" i="14" s="1"/>
  <c r="Q210" i="14"/>
  <c r="R210" i="14" s="1"/>
  <c r="Q219" i="14"/>
  <c r="R219" i="14" s="1"/>
  <c r="Q228" i="14"/>
  <c r="R228" i="14" s="1"/>
  <c r="Q237" i="14"/>
  <c r="R237" i="14" s="1"/>
  <c r="Q246" i="14"/>
  <c r="R246" i="14" s="1"/>
  <c r="W10" i="14"/>
  <c r="W21" i="14"/>
  <c r="X21" i="14" s="1"/>
  <c r="W31" i="14"/>
  <c r="X31" i="14" s="1"/>
  <c r="W42" i="14"/>
  <c r="W53" i="14"/>
  <c r="X53" i="14" s="1"/>
  <c r="W63" i="14"/>
  <c r="X63" i="14" s="1"/>
  <c r="W74" i="14"/>
  <c r="X74" i="14" s="1"/>
  <c r="W85" i="14"/>
  <c r="X85" i="14" s="1"/>
  <c r="W95" i="14"/>
  <c r="W106" i="14"/>
  <c r="X106" i="14" s="1"/>
  <c r="W117" i="14"/>
  <c r="X117" i="14" s="1"/>
  <c r="W127" i="14"/>
  <c r="W138" i="14"/>
  <c r="W149" i="14"/>
  <c r="X149" i="14" s="1"/>
  <c r="W159" i="14"/>
  <c r="X159" i="14" s="1"/>
  <c r="W170" i="14"/>
  <c r="X170" i="14" s="1"/>
  <c r="W181" i="14"/>
  <c r="X181" i="14" s="1"/>
  <c r="W191" i="14"/>
  <c r="X191" i="14" s="1"/>
  <c r="W202" i="14"/>
  <c r="X202" i="14" s="1"/>
  <c r="W213" i="14"/>
  <c r="W223" i="14"/>
  <c r="X223" i="14" s="1"/>
  <c r="W234" i="14"/>
  <c r="X234" i="14" s="1"/>
  <c r="W245" i="14"/>
  <c r="X245" i="14" s="1"/>
  <c r="AA12" i="14"/>
  <c r="AB12" i="14" s="1"/>
  <c r="AA24" i="14"/>
  <c r="AA38" i="14"/>
  <c r="AB38" i="14" s="1"/>
  <c r="AA50" i="14"/>
  <c r="AB50" i="14" s="1"/>
  <c r="AA63" i="14"/>
  <c r="AA76" i="14"/>
  <c r="AA88" i="14"/>
  <c r="AA102" i="14"/>
  <c r="AB102" i="14" s="1"/>
  <c r="AA114" i="14"/>
  <c r="AB114" i="14" s="1"/>
  <c r="AA127" i="14"/>
  <c r="AA140" i="14"/>
  <c r="AA152" i="14"/>
  <c r="AB152" i="14" s="1"/>
  <c r="AA166" i="14"/>
  <c r="AA178" i="14"/>
  <c r="AB178" i="14" s="1"/>
  <c r="AA191" i="14"/>
  <c r="AB191" i="14" s="1"/>
  <c r="AA204" i="14"/>
  <c r="AB204" i="14" s="1"/>
  <c r="AA216" i="14"/>
  <c r="AB216" i="14" s="1"/>
  <c r="AA230" i="14"/>
  <c r="AA242" i="14"/>
  <c r="AB242" i="14" s="1"/>
  <c r="AE16" i="14"/>
  <c r="AF16" i="14" s="1"/>
  <c r="AE32" i="14"/>
  <c r="AE48" i="14"/>
  <c r="AF48" i="14" s="1"/>
  <c r="AE66" i="14"/>
  <c r="AE82" i="14"/>
  <c r="AF82" i="14" s="1"/>
  <c r="AE98" i="14"/>
  <c r="AF98" i="14" s="1"/>
  <c r="AE119" i="14"/>
  <c r="AF119" i="14" s="1"/>
  <c r="AE137" i="14"/>
  <c r="AF137" i="14" s="1"/>
  <c r="AE156" i="14"/>
  <c r="AF156" i="14" s="1"/>
  <c r="AE177" i="14"/>
  <c r="AE196" i="14"/>
  <c r="AF196" i="14" s="1"/>
  <c r="AE214" i="14"/>
  <c r="AE236" i="14"/>
  <c r="AF236" i="14" s="1"/>
  <c r="AE254" i="14"/>
  <c r="AF254" i="14" s="1"/>
  <c r="AG20" i="14"/>
  <c r="AG45" i="14"/>
  <c r="AG74" i="14"/>
  <c r="AG105" i="14"/>
  <c r="AG142" i="14"/>
  <c r="AG178" i="14"/>
  <c r="AI15" i="14"/>
  <c r="AJ15" i="14" s="1"/>
  <c r="AI65" i="14"/>
  <c r="AJ65" i="14" s="1"/>
  <c r="AI115" i="14"/>
  <c r="AJ115" i="14" s="1"/>
  <c r="AI168" i="14"/>
  <c r="AJ168" i="14" s="1"/>
  <c r="AI225" i="14"/>
  <c r="AJ225" i="14" s="1"/>
  <c r="AO59" i="14"/>
  <c r="AP59" i="14" s="1"/>
  <c r="AO87" i="14"/>
  <c r="AO115" i="14"/>
  <c r="AO147" i="14"/>
  <c r="AO173" i="14"/>
  <c r="AP173" i="14" s="1"/>
  <c r="AO213" i="14"/>
  <c r="AP213" i="14" s="1"/>
  <c r="AO251" i="14"/>
  <c r="AP251" i="14" s="1"/>
  <c r="Q247" i="15"/>
  <c r="R247" i="15" s="1"/>
  <c r="Q239" i="15"/>
  <c r="R239" i="15" s="1"/>
  <c r="Q231" i="15"/>
  <c r="R231" i="15" s="1"/>
  <c r="Q223" i="15"/>
  <c r="R223" i="15" s="1"/>
  <c r="AH223" i="15" s="1"/>
  <c r="Q215" i="15"/>
  <c r="R215" i="15" s="1"/>
  <c r="Q207" i="15"/>
  <c r="R207" i="15" s="1"/>
  <c r="Q199" i="15"/>
  <c r="R199" i="15" s="1"/>
  <c r="AH199" i="15" s="1"/>
  <c r="Q9" i="15"/>
  <c r="R9" i="15" s="1"/>
  <c r="Q17" i="15"/>
  <c r="R17" i="15" s="1"/>
  <c r="Q25" i="15"/>
  <c r="R25" i="15" s="1"/>
  <c r="Q33" i="15"/>
  <c r="R33" i="15" s="1"/>
  <c r="Q41" i="15"/>
  <c r="R41" i="15" s="1"/>
  <c r="Q49" i="15"/>
  <c r="R49" i="15" s="1"/>
  <c r="Q57" i="15"/>
  <c r="R57" i="15" s="1"/>
  <c r="Q65" i="15"/>
  <c r="R65" i="15" s="1"/>
  <c r="Q73" i="15"/>
  <c r="R73" i="15" s="1"/>
  <c r="Q81" i="15"/>
  <c r="R81" i="15" s="1"/>
  <c r="Q89" i="15"/>
  <c r="R89" i="15" s="1"/>
  <c r="Q97" i="15"/>
  <c r="R97" i="15" s="1"/>
  <c r="Q105" i="15"/>
  <c r="R105" i="15" s="1"/>
  <c r="Q113" i="15"/>
  <c r="R113" i="15" s="1"/>
  <c r="Q121" i="15"/>
  <c r="R121" i="15" s="1"/>
  <c r="Q129" i="15"/>
  <c r="R129" i="15" s="1"/>
  <c r="Q137" i="15"/>
  <c r="R137" i="15" s="1"/>
  <c r="Q145" i="15"/>
  <c r="R145" i="15" s="1"/>
  <c r="Q153" i="15"/>
  <c r="R153" i="15" s="1"/>
  <c r="Q161" i="15"/>
  <c r="R161" i="15" s="1"/>
  <c r="Q169" i="15"/>
  <c r="R169" i="15" s="1"/>
  <c r="Q177" i="15"/>
  <c r="R177" i="15" s="1"/>
  <c r="Q185" i="15"/>
  <c r="R185" i="15" s="1"/>
  <c r="Q193" i="15"/>
  <c r="R193" i="15" s="1"/>
  <c r="Q202" i="15"/>
  <c r="R202" i="15" s="1"/>
  <c r="Q211" i="15"/>
  <c r="R211" i="15" s="1"/>
  <c r="Q220" i="15"/>
  <c r="R220" i="15" s="1"/>
  <c r="AH220" i="15" s="1"/>
  <c r="Q229" i="15"/>
  <c r="R229" i="15" s="1"/>
  <c r="Q238" i="15"/>
  <c r="R238" i="15" s="1"/>
  <c r="Q248" i="15"/>
  <c r="R248" i="15" s="1"/>
  <c r="AA6" i="15"/>
  <c r="AB6" i="15" s="1"/>
  <c r="AA24" i="15"/>
  <c r="AB24" i="15" s="1"/>
  <c r="AA39" i="15"/>
  <c r="AB39" i="15" s="1"/>
  <c r="AA57" i="15"/>
  <c r="AA77" i="15"/>
  <c r="AA92" i="15"/>
  <c r="AB92" i="15" s="1"/>
  <c r="AA110" i="15"/>
  <c r="AB110" i="15" s="1"/>
  <c r="AA125" i="15"/>
  <c r="AB125" i="15" s="1"/>
  <c r="AA143" i="15"/>
  <c r="AB143" i="15" s="1"/>
  <c r="AA161" i="15"/>
  <c r="AA176" i="15"/>
  <c r="AB176" i="15" s="1"/>
  <c r="AA196" i="15"/>
  <c r="AB196" i="15" s="1"/>
  <c r="AA209" i="15"/>
  <c r="AB209" i="15" s="1"/>
  <c r="AA229" i="15"/>
  <c r="AB229" i="15" s="1"/>
  <c r="AA247" i="15"/>
  <c r="AB247" i="15" s="1"/>
  <c r="X7" i="15"/>
  <c r="AD26" i="15"/>
  <c r="AD56" i="15"/>
  <c r="Q3" i="15"/>
  <c r="R3" i="15" s="1"/>
  <c r="AH3" i="15" s="1"/>
  <c r="Q11" i="15"/>
  <c r="R11" i="15" s="1"/>
  <c r="AH11" i="15" s="1"/>
  <c r="Q19" i="15"/>
  <c r="R19" i="15" s="1"/>
  <c r="Q27" i="15"/>
  <c r="R27" i="15" s="1"/>
  <c r="Q35" i="15"/>
  <c r="R35" i="15" s="1"/>
  <c r="AH35" i="15" s="1"/>
  <c r="Q43" i="15"/>
  <c r="R43" i="15" s="1"/>
  <c r="Q51" i="15"/>
  <c r="R51" i="15" s="1"/>
  <c r="AH51" i="15" s="1"/>
  <c r="Q59" i="15"/>
  <c r="R59" i="15" s="1"/>
  <c r="Q67" i="15"/>
  <c r="R67" i="15" s="1"/>
  <c r="AH67" i="15" s="1"/>
  <c r="Q75" i="15"/>
  <c r="R75" i="15" s="1"/>
  <c r="Q83" i="15"/>
  <c r="R83" i="15" s="1"/>
  <c r="Q91" i="15"/>
  <c r="R91" i="15" s="1"/>
  <c r="AH91" i="15" s="1"/>
  <c r="Q99" i="15"/>
  <c r="R99" i="15" s="1"/>
  <c r="AH99" i="15" s="1"/>
  <c r="Q107" i="15"/>
  <c r="R107" i="15" s="1"/>
  <c r="Q115" i="15"/>
  <c r="R115" i="15" s="1"/>
  <c r="Q123" i="15"/>
  <c r="R123" i="15" s="1"/>
  <c r="Q131" i="15"/>
  <c r="R131" i="15" s="1"/>
  <c r="AH131" i="15" s="1"/>
  <c r="Q139" i="15"/>
  <c r="R139" i="15" s="1"/>
  <c r="AH139" i="15" s="1"/>
  <c r="Q147" i="15"/>
  <c r="R147" i="15" s="1"/>
  <c r="Q155" i="15"/>
  <c r="R155" i="15" s="1"/>
  <c r="Q163" i="15"/>
  <c r="R163" i="15" s="1"/>
  <c r="AH163" i="15" s="1"/>
  <c r="Q171" i="15"/>
  <c r="R171" i="15" s="1"/>
  <c r="AH171" i="15" s="1"/>
  <c r="Q179" i="15"/>
  <c r="R179" i="15" s="1"/>
  <c r="AH179" i="15" s="1"/>
  <c r="Q187" i="15"/>
  <c r="R187" i="15" s="1"/>
  <c r="AH187" i="15" s="1"/>
  <c r="Q195" i="15"/>
  <c r="R195" i="15" s="1"/>
  <c r="AH195" i="15" s="1"/>
  <c r="Q204" i="15"/>
  <c r="R204" i="15" s="1"/>
  <c r="Q213" i="15"/>
  <c r="R213" i="15" s="1"/>
  <c r="Q222" i="15"/>
  <c r="R222" i="15" s="1"/>
  <c r="Q232" i="15"/>
  <c r="R232" i="15" s="1"/>
  <c r="AH232" i="15" s="1"/>
  <c r="Q241" i="15"/>
  <c r="R241" i="15" s="1"/>
  <c r="Q250" i="15"/>
  <c r="R250" i="15" s="1"/>
  <c r="V37" i="15"/>
  <c r="Q4" i="15"/>
  <c r="R4" i="15" s="1"/>
  <c r="Q12" i="15"/>
  <c r="R12" i="15" s="1"/>
  <c r="Q20" i="15"/>
  <c r="R20" i="15" s="1"/>
  <c r="AH20" i="15" s="1"/>
  <c r="Q28" i="15"/>
  <c r="R28" i="15" s="1"/>
  <c r="AH28" i="15" s="1"/>
  <c r="Q36" i="15"/>
  <c r="R36" i="15" s="1"/>
  <c r="AH36" i="15" s="1"/>
  <c r="Q44" i="15"/>
  <c r="R44" i="15" s="1"/>
  <c r="Q52" i="15"/>
  <c r="R52" i="15" s="1"/>
  <c r="AH52" i="15" s="1"/>
  <c r="Q60" i="15"/>
  <c r="R60" i="15" s="1"/>
  <c r="Q68" i="15"/>
  <c r="R68" i="15" s="1"/>
  <c r="AH68" i="15" s="1"/>
  <c r="Q76" i="15"/>
  <c r="R76" i="15" s="1"/>
  <c r="AH76" i="15" s="1"/>
  <c r="Q84" i="15"/>
  <c r="R84" i="15" s="1"/>
  <c r="Q92" i="15"/>
  <c r="R92" i="15" s="1"/>
  <c r="Q100" i="15"/>
  <c r="R100" i="15" s="1"/>
  <c r="Q108" i="15"/>
  <c r="R108" i="15" s="1"/>
  <c r="Q116" i="15"/>
  <c r="R116" i="15" s="1"/>
  <c r="Q124" i="15"/>
  <c r="R124" i="15" s="1"/>
  <c r="Q132" i="15"/>
  <c r="R132" i="15" s="1"/>
  <c r="Q140" i="15"/>
  <c r="R140" i="15" s="1"/>
  <c r="AH140" i="15" s="1"/>
  <c r="Q148" i="15"/>
  <c r="R148" i="15" s="1"/>
  <c r="AH148" i="15" s="1"/>
  <c r="Q156" i="15"/>
  <c r="R156" i="15" s="1"/>
  <c r="Q164" i="15"/>
  <c r="R164" i="15" s="1"/>
  <c r="AH164" i="15" s="1"/>
  <c r="Q172" i="15"/>
  <c r="R172" i="15" s="1"/>
  <c r="AH172" i="15" s="1"/>
  <c r="Q180" i="15"/>
  <c r="R180" i="15" s="1"/>
  <c r="AH180" i="15" s="1"/>
  <c r="Q188" i="15"/>
  <c r="R188" i="15" s="1"/>
  <c r="AH188" i="15" s="1"/>
  <c r="Q196" i="15"/>
  <c r="R196" i="15" s="1"/>
  <c r="AH196" i="15" s="1"/>
  <c r="Q205" i="15"/>
  <c r="R205" i="15" s="1"/>
  <c r="Q214" i="15"/>
  <c r="R214" i="15" s="1"/>
  <c r="Q224" i="15"/>
  <c r="R224" i="15" s="1"/>
  <c r="Q233" i="15"/>
  <c r="R233" i="15" s="1"/>
  <c r="Q242" i="15"/>
  <c r="R242" i="15" s="1"/>
  <c r="Q251" i="15"/>
  <c r="R251" i="15" s="1"/>
  <c r="AA14" i="15"/>
  <c r="AA29" i="15"/>
  <c r="AB29" i="15" s="1"/>
  <c r="AA47" i="15"/>
  <c r="AB47" i="15" s="1"/>
  <c r="AA65" i="15"/>
  <c r="AB65" i="15" s="1"/>
  <c r="AA80" i="15"/>
  <c r="AA100" i="15"/>
  <c r="AB100" i="15" s="1"/>
  <c r="AA113" i="15"/>
  <c r="AB113" i="15" s="1"/>
  <c r="AA133" i="15"/>
  <c r="AB133" i="15" s="1"/>
  <c r="AA151" i="15"/>
  <c r="AB151" i="15" s="1"/>
  <c r="AA166" i="15"/>
  <c r="AA184" i="15"/>
  <c r="AB184" i="15" s="1"/>
  <c r="AA199" i="15"/>
  <c r="AB199" i="15" s="1"/>
  <c r="AA217" i="15"/>
  <c r="AB217" i="15" s="1"/>
  <c r="AA237" i="15"/>
  <c r="AB237" i="15" s="1"/>
  <c r="AA252" i="15"/>
  <c r="AB252" i="15" s="1"/>
  <c r="Q5" i="15"/>
  <c r="R5" i="15" s="1"/>
  <c r="Q13" i="15"/>
  <c r="R13" i="15" s="1"/>
  <c r="Q21" i="15"/>
  <c r="R21" i="15" s="1"/>
  <c r="Q29" i="15"/>
  <c r="R29" i="15" s="1"/>
  <c r="Q37" i="15"/>
  <c r="R37" i="15" s="1"/>
  <c r="Q45" i="15"/>
  <c r="R45" i="15" s="1"/>
  <c r="Q53" i="15"/>
  <c r="R53" i="15" s="1"/>
  <c r="Q61" i="15"/>
  <c r="R61" i="15" s="1"/>
  <c r="Q69" i="15"/>
  <c r="R69" i="15" s="1"/>
  <c r="Q77" i="15"/>
  <c r="R77" i="15" s="1"/>
  <c r="Q85" i="15"/>
  <c r="R85" i="15" s="1"/>
  <c r="Q93" i="15"/>
  <c r="R93" i="15" s="1"/>
  <c r="Q101" i="15"/>
  <c r="R101" i="15" s="1"/>
  <c r="Q109" i="15"/>
  <c r="R109" i="15" s="1"/>
  <c r="Q117" i="15"/>
  <c r="R117" i="15" s="1"/>
  <c r="Q125" i="15"/>
  <c r="R125" i="15" s="1"/>
  <c r="Q133" i="15"/>
  <c r="R133" i="15" s="1"/>
  <c r="Q141" i="15"/>
  <c r="R141" i="15" s="1"/>
  <c r="Q149" i="15"/>
  <c r="R149" i="15" s="1"/>
  <c r="Q157" i="15"/>
  <c r="R157" i="15" s="1"/>
  <c r="Q165" i="15"/>
  <c r="R165" i="15" s="1"/>
  <c r="Q173" i="15"/>
  <c r="R173" i="15" s="1"/>
  <c r="Q181" i="15"/>
  <c r="R181" i="15" s="1"/>
  <c r="Q189" i="15"/>
  <c r="R189" i="15" s="1"/>
  <c r="Q197" i="15"/>
  <c r="R197" i="15" s="1"/>
  <c r="Q206" i="15"/>
  <c r="R206" i="15" s="1"/>
  <c r="Q216" i="15"/>
  <c r="R216" i="15" s="1"/>
  <c r="Q225" i="15"/>
  <c r="R225" i="15" s="1"/>
  <c r="Q234" i="15"/>
  <c r="R234" i="15" s="1"/>
  <c r="Q243" i="15"/>
  <c r="R243" i="15" s="1"/>
  <c r="Q252" i="15"/>
  <c r="R252" i="15" s="1"/>
  <c r="AH252" i="15" s="1"/>
  <c r="AA15" i="15"/>
  <c r="AB15" i="15" s="1"/>
  <c r="AA33" i="15"/>
  <c r="AB33" i="15" s="1"/>
  <c r="AA48" i="15"/>
  <c r="AB48" i="15" s="1"/>
  <c r="AA68" i="15"/>
  <c r="AB68" i="15" s="1"/>
  <c r="AA81" i="15"/>
  <c r="AA101" i="15"/>
  <c r="AB101" i="15" s="1"/>
  <c r="AA119" i="15"/>
  <c r="AB119" i="15" s="1"/>
  <c r="AA134" i="15"/>
  <c r="AB134" i="15" s="1"/>
  <c r="AA152" i="15"/>
  <c r="AA167" i="15"/>
  <c r="AA185" i="15"/>
  <c r="AB185" i="15" s="1"/>
  <c r="AA205" i="15"/>
  <c r="AB205" i="15" s="1"/>
  <c r="AA220" i="15"/>
  <c r="AB220" i="15" s="1"/>
  <c r="AA238" i="15"/>
  <c r="AB238" i="15" s="1"/>
  <c r="AD8" i="15"/>
  <c r="V43" i="15"/>
  <c r="V58" i="15"/>
  <c r="AF163" i="15"/>
  <c r="Q6" i="15"/>
  <c r="R6" i="15" s="1"/>
  <c r="Q14" i="15"/>
  <c r="R14" i="15" s="1"/>
  <c r="Q22" i="15"/>
  <c r="R22" i="15" s="1"/>
  <c r="Q30" i="15"/>
  <c r="R30" i="15" s="1"/>
  <c r="Q38" i="15"/>
  <c r="R38" i="15" s="1"/>
  <c r="Q46" i="15"/>
  <c r="R46" i="15" s="1"/>
  <c r="Q54" i="15"/>
  <c r="R54" i="15" s="1"/>
  <c r="Q62" i="15"/>
  <c r="R62" i="15" s="1"/>
  <c r="Q70" i="15"/>
  <c r="R70" i="15" s="1"/>
  <c r="Q78" i="15"/>
  <c r="R78" i="15" s="1"/>
  <c r="Q86" i="15"/>
  <c r="R86" i="15" s="1"/>
  <c r="Q94" i="15"/>
  <c r="R94" i="15" s="1"/>
  <c r="Q102" i="15"/>
  <c r="R102" i="15" s="1"/>
  <c r="Q110" i="15"/>
  <c r="R110" i="15" s="1"/>
  <c r="Q118" i="15"/>
  <c r="R118" i="15" s="1"/>
  <c r="Q126" i="15"/>
  <c r="R126" i="15" s="1"/>
  <c r="Q134" i="15"/>
  <c r="R134" i="15" s="1"/>
  <c r="Q142" i="15"/>
  <c r="R142" i="15" s="1"/>
  <c r="Q150" i="15"/>
  <c r="R150" i="15" s="1"/>
  <c r="Q158" i="15"/>
  <c r="R158" i="15" s="1"/>
  <c r="Q166" i="15"/>
  <c r="R166" i="15" s="1"/>
  <c r="Q174" i="15"/>
  <c r="R174" i="15" s="1"/>
  <c r="Q182" i="15"/>
  <c r="R182" i="15" s="1"/>
  <c r="Q190" i="15"/>
  <c r="R190" i="15" s="1"/>
  <c r="Q198" i="15"/>
  <c r="R198" i="15" s="1"/>
  <c r="Q208" i="15"/>
  <c r="R208" i="15" s="1"/>
  <c r="Q217" i="15"/>
  <c r="R217" i="15" s="1"/>
  <c r="Q226" i="15"/>
  <c r="R226" i="15" s="1"/>
  <c r="Q235" i="15"/>
  <c r="R235" i="15" s="1"/>
  <c r="Q244" i="15"/>
  <c r="R244" i="15" s="1"/>
  <c r="Q253" i="15"/>
  <c r="R253" i="15" s="1"/>
  <c r="AA251" i="15"/>
  <c r="AB251" i="15" s="1"/>
  <c r="AA243" i="15"/>
  <c r="AB243" i="15" s="1"/>
  <c r="AA235" i="15"/>
  <c r="AA227" i="15"/>
  <c r="AA219" i="15"/>
  <c r="AB219" i="15" s="1"/>
  <c r="AA211" i="15"/>
  <c r="AB211" i="15" s="1"/>
  <c r="AA203" i="15"/>
  <c r="AB203" i="15" s="1"/>
  <c r="AA195" i="15"/>
  <c r="AA187" i="15"/>
  <c r="AB187" i="15" s="1"/>
  <c r="AA179" i="15"/>
  <c r="AB179" i="15" s="1"/>
  <c r="AA171" i="15"/>
  <c r="AB171" i="15" s="1"/>
  <c r="AA163" i="15"/>
  <c r="AB163" i="15" s="1"/>
  <c r="AA155" i="15"/>
  <c r="AB155" i="15" s="1"/>
  <c r="AA147" i="15"/>
  <c r="AB147" i="15" s="1"/>
  <c r="AA139" i="15"/>
  <c r="AB139" i="15" s="1"/>
  <c r="AA131" i="15"/>
  <c r="AB131" i="15" s="1"/>
  <c r="AA123" i="15"/>
  <c r="AB123" i="15" s="1"/>
  <c r="AA115" i="15"/>
  <c r="AB115" i="15" s="1"/>
  <c r="AA107" i="15"/>
  <c r="AB107" i="15" s="1"/>
  <c r="AA99" i="15"/>
  <c r="AB99" i="15" s="1"/>
  <c r="AA91" i="15"/>
  <c r="AB91" i="15" s="1"/>
  <c r="AA83" i="15"/>
  <c r="AB83" i="15" s="1"/>
  <c r="AA75" i="15"/>
  <c r="AB75" i="15" s="1"/>
  <c r="AA67" i="15"/>
  <c r="AB67" i="15" s="1"/>
  <c r="AA59" i="15"/>
  <c r="AB59" i="15" s="1"/>
  <c r="AA51" i="15"/>
  <c r="AB51" i="15" s="1"/>
  <c r="AA43" i="15"/>
  <c r="AB43" i="15" s="1"/>
  <c r="AA35" i="15"/>
  <c r="AB35" i="15" s="1"/>
  <c r="AA27" i="15"/>
  <c r="AB27" i="15" s="1"/>
  <c r="AA19" i="15"/>
  <c r="AB19" i="15" s="1"/>
  <c r="AA11" i="15"/>
  <c r="AB11" i="15" s="1"/>
  <c r="AA3" i="15"/>
  <c r="AB3" i="15" s="1"/>
  <c r="AA250" i="15"/>
  <c r="AB250" i="15" s="1"/>
  <c r="AA242" i="15"/>
  <c r="AB242" i="15" s="1"/>
  <c r="AA234" i="15"/>
  <c r="AB234" i="15" s="1"/>
  <c r="AA226" i="15"/>
  <c r="AB226" i="15" s="1"/>
  <c r="AA218" i="15"/>
  <c r="AB218" i="15" s="1"/>
  <c r="AA210" i="15"/>
  <c r="AB210" i="15" s="1"/>
  <c r="AA202" i="15"/>
  <c r="AB202" i="15" s="1"/>
  <c r="AA194" i="15"/>
  <c r="AA186" i="15"/>
  <c r="AB186" i="15" s="1"/>
  <c r="AA178" i="15"/>
  <c r="AB178" i="15" s="1"/>
  <c r="AA170" i="15"/>
  <c r="AB170" i="15" s="1"/>
  <c r="AA162" i="15"/>
  <c r="AB162" i="15" s="1"/>
  <c r="AA154" i="15"/>
  <c r="AB154" i="15" s="1"/>
  <c r="AA146" i="15"/>
  <c r="AB146" i="15" s="1"/>
  <c r="AA138" i="15"/>
  <c r="AB138" i="15" s="1"/>
  <c r="AA130" i="15"/>
  <c r="AB130" i="15" s="1"/>
  <c r="AA122" i="15"/>
  <c r="AB122" i="15" s="1"/>
  <c r="AA114" i="15"/>
  <c r="AB114" i="15" s="1"/>
  <c r="AA106" i="15"/>
  <c r="AB106" i="15" s="1"/>
  <c r="AA98" i="15"/>
  <c r="AA90" i="15"/>
  <c r="AB90" i="15" s="1"/>
  <c r="AA82" i="15"/>
  <c r="AB82" i="15" s="1"/>
  <c r="AA74" i="15"/>
  <c r="AB74" i="15" s="1"/>
  <c r="AA66" i="15"/>
  <c r="AB66" i="15" s="1"/>
  <c r="AA58" i="15"/>
  <c r="AB58" i="15" s="1"/>
  <c r="AA50" i="15"/>
  <c r="AB50" i="15" s="1"/>
  <c r="AA42" i="15"/>
  <c r="AA34" i="15"/>
  <c r="AB34" i="15" s="1"/>
  <c r="AA26" i="15"/>
  <c r="AB26" i="15" s="1"/>
  <c r="AA18" i="15"/>
  <c r="AB18" i="15" s="1"/>
  <c r="AA10" i="15"/>
  <c r="AB10" i="15" s="1"/>
  <c r="AA2" i="15"/>
  <c r="AB2" i="15" s="1"/>
  <c r="AB255" i="15" s="1"/>
  <c r="AA246" i="15"/>
  <c r="AB246" i="15" s="1"/>
  <c r="AA236" i="15"/>
  <c r="AB236" i="15" s="1"/>
  <c r="AA224" i="15"/>
  <c r="AB224" i="15" s="1"/>
  <c r="AA214" i="15"/>
  <c r="AB214" i="15" s="1"/>
  <c r="AA204" i="15"/>
  <c r="AB204" i="15" s="1"/>
  <c r="AA192" i="15"/>
  <c r="AB192" i="15" s="1"/>
  <c r="AA182" i="15"/>
  <c r="AA172" i="15"/>
  <c r="AB172" i="15" s="1"/>
  <c r="AA160" i="15"/>
  <c r="AB160" i="15" s="1"/>
  <c r="AA150" i="15"/>
  <c r="AB150" i="15" s="1"/>
  <c r="AA140" i="15"/>
  <c r="AB140" i="15" s="1"/>
  <c r="AA128" i="15"/>
  <c r="AB128" i="15" s="1"/>
  <c r="AA118" i="15"/>
  <c r="AB118" i="15" s="1"/>
  <c r="AA108" i="15"/>
  <c r="AB108" i="15" s="1"/>
  <c r="AA96" i="15"/>
  <c r="AB96" i="15" s="1"/>
  <c r="AA86" i="15"/>
  <c r="AB86" i="15" s="1"/>
  <c r="AA76" i="15"/>
  <c r="AB76" i="15" s="1"/>
  <c r="AA64" i="15"/>
  <c r="AB64" i="15" s="1"/>
  <c r="AA54" i="15"/>
  <c r="AA44" i="15"/>
  <c r="AB44" i="15" s="1"/>
  <c r="AA32" i="15"/>
  <c r="AB32" i="15" s="1"/>
  <c r="AA22" i="15"/>
  <c r="AB22" i="15" s="1"/>
  <c r="AA12" i="15"/>
  <c r="AB12" i="15" s="1"/>
  <c r="AA245" i="15"/>
  <c r="AB245" i="15" s="1"/>
  <c r="AA233" i="15"/>
  <c r="AB233" i="15" s="1"/>
  <c r="AA223" i="15"/>
  <c r="AB223" i="15" s="1"/>
  <c r="AA213" i="15"/>
  <c r="AB213" i="15" s="1"/>
  <c r="AA201" i="15"/>
  <c r="AB201" i="15" s="1"/>
  <c r="AA191" i="15"/>
  <c r="AB191" i="15" s="1"/>
  <c r="AA181" i="15"/>
  <c r="AB181" i="15" s="1"/>
  <c r="AA169" i="15"/>
  <c r="AB169" i="15" s="1"/>
  <c r="AA159" i="15"/>
  <c r="AB159" i="15" s="1"/>
  <c r="AA149" i="15"/>
  <c r="AB149" i="15" s="1"/>
  <c r="AA137" i="15"/>
  <c r="AB137" i="15" s="1"/>
  <c r="AA127" i="15"/>
  <c r="AB127" i="15" s="1"/>
  <c r="AA117" i="15"/>
  <c r="AB117" i="15" s="1"/>
  <c r="AA105" i="15"/>
  <c r="AB105" i="15" s="1"/>
  <c r="AA95" i="15"/>
  <c r="AB95" i="15" s="1"/>
  <c r="AA85" i="15"/>
  <c r="AB85" i="15" s="1"/>
  <c r="AA73" i="15"/>
  <c r="AB73" i="15" s="1"/>
  <c r="AA63" i="15"/>
  <c r="AB63" i="15" s="1"/>
  <c r="AA53" i="15"/>
  <c r="AB53" i="15" s="1"/>
  <c r="AA41" i="15"/>
  <c r="AB41" i="15" s="1"/>
  <c r="AA31" i="15"/>
  <c r="AB31" i="15" s="1"/>
  <c r="AA21" i="15"/>
  <c r="AB21" i="15" s="1"/>
  <c r="AA9" i="15"/>
  <c r="AB9" i="15" s="1"/>
  <c r="AA254" i="15"/>
  <c r="AB254" i="15" s="1"/>
  <c r="AA244" i="15"/>
  <c r="AB244" i="15" s="1"/>
  <c r="AA232" i="15"/>
  <c r="AB232" i="15" s="1"/>
  <c r="AA222" i="15"/>
  <c r="AB222" i="15" s="1"/>
  <c r="AA212" i="15"/>
  <c r="AB212" i="15" s="1"/>
  <c r="AA200" i="15"/>
  <c r="AB200" i="15" s="1"/>
  <c r="AA190" i="15"/>
  <c r="AB190" i="15" s="1"/>
  <c r="AA180" i="15"/>
  <c r="AB180" i="15" s="1"/>
  <c r="AA168" i="15"/>
  <c r="AB168" i="15" s="1"/>
  <c r="AA158" i="15"/>
  <c r="AB158" i="15" s="1"/>
  <c r="AA148" i="15"/>
  <c r="AB148" i="15" s="1"/>
  <c r="AA136" i="15"/>
  <c r="AB136" i="15" s="1"/>
  <c r="AA126" i="15"/>
  <c r="AB126" i="15" s="1"/>
  <c r="AA116" i="15"/>
  <c r="AB116" i="15" s="1"/>
  <c r="AA104" i="15"/>
  <c r="AB104" i="15" s="1"/>
  <c r="AA94" i="15"/>
  <c r="AB94" i="15" s="1"/>
  <c r="AA84" i="15"/>
  <c r="AB84" i="15" s="1"/>
  <c r="AA72" i="15"/>
  <c r="AB72" i="15" s="1"/>
  <c r="AA62" i="15"/>
  <c r="AB62" i="15" s="1"/>
  <c r="AA52" i="15"/>
  <c r="AB52" i="15" s="1"/>
  <c r="AA40" i="15"/>
  <c r="AB40" i="15" s="1"/>
  <c r="AA30" i="15"/>
  <c r="AB30" i="15" s="1"/>
  <c r="AA20" i="15"/>
  <c r="AB20" i="15" s="1"/>
  <c r="AA8" i="15"/>
  <c r="AB8" i="15" s="1"/>
  <c r="AA16" i="15"/>
  <c r="AB16" i="15" s="1"/>
  <c r="AA36" i="15"/>
  <c r="AB36" i="15" s="1"/>
  <c r="AA49" i="15"/>
  <c r="AB49" i="15" s="1"/>
  <c r="AA69" i="15"/>
  <c r="AB69" i="15" s="1"/>
  <c r="AA87" i="15"/>
  <c r="AA102" i="15"/>
  <c r="AB102" i="15" s="1"/>
  <c r="AA120" i="15"/>
  <c r="AB120" i="15" s="1"/>
  <c r="AA135" i="15"/>
  <c r="AB135" i="15" s="1"/>
  <c r="AA153" i="15"/>
  <c r="AB153" i="15" s="1"/>
  <c r="AA173" i="15"/>
  <c r="AB173" i="15" s="1"/>
  <c r="AA188" i="15"/>
  <c r="AB188" i="15" s="1"/>
  <c r="AA206" i="15"/>
  <c r="AB206" i="15" s="1"/>
  <c r="AA221" i="15"/>
  <c r="AB221" i="15" s="1"/>
  <c r="AA239" i="15"/>
  <c r="V4" i="15"/>
  <c r="AF7" i="15"/>
  <c r="V22" i="15"/>
  <c r="Z36" i="15"/>
  <c r="Z45" i="15"/>
  <c r="Z91" i="15"/>
  <c r="Q7" i="15"/>
  <c r="R7" i="15" s="1"/>
  <c r="Q15" i="15"/>
  <c r="R15" i="15" s="1"/>
  <c r="AH15" i="15" s="1"/>
  <c r="Q23" i="15"/>
  <c r="R23" i="15" s="1"/>
  <c r="Q31" i="15"/>
  <c r="R31" i="15" s="1"/>
  <c r="AH31" i="15" s="1"/>
  <c r="Q39" i="15"/>
  <c r="R39" i="15" s="1"/>
  <c r="Q47" i="15"/>
  <c r="R47" i="15" s="1"/>
  <c r="Q55" i="15"/>
  <c r="R55" i="15" s="1"/>
  <c r="AH55" i="15" s="1"/>
  <c r="Q63" i="15"/>
  <c r="R63" i="15" s="1"/>
  <c r="AH63" i="15" s="1"/>
  <c r="Q71" i="15"/>
  <c r="R71" i="15" s="1"/>
  <c r="AH71" i="15" s="1"/>
  <c r="Q79" i="15"/>
  <c r="R79" i="15" s="1"/>
  <c r="AH79" i="15" s="1"/>
  <c r="Q87" i="15"/>
  <c r="R87" i="15" s="1"/>
  <c r="AH87" i="15" s="1"/>
  <c r="Q95" i="15"/>
  <c r="R95" i="15" s="1"/>
  <c r="AH95" i="15" s="1"/>
  <c r="Q103" i="15"/>
  <c r="R103" i="15" s="1"/>
  <c r="Q111" i="15"/>
  <c r="R111" i="15" s="1"/>
  <c r="AH111" i="15" s="1"/>
  <c r="Q119" i="15"/>
  <c r="R119" i="15" s="1"/>
  <c r="Q127" i="15"/>
  <c r="R127" i="15" s="1"/>
  <c r="AH127" i="15" s="1"/>
  <c r="Q135" i="15"/>
  <c r="R135" i="15" s="1"/>
  <c r="Q143" i="15"/>
  <c r="R143" i="15" s="1"/>
  <c r="Q151" i="15"/>
  <c r="R151" i="15" s="1"/>
  <c r="Q159" i="15"/>
  <c r="R159" i="15" s="1"/>
  <c r="Q167" i="15"/>
  <c r="R167" i="15" s="1"/>
  <c r="Q175" i="15"/>
  <c r="R175" i="15" s="1"/>
  <c r="Q183" i="15"/>
  <c r="R183" i="15" s="1"/>
  <c r="AH183" i="15" s="1"/>
  <c r="Q191" i="15"/>
  <c r="R191" i="15" s="1"/>
  <c r="Q200" i="15"/>
  <c r="R200" i="15" s="1"/>
  <c r="AH200" i="15" s="1"/>
  <c r="Q209" i="15"/>
  <c r="R209" i="15" s="1"/>
  <c r="Q218" i="15"/>
  <c r="R218" i="15" s="1"/>
  <c r="Q227" i="15"/>
  <c r="R227" i="15" s="1"/>
  <c r="Q236" i="15"/>
  <c r="R236" i="15" s="1"/>
  <c r="Q245" i="15"/>
  <c r="R245" i="15" s="1"/>
  <c r="Q254" i="15"/>
  <c r="R254" i="15" s="1"/>
  <c r="AA4" i="15"/>
  <c r="AB4" i="15" s="1"/>
  <c r="AA17" i="15"/>
  <c r="AB17" i="15" s="1"/>
  <c r="AA37" i="15"/>
  <c r="AB37" i="15" s="1"/>
  <c r="AA55" i="15"/>
  <c r="AB55" i="15" s="1"/>
  <c r="AA70" i="15"/>
  <c r="AB70" i="15" s="1"/>
  <c r="AA88" i="15"/>
  <c r="AB88" i="15" s="1"/>
  <c r="AA103" i="15"/>
  <c r="AB103" i="15" s="1"/>
  <c r="AA121" i="15"/>
  <c r="AB121" i="15" s="1"/>
  <c r="AA141" i="15"/>
  <c r="AB141" i="15" s="1"/>
  <c r="AA156" i="15"/>
  <c r="AB156" i="15" s="1"/>
  <c r="AA174" i="15"/>
  <c r="AB174" i="15" s="1"/>
  <c r="AA189" i="15"/>
  <c r="AB189" i="15" s="1"/>
  <c r="AA207" i="15"/>
  <c r="AB207" i="15" s="1"/>
  <c r="AA225" i="15"/>
  <c r="AB225" i="15" s="1"/>
  <c r="AA240" i="15"/>
  <c r="AB240" i="15" s="1"/>
  <c r="Z25" i="15"/>
  <c r="Z44" i="15"/>
  <c r="AD47" i="15"/>
  <c r="V169" i="15"/>
  <c r="AK251" i="15"/>
  <c r="AL251" i="15" s="1"/>
  <c r="AK243" i="15"/>
  <c r="AL243" i="15" s="1"/>
  <c r="AK235" i="15"/>
  <c r="AL235" i="15" s="1"/>
  <c r="AK227" i="15"/>
  <c r="AL227" i="15" s="1"/>
  <c r="AK219" i="15"/>
  <c r="AL219" i="15" s="1"/>
  <c r="AK211" i="15"/>
  <c r="AL211" i="15" s="1"/>
  <c r="AK203" i="15"/>
  <c r="AL203" i="15" s="1"/>
  <c r="AK195" i="15"/>
  <c r="AL195" i="15" s="1"/>
  <c r="AK187" i="15"/>
  <c r="AL187" i="15" s="1"/>
  <c r="AK179" i="15"/>
  <c r="AL179" i="15" s="1"/>
  <c r="AK171" i="15"/>
  <c r="AL171" i="15" s="1"/>
  <c r="AK163" i="15"/>
  <c r="AL163" i="15" s="1"/>
  <c r="AK155" i="15"/>
  <c r="AK147" i="15"/>
  <c r="AL147" i="15" s="1"/>
  <c r="AK139" i="15"/>
  <c r="AL139" i="15" s="1"/>
  <c r="AK131" i="15"/>
  <c r="AL131" i="15" s="1"/>
  <c r="AK123" i="15"/>
  <c r="AL123" i="15" s="1"/>
  <c r="AK115" i="15"/>
  <c r="AL115" i="15" s="1"/>
  <c r="AK107" i="15"/>
  <c r="AL107" i="15" s="1"/>
  <c r="AK99" i="15"/>
  <c r="AL99" i="15" s="1"/>
  <c r="AK91" i="15"/>
  <c r="AL91" i="15" s="1"/>
  <c r="AK83" i="15"/>
  <c r="AL83" i="15" s="1"/>
  <c r="AK75" i="15"/>
  <c r="AL75" i="15" s="1"/>
  <c r="AK67" i="15"/>
  <c r="AK59" i="15"/>
  <c r="AK51" i="15"/>
  <c r="AK43" i="15"/>
  <c r="AL43" i="15" s="1"/>
  <c r="AK35" i="15"/>
  <c r="AL35" i="15" s="1"/>
  <c r="AK27" i="15"/>
  <c r="AK19" i="15"/>
  <c r="AL19" i="15" s="1"/>
  <c r="AK11" i="15"/>
  <c r="AL11" i="15" s="1"/>
  <c r="AK3" i="15"/>
  <c r="AK247" i="15"/>
  <c r="AL247" i="15" s="1"/>
  <c r="AK239" i="15"/>
  <c r="AL239" i="15" s="1"/>
  <c r="AK231" i="15"/>
  <c r="AL231" i="15" s="1"/>
  <c r="AK223" i="15"/>
  <c r="AL223" i="15" s="1"/>
  <c r="AK215" i="15"/>
  <c r="AL215" i="15" s="1"/>
  <c r="AK207" i="15"/>
  <c r="AL207" i="15" s="1"/>
  <c r="AK199" i="15"/>
  <c r="AL199" i="15" s="1"/>
  <c r="AK191" i="15"/>
  <c r="AL191" i="15" s="1"/>
  <c r="AK183" i="15"/>
  <c r="AL183" i="15" s="1"/>
  <c r="AK175" i="15"/>
  <c r="AL175" i="15" s="1"/>
  <c r="AK167" i="15"/>
  <c r="AL167" i="15" s="1"/>
  <c r="AK159" i="15"/>
  <c r="AL159" i="15" s="1"/>
  <c r="AK151" i="15"/>
  <c r="AK143" i="15"/>
  <c r="AL143" i="15" s="1"/>
  <c r="AK135" i="15"/>
  <c r="AL135" i="15" s="1"/>
  <c r="AK127" i="15"/>
  <c r="AL127" i="15" s="1"/>
  <c r="AK119" i="15"/>
  <c r="AL119" i="15" s="1"/>
  <c r="AK111" i="15"/>
  <c r="AL111" i="15" s="1"/>
  <c r="AK103" i="15"/>
  <c r="AL103" i="15" s="1"/>
  <c r="AK95" i="15"/>
  <c r="AL95" i="15" s="1"/>
  <c r="AK87" i="15"/>
  <c r="AK79" i="15"/>
  <c r="AL79" i="15" s="1"/>
  <c r="AK71" i="15"/>
  <c r="AL71" i="15" s="1"/>
  <c r="AK63" i="15"/>
  <c r="AK55" i="15"/>
  <c r="AL55" i="15" s="1"/>
  <c r="AK47" i="15"/>
  <c r="AL47" i="15" s="1"/>
  <c r="AK39" i="15"/>
  <c r="AL39" i="15" s="1"/>
  <c r="AK31" i="15"/>
  <c r="AL31" i="15" s="1"/>
  <c r="AK23" i="15"/>
  <c r="AL23" i="15" s="1"/>
  <c r="AK15" i="15"/>
  <c r="AL15" i="15" s="1"/>
  <c r="AK7" i="15"/>
  <c r="AL7" i="15" s="1"/>
  <c r="AK245" i="15"/>
  <c r="AL245" i="15" s="1"/>
  <c r="AK234" i="15"/>
  <c r="AL234" i="15" s="1"/>
  <c r="AK224" i="15"/>
  <c r="AL224" i="15" s="1"/>
  <c r="AK213" i="15"/>
  <c r="AL213" i="15" s="1"/>
  <c r="AK202" i="15"/>
  <c r="AL202" i="15" s="1"/>
  <c r="AK192" i="15"/>
  <c r="AL192" i="15" s="1"/>
  <c r="AK181" i="15"/>
  <c r="AL181" i="15" s="1"/>
  <c r="AK170" i="15"/>
  <c r="AL170" i="15" s="1"/>
  <c r="AK160" i="15"/>
  <c r="AL160" i="15" s="1"/>
  <c r="AK149" i="15"/>
  <c r="AL149" i="15" s="1"/>
  <c r="AK138" i="15"/>
  <c r="AL138" i="15" s="1"/>
  <c r="AK128" i="15"/>
  <c r="AL128" i="15" s="1"/>
  <c r="AK117" i="15"/>
  <c r="AL117" i="15" s="1"/>
  <c r="AK106" i="15"/>
  <c r="AK96" i="15"/>
  <c r="AL96" i="15" s="1"/>
  <c r="AK85" i="15"/>
  <c r="AL85" i="15" s="1"/>
  <c r="AK74" i="15"/>
  <c r="AL74" i="15" s="1"/>
  <c r="AK64" i="15"/>
  <c r="AL64" i="15" s="1"/>
  <c r="AK53" i="15"/>
  <c r="AK42" i="15"/>
  <c r="AL42" i="15" s="1"/>
  <c r="AK32" i="15"/>
  <c r="AL32" i="15" s="1"/>
  <c r="AK21" i="15"/>
  <c r="AK10" i="15"/>
  <c r="AL10" i="15" s="1"/>
  <c r="AK254" i="15"/>
  <c r="AL254" i="15" s="1"/>
  <c r="AK244" i="15"/>
  <c r="AL244" i="15" s="1"/>
  <c r="AK233" i="15"/>
  <c r="AL233" i="15" s="1"/>
  <c r="AK222" i="15"/>
  <c r="AL222" i="15" s="1"/>
  <c r="AK212" i="15"/>
  <c r="AL212" i="15" s="1"/>
  <c r="AK201" i="15"/>
  <c r="AL201" i="15" s="1"/>
  <c r="AK190" i="15"/>
  <c r="AK180" i="15"/>
  <c r="AL180" i="15" s="1"/>
  <c r="AK169" i="15"/>
  <c r="AL169" i="15" s="1"/>
  <c r="AK158" i="15"/>
  <c r="AL158" i="15" s="1"/>
  <c r="AK148" i="15"/>
  <c r="AL148" i="15" s="1"/>
  <c r="AK137" i="15"/>
  <c r="AL137" i="15" s="1"/>
  <c r="AK126" i="15"/>
  <c r="AL126" i="15" s="1"/>
  <c r="AK116" i="15"/>
  <c r="AL116" i="15" s="1"/>
  <c r="AK105" i="15"/>
  <c r="AL105" i="15" s="1"/>
  <c r="AK94" i="15"/>
  <c r="AL94" i="15" s="1"/>
  <c r="AK84" i="15"/>
  <c r="AK73" i="15"/>
  <c r="AK62" i="15"/>
  <c r="AK52" i="15"/>
  <c r="AL52" i="15" s="1"/>
  <c r="AK41" i="15"/>
  <c r="AL41" i="15" s="1"/>
  <c r="AK30" i="15"/>
  <c r="AL30" i="15" s="1"/>
  <c r="AK20" i="15"/>
  <c r="AK9" i="15"/>
  <c r="AK250" i="15"/>
  <c r="AL250" i="15" s="1"/>
  <c r="AK240" i="15"/>
  <c r="AL240" i="15" s="1"/>
  <c r="AK229" i="15"/>
  <c r="AL229" i="15" s="1"/>
  <c r="AK218" i="15"/>
  <c r="AL218" i="15" s="1"/>
  <c r="AK208" i="15"/>
  <c r="AL208" i="15" s="1"/>
  <c r="AK197" i="15"/>
  <c r="AL197" i="15" s="1"/>
  <c r="AK186" i="15"/>
  <c r="AK176" i="15"/>
  <c r="AL176" i="15" s="1"/>
  <c r="AK165" i="15"/>
  <c r="AL165" i="15" s="1"/>
  <c r="AK154" i="15"/>
  <c r="AL154" i="15" s="1"/>
  <c r="AK144" i="15"/>
  <c r="AL144" i="15" s="1"/>
  <c r="AK133" i="15"/>
  <c r="AL133" i="15" s="1"/>
  <c r="AK122" i="15"/>
  <c r="AL122" i="15" s="1"/>
  <c r="AK112" i="15"/>
  <c r="AL112" i="15" s="1"/>
  <c r="AK101" i="15"/>
  <c r="AK90" i="15"/>
  <c r="AL90" i="15" s="1"/>
  <c r="AK80" i="15"/>
  <c r="AL80" i="15" s="1"/>
  <c r="AK69" i="15"/>
  <c r="AL69" i="15" s="1"/>
  <c r="AK58" i="15"/>
  <c r="AL58" i="15" s="1"/>
  <c r="AK48" i="15"/>
  <c r="AL48" i="15" s="1"/>
  <c r="AK37" i="15"/>
  <c r="AL37" i="15" s="1"/>
  <c r="AK26" i="15"/>
  <c r="AL26" i="15" s="1"/>
  <c r="AK16" i="15"/>
  <c r="AL16" i="15" s="1"/>
  <c r="AK5" i="15"/>
  <c r="AL5" i="15" s="1"/>
  <c r="AK249" i="15"/>
  <c r="AL249" i="15" s="1"/>
  <c r="AK238" i="15"/>
  <c r="AK228" i="15"/>
  <c r="AL228" i="15" s="1"/>
  <c r="AK217" i="15"/>
  <c r="AL217" i="15" s="1"/>
  <c r="AK206" i="15"/>
  <c r="AL206" i="15" s="1"/>
  <c r="AK196" i="15"/>
  <c r="AL196" i="15" s="1"/>
  <c r="AK185" i="15"/>
  <c r="AL185" i="15" s="1"/>
  <c r="AK174" i="15"/>
  <c r="AL174" i="15" s="1"/>
  <c r="AK164" i="15"/>
  <c r="AK153" i="15"/>
  <c r="AK142" i="15"/>
  <c r="AL142" i="15" s="1"/>
  <c r="AK132" i="15"/>
  <c r="AL132" i="15" s="1"/>
  <c r="AK121" i="15"/>
  <c r="AL121" i="15" s="1"/>
  <c r="AK110" i="15"/>
  <c r="AL110" i="15" s="1"/>
  <c r="AK100" i="15"/>
  <c r="AK89" i="15"/>
  <c r="AL89" i="15" s="1"/>
  <c r="AK78" i="15"/>
  <c r="AL78" i="15" s="1"/>
  <c r="AK68" i="15"/>
  <c r="AL68" i="15" s="1"/>
  <c r="AK57" i="15"/>
  <c r="AL57" i="15" s="1"/>
  <c r="AK46" i="15"/>
  <c r="AL46" i="15" s="1"/>
  <c r="AK36" i="15"/>
  <c r="AL36" i="15" s="1"/>
  <c r="AK25" i="15"/>
  <c r="AL25" i="15" s="1"/>
  <c r="AK14" i="15"/>
  <c r="AL14" i="15" s="1"/>
  <c r="AK4" i="15"/>
  <c r="AL4" i="15" s="1"/>
  <c r="AK22" i="15"/>
  <c r="AL22" i="15" s="1"/>
  <c r="AK44" i="15"/>
  <c r="AL44" i="15" s="1"/>
  <c r="AK65" i="15"/>
  <c r="AL65" i="15" s="1"/>
  <c r="AK86" i="15"/>
  <c r="AL86" i="15" s="1"/>
  <c r="AK108" i="15"/>
  <c r="AL108" i="15" s="1"/>
  <c r="AK129" i="15"/>
  <c r="AL129" i="15" s="1"/>
  <c r="AK150" i="15"/>
  <c r="AK172" i="15"/>
  <c r="AL172" i="15" s="1"/>
  <c r="AK193" i="15"/>
  <c r="AL193" i="15" s="1"/>
  <c r="AK214" i="15"/>
  <c r="AL214" i="15" s="1"/>
  <c r="AK236" i="15"/>
  <c r="V11" i="15"/>
  <c r="V15" i="15"/>
  <c r="X19" i="15"/>
  <c r="V20" i="15"/>
  <c r="AL27" i="15"/>
  <c r="V53" i="15"/>
  <c r="AB57" i="15"/>
  <c r="X71" i="15"/>
  <c r="AD130" i="15"/>
  <c r="U8" i="15"/>
  <c r="V8" i="15" s="1"/>
  <c r="U16" i="15"/>
  <c r="U24" i="15"/>
  <c r="V24" i="15" s="1"/>
  <c r="U32" i="15"/>
  <c r="V32" i="15" s="1"/>
  <c r="U40" i="15"/>
  <c r="V40" i="15" s="1"/>
  <c r="U48" i="15"/>
  <c r="U56" i="15"/>
  <c r="U65" i="15"/>
  <c r="V65" i="15" s="1"/>
  <c r="U74" i="15"/>
  <c r="V74" i="15" s="1"/>
  <c r="U83" i="15"/>
  <c r="V83" i="15" s="1"/>
  <c r="U92" i="15"/>
  <c r="V92" i="15" s="1"/>
  <c r="U101" i="15"/>
  <c r="V101" i="15" s="1"/>
  <c r="U110" i="15"/>
  <c r="V110" i="15" s="1"/>
  <c r="U119" i="15"/>
  <c r="U129" i="15"/>
  <c r="V129" i="15" s="1"/>
  <c r="U138" i="15"/>
  <c r="V138" i="15" s="1"/>
  <c r="U147" i="15"/>
  <c r="V147" i="15" s="1"/>
  <c r="U156" i="15"/>
  <c r="V156" i="15" s="1"/>
  <c r="U165" i="15"/>
  <c r="V165" i="15" s="1"/>
  <c r="U174" i="15"/>
  <c r="V174" i="15" s="1"/>
  <c r="U183" i="15"/>
  <c r="V183" i="15" s="1"/>
  <c r="U193" i="15"/>
  <c r="U202" i="15"/>
  <c r="U211" i="15"/>
  <c r="V211" i="15" s="1"/>
  <c r="U220" i="15"/>
  <c r="V220" i="15" s="1"/>
  <c r="U229" i="15"/>
  <c r="U238" i="15"/>
  <c r="V238" i="15" s="1"/>
  <c r="Y250" i="15"/>
  <c r="Z250" i="15" s="1"/>
  <c r="Y242" i="15"/>
  <c r="Z242" i="15" s="1"/>
  <c r="Y234" i="15"/>
  <c r="Y226" i="15"/>
  <c r="Y218" i="15"/>
  <c r="Z218" i="15" s="1"/>
  <c r="Y210" i="15"/>
  <c r="Z210" i="15" s="1"/>
  <c r="Y202" i="15"/>
  <c r="Y194" i="15"/>
  <c r="Z194" i="15" s="1"/>
  <c r="Y186" i="15"/>
  <c r="Z186" i="15" s="1"/>
  <c r="Y178" i="15"/>
  <c r="Z178" i="15" s="1"/>
  <c r="Y170" i="15"/>
  <c r="Z170" i="15" s="1"/>
  <c r="Y162" i="15"/>
  <c r="Y154" i="15"/>
  <c r="Z154" i="15" s="1"/>
  <c r="Y146" i="15"/>
  <c r="Z146" i="15" s="1"/>
  <c r="Y138" i="15"/>
  <c r="Y130" i="15"/>
  <c r="Z130" i="15" s="1"/>
  <c r="Y122" i="15"/>
  <c r="Z122" i="15" s="1"/>
  <c r="Y114" i="15"/>
  <c r="Z114" i="15" s="1"/>
  <c r="Y106" i="15"/>
  <c r="Z106" i="15" s="1"/>
  <c r="Y98" i="15"/>
  <c r="Z98" i="15" s="1"/>
  <c r="Y90" i="15"/>
  <c r="Z90" i="15" s="1"/>
  <c r="Y82" i="15"/>
  <c r="Z82" i="15" s="1"/>
  <c r="Y74" i="15"/>
  <c r="Y66" i="15"/>
  <c r="Y58" i="15"/>
  <c r="Z58" i="15" s="1"/>
  <c r="Y50" i="15"/>
  <c r="Z50" i="15" s="1"/>
  <c r="Y42" i="15"/>
  <c r="Y34" i="15"/>
  <c r="Y26" i="15"/>
  <c r="Z26" i="15" s="1"/>
  <c r="Y18" i="15"/>
  <c r="Z18" i="15" s="1"/>
  <c r="Y10" i="15"/>
  <c r="Z10" i="15" s="1"/>
  <c r="Y2" i="15"/>
  <c r="Z2" i="15" s="1"/>
  <c r="Z255" i="15" s="1"/>
  <c r="Y249" i="15"/>
  <c r="Z249" i="15" s="1"/>
  <c r="Y241" i="15"/>
  <c r="Z241" i="15" s="1"/>
  <c r="Y233" i="15"/>
  <c r="Y225" i="15"/>
  <c r="Y217" i="15"/>
  <c r="Z217" i="15" s="1"/>
  <c r="Y209" i="15"/>
  <c r="Z209" i="15" s="1"/>
  <c r="Y201" i="15"/>
  <c r="Z201" i="15" s="1"/>
  <c r="Y193" i="15"/>
  <c r="Z193" i="15" s="1"/>
  <c r="Y185" i="15"/>
  <c r="Z185" i="15" s="1"/>
  <c r="Y177" i="15"/>
  <c r="Z177" i="15" s="1"/>
  <c r="Y169" i="15"/>
  <c r="Y161" i="15"/>
  <c r="Z161" i="15" s="1"/>
  <c r="Y153" i="15"/>
  <c r="Z153" i="15" s="1"/>
  <c r="Y145" i="15"/>
  <c r="Z145" i="15" s="1"/>
  <c r="Y137" i="15"/>
  <c r="Y129" i="15"/>
  <c r="Z129" i="15" s="1"/>
  <c r="Y121" i="15"/>
  <c r="Z121" i="15" s="1"/>
  <c r="Y113" i="15"/>
  <c r="Z113" i="15" s="1"/>
  <c r="Y105" i="15"/>
  <c r="Y97" i="15"/>
  <c r="Y11" i="15"/>
  <c r="Z11" i="15" s="1"/>
  <c r="Y20" i="15"/>
  <c r="Z20" i="15" s="1"/>
  <c r="Y29" i="15"/>
  <c r="Z29" i="15" s="1"/>
  <c r="Y38" i="15"/>
  <c r="Z38" i="15" s="1"/>
  <c r="Y47" i="15"/>
  <c r="Z47" i="15" s="1"/>
  <c r="Y56" i="15"/>
  <c r="Z56" i="15" s="1"/>
  <c r="Y65" i="15"/>
  <c r="Z65" i="15" s="1"/>
  <c r="Y75" i="15"/>
  <c r="Y84" i="15"/>
  <c r="Z84" i="15" s="1"/>
  <c r="Y93" i="15"/>
  <c r="Z93" i="15" s="1"/>
  <c r="Y103" i="15"/>
  <c r="Y115" i="15"/>
  <c r="Z115" i="15" s="1"/>
  <c r="Y125" i="15"/>
  <c r="Z125" i="15" s="1"/>
  <c r="Y135" i="15"/>
  <c r="Z135" i="15" s="1"/>
  <c r="Y147" i="15"/>
  <c r="Y157" i="15"/>
  <c r="Z157" i="15" s="1"/>
  <c r="Y167" i="15"/>
  <c r="Z167" i="15" s="1"/>
  <c r="Y179" i="15"/>
  <c r="Z179" i="15" s="1"/>
  <c r="Y189" i="15"/>
  <c r="Y199" i="15"/>
  <c r="Z199" i="15" s="1"/>
  <c r="Y211" i="15"/>
  <c r="Z211" i="15" s="1"/>
  <c r="Y221" i="15"/>
  <c r="Z221" i="15" s="1"/>
  <c r="Y231" i="15"/>
  <c r="Z231" i="15" s="1"/>
  <c r="Y243" i="15"/>
  <c r="Y253" i="15"/>
  <c r="Z253" i="15" s="1"/>
  <c r="AC9" i="15"/>
  <c r="AD9" i="15" s="1"/>
  <c r="AC21" i="15"/>
  <c r="AC31" i="15"/>
  <c r="AD31" i="15" s="1"/>
  <c r="AC41" i="15"/>
  <c r="AD41" i="15" s="1"/>
  <c r="AC53" i="15"/>
  <c r="AD53" i="15" s="1"/>
  <c r="AC63" i="15"/>
  <c r="AC73" i="15"/>
  <c r="AD73" i="15" s="1"/>
  <c r="AC85" i="15"/>
  <c r="AD85" i="15" s="1"/>
  <c r="AC95" i="15"/>
  <c r="AD95" i="15" s="1"/>
  <c r="AC105" i="15"/>
  <c r="AC117" i="15"/>
  <c r="AD117" i="15" s="1"/>
  <c r="AC127" i="15"/>
  <c r="AD127" i="15" s="1"/>
  <c r="AC137" i="15"/>
  <c r="AD137" i="15" s="1"/>
  <c r="AC149" i="15"/>
  <c r="AC159" i="15"/>
  <c r="AD159" i="15" s="1"/>
  <c r="AC169" i="15"/>
  <c r="AD169" i="15" s="1"/>
  <c r="AC181" i="15"/>
  <c r="AD181" i="15" s="1"/>
  <c r="AC191" i="15"/>
  <c r="AC201" i="15"/>
  <c r="AD201" i="15" s="1"/>
  <c r="AC213" i="15"/>
  <c r="AD213" i="15" s="1"/>
  <c r="AC223" i="15"/>
  <c r="AD223" i="15" s="1"/>
  <c r="AC233" i="15"/>
  <c r="AD233" i="15" s="1"/>
  <c r="AC245" i="15"/>
  <c r="AD245" i="15" s="1"/>
  <c r="AI16" i="15"/>
  <c r="AJ16" i="15" s="1"/>
  <c r="AI32" i="15"/>
  <c r="AJ32" i="15" s="1"/>
  <c r="AI50" i="15"/>
  <c r="AJ50" i="15" s="1"/>
  <c r="AI69" i="15"/>
  <c r="AJ69" i="15" s="1"/>
  <c r="AI91" i="15"/>
  <c r="AJ91" i="15" s="1"/>
  <c r="AI112" i="15"/>
  <c r="AJ112" i="15" s="1"/>
  <c r="AI133" i="15"/>
  <c r="AJ133" i="15" s="1"/>
  <c r="AI155" i="15"/>
  <c r="AJ155" i="15" s="1"/>
  <c r="AI176" i="15"/>
  <c r="AJ176" i="15" s="1"/>
  <c r="AI197" i="15"/>
  <c r="AJ197" i="15" s="1"/>
  <c r="AI219" i="15"/>
  <c r="AJ219" i="15" s="1"/>
  <c r="AK6" i="15"/>
  <c r="AL6" i="15" s="1"/>
  <c r="AK28" i="15"/>
  <c r="AL28" i="15" s="1"/>
  <c r="AK49" i="15"/>
  <c r="AL49" i="15" s="1"/>
  <c r="AK70" i="15"/>
  <c r="AL70" i="15" s="1"/>
  <c r="AK92" i="15"/>
  <c r="AL92" i="15" s="1"/>
  <c r="AK113" i="15"/>
  <c r="AL113" i="15" s="1"/>
  <c r="AK134" i="15"/>
  <c r="AL134" i="15" s="1"/>
  <c r="AK156" i="15"/>
  <c r="AK177" i="15"/>
  <c r="AL177" i="15" s="1"/>
  <c r="AK198" i="15"/>
  <c r="AL198" i="15" s="1"/>
  <c r="AK220" i="15"/>
  <c r="AL220" i="15" s="1"/>
  <c r="AK241" i="15"/>
  <c r="X8" i="15"/>
  <c r="AB14" i="15"/>
  <c r="V34" i="15"/>
  <c r="Z41" i="15"/>
  <c r="AD254" i="15"/>
  <c r="U248" i="15"/>
  <c r="V248" i="15" s="1"/>
  <c r="U240" i="15"/>
  <c r="V240" i="15" s="1"/>
  <c r="U232" i="15"/>
  <c r="V232" i="15" s="1"/>
  <c r="U224" i="15"/>
  <c r="V224" i="15" s="1"/>
  <c r="U216" i="15"/>
  <c r="U208" i="15"/>
  <c r="V208" i="15" s="1"/>
  <c r="U200" i="15"/>
  <c r="V200" i="15" s="1"/>
  <c r="U192" i="15"/>
  <c r="V192" i="15" s="1"/>
  <c r="U184" i="15"/>
  <c r="V184" i="15" s="1"/>
  <c r="U176" i="15"/>
  <c r="V176" i="15" s="1"/>
  <c r="U168" i="15"/>
  <c r="V168" i="15" s="1"/>
  <c r="U160" i="15"/>
  <c r="V160" i="15" s="1"/>
  <c r="U152" i="15"/>
  <c r="U144" i="15"/>
  <c r="V144" i="15" s="1"/>
  <c r="U136" i="15"/>
  <c r="U128" i="15"/>
  <c r="V128" i="15" s="1"/>
  <c r="U120" i="15"/>
  <c r="V120" i="15" s="1"/>
  <c r="U112" i="15"/>
  <c r="V112" i="15" s="1"/>
  <c r="U104" i="15"/>
  <c r="V104" i="15" s="1"/>
  <c r="U96" i="15"/>
  <c r="V96" i="15" s="1"/>
  <c r="U88" i="15"/>
  <c r="V88" i="15" s="1"/>
  <c r="U80" i="15"/>
  <c r="V80" i="15" s="1"/>
  <c r="U72" i="15"/>
  <c r="V72" i="15" s="1"/>
  <c r="U64" i="15"/>
  <c r="U9" i="15"/>
  <c r="V9" i="15" s="1"/>
  <c r="U17" i="15"/>
  <c r="V17" i="15" s="1"/>
  <c r="U25" i="15"/>
  <c r="V25" i="15" s="1"/>
  <c r="U33" i="15"/>
  <c r="V33" i="15" s="1"/>
  <c r="U41" i="15"/>
  <c r="U49" i="15"/>
  <c r="V49" i="15" s="1"/>
  <c r="U57" i="15"/>
  <c r="V57" i="15" s="1"/>
  <c r="U66" i="15"/>
  <c r="V66" i="15" s="1"/>
  <c r="U75" i="15"/>
  <c r="V75" i="15" s="1"/>
  <c r="U84" i="15"/>
  <c r="V84" i="15" s="1"/>
  <c r="U93" i="15"/>
  <c r="V93" i="15" s="1"/>
  <c r="U102" i="15"/>
  <c r="V102" i="15" s="1"/>
  <c r="U111" i="15"/>
  <c r="U121" i="15"/>
  <c r="V121" i="15" s="1"/>
  <c r="U130" i="15"/>
  <c r="U139" i="15"/>
  <c r="V139" i="15" s="1"/>
  <c r="U148" i="15"/>
  <c r="V148" i="15" s="1"/>
  <c r="U157" i="15"/>
  <c r="V157" i="15" s="1"/>
  <c r="U166" i="15"/>
  <c r="V166" i="15" s="1"/>
  <c r="U175" i="15"/>
  <c r="V175" i="15" s="1"/>
  <c r="U185" i="15"/>
  <c r="V185" i="15" s="1"/>
  <c r="U194" i="15"/>
  <c r="V194" i="15" s="1"/>
  <c r="U203" i="15"/>
  <c r="U212" i="15"/>
  <c r="U221" i="15"/>
  <c r="V221" i="15" s="1"/>
  <c r="U230" i="15"/>
  <c r="V230" i="15" s="1"/>
  <c r="U239" i="15"/>
  <c r="V239" i="15" s="1"/>
  <c r="U249" i="15"/>
  <c r="V249" i="15" s="1"/>
  <c r="Y3" i="15"/>
  <c r="Z3" i="15" s="1"/>
  <c r="Y12" i="15"/>
  <c r="Z12" i="15" s="1"/>
  <c r="Y21" i="15"/>
  <c r="Y30" i="15"/>
  <c r="Y39" i="15"/>
  <c r="Z39" i="15" s="1"/>
  <c r="Y48" i="15"/>
  <c r="Z48" i="15" s="1"/>
  <c r="Y57" i="15"/>
  <c r="Z57" i="15" s="1"/>
  <c r="Y67" i="15"/>
  <c r="Z67" i="15" s="1"/>
  <c r="Y76" i="15"/>
  <c r="Y85" i="15"/>
  <c r="Z85" i="15" s="1"/>
  <c r="Y94" i="15"/>
  <c r="Z94" i="15" s="1"/>
  <c r="Y104" i="15"/>
  <c r="Y116" i="15"/>
  <c r="Z116" i="15" s="1"/>
  <c r="Y126" i="15"/>
  <c r="Z126" i="15" s="1"/>
  <c r="Y136" i="15"/>
  <c r="Z136" i="15" s="1"/>
  <c r="Y148" i="15"/>
  <c r="Z148" i="15" s="1"/>
  <c r="Y158" i="15"/>
  <c r="Y168" i="15"/>
  <c r="Z168" i="15" s="1"/>
  <c r="Y180" i="15"/>
  <c r="Z180" i="15" s="1"/>
  <c r="Y190" i="15"/>
  <c r="Y200" i="15"/>
  <c r="Z200" i="15" s="1"/>
  <c r="Y212" i="15"/>
  <c r="Z212" i="15" s="1"/>
  <c r="Y222" i="15"/>
  <c r="Z222" i="15" s="1"/>
  <c r="Y232" i="15"/>
  <c r="Z232" i="15" s="1"/>
  <c r="Y244" i="15"/>
  <c r="Y254" i="15"/>
  <c r="AC10" i="15"/>
  <c r="AD10" i="15" s="1"/>
  <c r="AC22" i="15"/>
  <c r="AD22" i="15" s="1"/>
  <c r="AC32" i="15"/>
  <c r="AD32" i="15" s="1"/>
  <c r="AC42" i="15"/>
  <c r="AD42" i="15" s="1"/>
  <c r="AC54" i="15"/>
  <c r="AD54" i="15" s="1"/>
  <c r="AC64" i="15"/>
  <c r="AD64" i="15" s="1"/>
  <c r="AC74" i="15"/>
  <c r="AD74" i="15" s="1"/>
  <c r="AC86" i="15"/>
  <c r="AD86" i="15" s="1"/>
  <c r="AC96" i="15"/>
  <c r="AD96" i="15" s="1"/>
  <c r="AC106" i="15"/>
  <c r="AC118" i="15"/>
  <c r="AD118" i="15" s="1"/>
  <c r="AC128" i="15"/>
  <c r="AD128" i="15" s="1"/>
  <c r="AC138" i="15"/>
  <c r="AD138" i="15" s="1"/>
  <c r="AC150" i="15"/>
  <c r="AD150" i="15" s="1"/>
  <c r="AC160" i="15"/>
  <c r="AC170" i="15"/>
  <c r="AC182" i="15"/>
  <c r="AC192" i="15"/>
  <c r="AC202" i="15"/>
  <c r="AD202" i="15" s="1"/>
  <c r="AC214" i="15"/>
  <c r="AD214" i="15" s="1"/>
  <c r="AC224" i="15"/>
  <c r="AD224" i="15" s="1"/>
  <c r="AC234" i="15"/>
  <c r="AD234" i="15" s="1"/>
  <c r="AI250" i="15"/>
  <c r="AJ250" i="15" s="1"/>
  <c r="AI242" i="15"/>
  <c r="AJ242" i="15" s="1"/>
  <c r="AI234" i="15"/>
  <c r="AJ234" i="15" s="1"/>
  <c r="AI226" i="15"/>
  <c r="AJ226" i="15" s="1"/>
  <c r="AI218" i="15"/>
  <c r="AJ218" i="15" s="1"/>
  <c r="AI210" i="15"/>
  <c r="AJ210" i="15" s="1"/>
  <c r="AI202" i="15"/>
  <c r="AJ202" i="15" s="1"/>
  <c r="AI194" i="15"/>
  <c r="AJ194" i="15" s="1"/>
  <c r="AI186" i="15"/>
  <c r="AJ186" i="15" s="1"/>
  <c r="AI178" i="15"/>
  <c r="AJ178" i="15" s="1"/>
  <c r="AI170" i="15"/>
  <c r="AJ170" i="15" s="1"/>
  <c r="AI162" i="15"/>
  <c r="AJ162" i="15" s="1"/>
  <c r="AI154" i="15"/>
  <c r="AJ154" i="15" s="1"/>
  <c r="AI146" i="15"/>
  <c r="AJ146" i="15" s="1"/>
  <c r="AI138" i="15"/>
  <c r="AJ138" i="15" s="1"/>
  <c r="AI130" i="15"/>
  <c r="AJ130" i="15" s="1"/>
  <c r="AI122" i="15"/>
  <c r="AJ122" i="15" s="1"/>
  <c r="AI114" i="15"/>
  <c r="AJ114" i="15" s="1"/>
  <c r="AI106" i="15"/>
  <c r="AJ106" i="15" s="1"/>
  <c r="AI98" i="15"/>
  <c r="AJ98" i="15" s="1"/>
  <c r="AI90" i="15"/>
  <c r="AJ90" i="15" s="1"/>
  <c r="AI82" i="15"/>
  <c r="AJ82" i="15" s="1"/>
  <c r="AI74" i="15"/>
  <c r="AJ74" i="15" s="1"/>
  <c r="AI66" i="15"/>
  <c r="AJ66" i="15" s="1"/>
  <c r="AI254" i="15"/>
  <c r="AJ254" i="15" s="1"/>
  <c r="AI246" i="15"/>
  <c r="AJ246" i="15" s="1"/>
  <c r="AI238" i="15"/>
  <c r="AJ238" i="15" s="1"/>
  <c r="AI230" i="15"/>
  <c r="AJ230" i="15" s="1"/>
  <c r="AI222" i="15"/>
  <c r="AJ222" i="15" s="1"/>
  <c r="AI214" i="15"/>
  <c r="AJ214" i="15" s="1"/>
  <c r="AI206" i="15"/>
  <c r="AJ206" i="15" s="1"/>
  <c r="AI198" i="15"/>
  <c r="AJ198" i="15" s="1"/>
  <c r="AI190" i="15"/>
  <c r="AJ190" i="15" s="1"/>
  <c r="AI182" i="15"/>
  <c r="AJ182" i="15" s="1"/>
  <c r="AI174" i="15"/>
  <c r="AJ174" i="15" s="1"/>
  <c r="AI166" i="15"/>
  <c r="AJ166" i="15" s="1"/>
  <c r="AI158" i="15"/>
  <c r="AJ158" i="15" s="1"/>
  <c r="AI150" i="15"/>
  <c r="AJ150" i="15" s="1"/>
  <c r="AI142" i="15"/>
  <c r="AJ142" i="15" s="1"/>
  <c r="AI134" i="15"/>
  <c r="AJ134" i="15" s="1"/>
  <c r="AI126" i="15"/>
  <c r="AJ126" i="15" s="1"/>
  <c r="AI118" i="15"/>
  <c r="AJ118" i="15" s="1"/>
  <c r="AI110" i="15"/>
  <c r="AJ110" i="15" s="1"/>
  <c r="AI102" i="15"/>
  <c r="AJ102" i="15" s="1"/>
  <c r="AI94" i="15"/>
  <c r="AJ94" i="15" s="1"/>
  <c r="AI86" i="15"/>
  <c r="AJ86" i="15" s="1"/>
  <c r="AI78" i="15"/>
  <c r="AJ78" i="15" s="1"/>
  <c r="AI70" i="15"/>
  <c r="AJ70" i="15" s="1"/>
  <c r="AI62" i="15"/>
  <c r="AJ62" i="15" s="1"/>
  <c r="AI54" i="15"/>
  <c r="AJ54" i="15" s="1"/>
  <c r="AI46" i="15"/>
  <c r="AJ46" i="15" s="1"/>
  <c r="AI38" i="15"/>
  <c r="AJ38" i="15" s="1"/>
  <c r="AI244" i="15"/>
  <c r="AJ244" i="15" s="1"/>
  <c r="AI233" i="15"/>
  <c r="AJ233" i="15" s="1"/>
  <c r="AI223" i="15"/>
  <c r="AJ223" i="15" s="1"/>
  <c r="AI212" i="15"/>
  <c r="AJ212" i="15" s="1"/>
  <c r="AI201" i="15"/>
  <c r="AJ201" i="15" s="1"/>
  <c r="AI191" i="15"/>
  <c r="AJ191" i="15" s="1"/>
  <c r="AI180" i="15"/>
  <c r="AJ180" i="15" s="1"/>
  <c r="AI169" i="15"/>
  <c r="AJ169" i="15" s="1"/>
  <c r="AI159" i="15"/>
  <c r="AJ159" i="15" s="1"/>
  <c r="AI148" i="15"/>
  <c r="AJ148" i="15" s="1"/>
  <c r="AI137" i="15"/>
  <c r="AJ137" i="15" s="1"/>
  <c r="AI127" i="15"/>
  <c r="AJ127" i="15" s="1"/>
  <c r="AI116" i="15"/>
  <c r="AJ116" i="15" s="1"/>
  <c r="AI105" i="15"/>
  <c r="AJ105" i="15" s="1"/>
  <c r="AI95" i="15"/>
  <c r="AJ95" i="15" s="1"/>
  <c r="AI84" i="15"/>
  <c r="AJ84" i="15" s="1"/>
  <c r="AI73" i="15"/>
  <c r="AJ73" i="15" s="1"/>
  <c r="AI63" i="15"/>
  <c r="AJ63" i="15" s="1"/>
  <c r="AI53" i="15"/>
  <c r="AJ53" i="15" s="1"/>
  <c r="AI44" i="15"/>
  <c r="AJ44" i="15" s="1"/>
  <c r="AI35" i="15"/>
  <c r="AJ35" i="15" s="1"/>
  <c r="AI27" i="15"/>
  <c r="AJ27" i="15" s="1"/>
  <c r="AI19" i="15"/>
  <c r="AJ19" i="15" s="1"/>
  <c r="AI11" i="15"/>
  <c r="AJ11" i="15" s="1"/>
  <c r="AI3" i="15"/>
  <c r="AJ3" i="15" s="1"/>
  <c r="AI253" i="15"/>
  <c r="AJ253" i="15" s="1"/>
  <c r="AI243" i="15"/>
  <c r="AJ243" i="15" s="1"/>
  <c r="AI232" i="15"/>
  <c r="AJ232" i="15" s="1"/>
  <c r="AI221" i="15"/>
  <c r="AJ221" i="15" s="1"/>
  <c r="AI211" i="15"/>
  <c r="AJ211" i="15" s="1"/>
  <c r="AI200" i="15"/>
  <c r="AJ200" i="15" s="1"/>
  <c r="AI189" i="15"/>
  <c r="AJ189" i="15" s="1"/>
  <c r="AI179" i="15"/>
  <c r="AJ179" i="15" s="1"/>
  <c r="AI168" i="15"/>
  <c r="AJ168" i="15" s="1"/>
  <c r="AI157" i="15"/>
  <c r="AJ157" i="15" s="1"/>
  <c r="AI147" i="15"/>
  <c r="AJ147" i="15" s="1"/>
  <c r="AI136" i="15"/>
  <c r="AJ136" i="15" s="1"/>
  <c r="AI125" i="15"/>
  <c r="AJ125" i="15" s="1"/>
  <c r="AI115" i="15"/>
  <c r="AJ115" i="15" s="1"/>
  <c r="AI104" i="15"/>
  <c r="AJ104" i="15" s="1"/>
  <c r="AI93" i="15"/>
  <c r="AJ93" i="15" s="1"/>
  <c r="AI83" i="15"/>
  <c r="AJ83" i="15" s="1"/>
  <c r="AI72" i="15"/>
  <c r="AJ72" i="15" s="1"/>
  <c r="AI61" i="15"/>
  <c r="AJ61" i="15" s="1"/>
  <c r="AI52" i="15"/>
  <c r="AJ52" i="15" s="1"/>
  <c r="AI43" i="15"/>
  <c r="AJ43" i="15" s="1"/>
  <c r="AI34" i="15"/>
  <c r="AJ34" i="15" s="1"/>
  <c r="AI26" i="15"/>
  <c r="AJ26" i="15" s="1"/>
  <c r="AI18" i="15"/>
  <c r="AJ18" i="15" s="1"/>
  <c r="AI10" i="15"/>
  <c r="AJ10" i="15" s="1"/>
  <c r="AI2" i="15"/>
  <c r="AJ2" i="15" s="1"/>
  <c r="AI249" i="15"/>
  <c r="AJ249" i="15" s="1"/>
  <c r="AI239" i="15"/>
  <c r="AJ239" i="15" s="1"/>
  <c r="AI228" i="15"/>
  <c r="AJ228" i="15" s="1"/>
  <c r="AI217" i="15"/>
  <c r="AJ217" i="15" s="1"/>
  <c r="AI207" i="15"/>
  <c r="AJ207" i="15" s="1"/>
  <c r="AI196" i="15"/>
  <c r="AJ196" i="15" s="1"/>
  <c r="AI185" i="15"/>
  <c r="AJ185" i="15" s="1"/>
  <c r="AI175" i="15"/>
  <c r="AJ175" i="15" s="1"/>
  <c r="AI164" i="15"/>
  <c r="AJ164" i="15" s="1"/>
  <c r="AI153" i="15"/>
  <c r="AJ153" i="15" s="1"/>
  <c r="AI143" i="15"/>
  <c r="AJ143" i="15" s="1"/>
  <c r="AI132" i="15"/>
  <c r="AJ132" i="15" s="1"/>
  <c r="AI121" i="15"/>
  <c r="AJ121" i="15" s="1"/>
  <c r="AI111" i="15"/>
  <c r="AJ111" i="15" s="1"/>
  <c r="AI100" i="15"/>
  <c r="AJ100" i="15" s="1"/>
  <c r="AI89" i="15"/>
  <c r="AJ89" i="15" s="1"/>
  <c r="AI79" i="15"/>
  <c r="AJ79" i="15" s="1"/>
  <c r="AI68" i="15"/>
  <c r="AJ68" i="15" s="1"/>
  <c r="AI58" i="15"/>
  <c r="AJ58" i="15" s="1"/>
  <c r="AI49" i="15"/>
  <c r="AJ49" i="15" s="1"/>
  <c r="AI40" i="15"/>
  <c r="AJ40" i="15" s="1"/>
  <c r="AI31" i="15"/>
  <c r="AJ31" i="15" s="1"/>
  <c r="AI23" i="15"/>
  <c r="AJ23" i="15" s="1"/>
  <c r="AI15" i="15"/>
  <c r="AJ15" i="15" s="1"/>
  <c r="AI7" i="15"/>
  <c r="AJ7" i="15" s="1"/>
  <c r="AI248" i="15"/>
  <c r="AJ248" i="15" s="1"/>
  <c r="AI237" i="15"/>
  <c r="AJ237" i="15" s="1"/>
  <c r="AI227" i="15"/>
  <c r="AJ227" i="15" s="1"/>
  <c r="AI216" i="15"/>
  <c r="AJ216" i="15" s="1"/>
  <c r="AI205" i="15"/>
  <c r="AJ205" i="15" s="1"/>
  <c r="AI195" i="15"/>
  <c r="AJ195" i="15" s="1"/>
  <c r="AI184" i="15"/>
  <c r="AJ184" i="15" s="1"/>
  <c r="AI173" i="15"/>
  <c r="AJ173" i="15" s="1"/>
  <c r="AI163" i="15"/>
  <c r="AJ163" i="15" s="1"/>
  <c r="AI152" i="15"/>
  <c r="AJ152" i="15" s="1"/>
  <c r="AI141" i="15"/>
  <c r="AJ141" i="15" s="1"/>
  <c r="AI131" i="15"/>
  <c r="AJ131" i="15" s="1"/>
  <c r="AI120" i="15"/>
  <c r="AJ120" i="15" s="1"/>
  <c r="AI109" i="15"/>
  <c r="AJ109" i="15" s="1"/>
  <c r="AI99" i="15"/>
  <c r="AJ99" i="15" s="1"/>
  <c r="AI88" i="15"/>
  <c r="AJ88" i="15" s="1"/>
  <c r="AI77" i="15"/>
  <c r="AJ77" i="15" s="1"/>
  <c r="AI67" i="15"/>
  <c r="AJ67" i="15" s="1"/>
  <c r="AI57" i="15"/>
  <c r="AJ57" i="15" s="1"/>
  <c r="AI48" i="15"/>
  <c r="AJ48" i="15" s="1"/>
  <c r="AI39" i="15"/>
  <c r="AJ39" i="15" s="1"/>
  <c r="AI30" i="15"/>
  <c r="AJ30" i="15" s="1"/>
  <c r="AI22" i="15"/>
  <c r="AJ22" i="15" s="1"/>
  <c r="AI14" i="15"/>
  <c r="AJ14" i="15" s="1"/>
  <c r="AI6" i="15"/>
  <c r="AJ6" i="15" s="1"/>
  <c r="AI17" i="15"/>
  <c r="AJ17" i="15" s="1"/>
  <c r="AI33" i="15"/>
  <c r="AJ33" i="15" s="1"/>
  <c r="AI51" i="15"/>
  <c r="AJ51" i="15" s="1"/>
  <c r="AI71" i="15"/>
  <c r="AJ71" i="15" s="1"/>
  <c r="AI92" i="15"/>
  <c r="AJ92" i="15" s="1"/>
  <c r="AI113" i="15"/>
  <c r="AJ113" i="15" s="1"/>
  <c r="AI135" i="15"/>
  <c r="AJ135" i="15" s="1"/>
  <c r="AI156" i="15"/>
  <c r="AJ156" i="15" s="1"/>
  <c r="AI177" i="15"/>
  <c r="AJ177" i="15" s="1"/>
  <c r="AI199" i="15"/>
  <c r="AJ199" i="15" s="1"/>
  <c r="AI220" i="15"/>
  <c r="AJ220" i="15" s="1"/>
  <c r="AI241" i="15"/>
  <c r="AJ241" i="15" s="1"/>
  <c r="AK8" i="15"/>
  <c r="AK29" i="15"/>
  <c r="AL29" i="15" s="1"/>
  <c r="AK50" i="15"/>
  <c r="AL50" i="15" s="1"/>
  <c r="AK72" i="15"/>
  <c r="AK93" i="15"/>
  <c r="AL93" i="15" s="1"/>
  <c r="AK114" i="15"/>
  <c r="AL114" i="15" s="1"/>
  <c r="AK136" i="15"/>
  <c r="AL136" i="15" s="1"/>
  <c r="AK157" i="15"/>
  <c r="AL157" i="15" s="1"/>
  <c r="AK178" i="15"/>
  <c r="AL178" i="15" s="1"/>
  <c r="AK200" i="15"/>
  <c r="AL200" i="15" s="1"/>
  <c r="AK221" i="15"/>
  <c r="AL221" i="15" s="1"/>
  <c r="AK242" i="15"/>
  <c r="V16" i="15"/>
  <c r="Z21" i="15"/>
  <c r="X23" i="15"/>
  <c r="V35" i="15"/>
  <c r="V45" i="15"/>
  <c r="V48" i="15"/>
  <c r="AL73" i="15"/>
  <c r="V197" i="15"/>
  <c r="U85" i="15"/>
  <c r="V85" i="15" s="1"/>
  <c r="U94" i="15"/>
  <c r="V94" i="15" s="1"/>
  <c r="U103" i="15"/>
  <c r="V103" i="15" s="1"/>
  <c r="U113" i="15"/>
  <c r="V113" i="15" s="1"/>
  <c r="U122" i="15"/>
  <c r="V122" i="15" s="1"/>
  <c r="U131" i="15"/>
  <c r="V131" i="15" s="1"/>
  <c r="U140" i="15"/>
  <c r="U149" i="15"/>
  <c r="V149" i="15" s="1"/>
  <c r="U158" i="15"/>
  <c r="V158" i="15" s="1"/>
  <c r="U167" i="15"/>
  <c r="V167" i="15" s="1"/>
  <c r="U177" i="15"/>
  <c r="V177" i="15" s="1"/>
  <c r="U186" i="15"/>
  <c r="V186" i="15" s="1"/>
  <c r="U195" i="15"/>
  <c r="V195" i="15" s="1"/>
  <c r="U204" i="15"/>
  <c r="V204" i="15" s="1"/>
  <c r="U213" i="15"/>
  <c r="V213" i="15" s="1"/>
  <c r="U222" i="15"/>
  <c r="V222" i="15" s="1"/>
  <c r="U231" i="15"/>
  <c r="V231" i="15" s="1"/>
  <c r="U241" i="15"/>
  <c r="U250" i="15"/>
  <c r="V250" i="15" s="1"/>
  <c r="Y203" i="15"/>
  <c r="Z203" i="15" s="1"/>
  <c r="Y213" i="15"/>
  <c r="Z213" i="15" s="1"/>
  <c r="Y223" i="15"/>
  <c r="Z223" i="15" s="1"/>
  <c r="Y235" i="15"/>
  <c r="Y245" i="15"/>
  <c r="Z245" i="15" s="1"/>
  <c r="AC252" i="15"/>
  <c r="AD252" i="15" s="1"/>
  <c r="AC244" i="15"/>
  <c r="AD244" i="15" s="1"/>
  <c r="AC236" i="15"/>
  <c r="AD236" i="15" s="1"/>
  <c r="AC228" i="15"/>
  <c r="AD228" i="15" s="1"/>
  <c r="AC220" i="15"/>
  <c r="AD220" i="15" s="1"/>
  <c r="AC212" i="15"/>
  <c r="AD212" i="15" s="1"/>
  <c r="AC204" i="15"/>
  <c r="AC196" i="15"/>
  <c r="AC188" i="15"/>
  <c r="AD188" i="15" s="1"/>
  <c r="AC180" i="15"/>
  <c r="AD180" i="15" s="1"/>
  <c r="AC172" i="15"/>
  <c r="AD172" i="15" s="1"/>
  <c r="AC164" i="15"/>
  <c r="AD164" i="15" s="1"/>
  <c r="AC156" i="15"/>
  <c r="AD156" i="15" s="1"/>
  <c r="AC148" i="15"/>
  <c r="AD148" i="15" s="1"/>
  <c r="AC140" i="15"/>
  <c r="AD140" i="15" s="1"/>
  <c r="AC132" i="15"/>
  <c r="AD132" i="15" s="1"/>
  <c r="AC124" i="15"/>
  <c r="AD124" i="15" s="1"/>
  <c r="AC116" i="15"/>
  <c r="AD116" i="15" s="1"/>
  <c r="AC108" i="15"/>
  <c r="AD108" i="15" s="1"/>
  <c r="AC100" i="15"/>
  <c r="AD100" i="15" s="1"/>
  <c r="AC92" i="15"/>
  <c r="AD92" i="15" s="1"/>
  <c r="AC84" i="15"/>
  <c r="AD84" i="15" s="1"/>
  <c r="AC76" i="15"/>
  <c r="AD76" i="15" s="1"/>
  <c r="AC68" i="15"/>
  <c r="AD68" i="15" s="1"/>
  <c r="AC60" i="15"/>
  <c r="AD60" i="15" s="1"/>
  <c r="AC52" i="15"/>
  <c r="AD52" i="15" s="1"/>
  <c r="AC44" i="15"/>
  <c r="AD44" i="15" s="1"/>
  <c r="AC36" i="15"/>
  <c r="AD36" i="15" s="1"/>
  <c r="AC28" i="15"/>
  <c r="AD28" i="15" s="1"/>
  <c r="AC20" i="15"/>
  <c r="AD20" i="15" s="1"/>
  <c r="AC12" i="15"/>
  <c r="AD12" i="15" s="1"/>
  <c r="AC4" i="15"/>
  <c r="AD4" i="15" s="1"/>
  <c r="AC251" i="15"/>
  <c r="AD251" i="15" s="1"/>
  <c r="AC243" i="15"/>
  <c r="AD243" i="15" s="1"/>
  <c r="AC235" i="15"/>
  <c r="AD235" i="15" s="1"/>
  <c r="AC227" i="15"/>
  <c r="AD227" i="15" s="1"/>
  <c r="AC219" i="15"/>
  <c r="AD219" i="15" s="1"/>
  <c r="AC211" i="15"/>
  <c r="AD211" i="15" s="1"/>
  <c r="AC203" i="15"/>
  <c r="AD203" i="15" s="1"/>
  <c r="AC195" i="15"/>
  <c r="AD195" i="15" s="1"/>
  <c r="AC187" i="15"/>
  <c r="AD187" i="15" s="1"/>
  <c r="AC179" i="15"/>
  <c r="AD179" i="15" s="1"/>
  <c r="AC171" i="15"/>
  <c r="AD171" i="15" s="1"/>
  <c r="AC163" i="15"/>
  <c r="AD163" i="15" s="1"/>
  <c r="AC155" i="15"/>
  <c r="AD155" i="15" s="1"/>
  <c r="AC147" i="15"/>
  <c r="AC139" i="15"/>
  <c r="AD139" i="15" s="1"/>
  <c r="AC131" i="15"/>
  <c r="AD131" i="15" s="1"/>
  <c r="AC123" i="15"/>
  <c r="AD123" i="15" s="1"/>
  <c r="AC115" i="15"/>
  <c r="AD115" i="15" s="1"/>
  <c r="AC107" i="15"/>
  <c r="AD107" i="15" s="1"/>
  <c r="AC99" i="15"/>
  <c r="AD99" i="15" s="1"/>
  <c r="AC91" i="15"/>
  <c r="AD91" i="15" s="1"/>
  <c r="AC83" i="15"/>
  <c r="AD83" i="15" s="1"/>
  <c r="AC75" i="15"/>
  <c r="AC67" i="15"/>
  <c r="AD67" i="15" s="1"/>
  <c r="AC59" i="15"/>
  <c r="AD59" i="15" s="1"/>
  <c r="AC51" i="15"/>
  <c r="AC43" i="15"/>
  <c r="AD43" i="15" s="1"/>
  <c r="AC35" i="15"/>
  <c r="AD35" i="15" s="1"/>
  <c r="AC27" i="15"/>
  <c r="AD27" i="15" s="1"/>
  <c r="AC19" i="15"/>
  <c r="AD19" i="15" s="1"/>
  <c r="AC11" i="15"/>
  <c r="AD11" i="15" s="1"/>
  <c r="AC3" i="15"/>
  <c r="AD3" i="15" s="1"/>
  <c r="AC13" i="15"/>
  <c r="AC23" i="15"/>
  <c r="AD23" i="15" s="1"/>
  <c r="AC33" i="15"/>
  <c r="AD33" i="15" s="1"/>
  <c r="AC45" i="15"/>
  <c r="AD45" i="15" s="1"/>
  <c r="AC55" i="15"/>
  <c r="AD55" i="15" s="1"/>
  <c r="AC65" i="15"/>
  <c r="AD65" i="15" s="1"/>
  <c r="AC77" i="15"/>
  <c r="AD77" i="15" s="1"/>
  <c r="AC87" i="15"/>
  <c r="AD87" i="15" s="1"/>
  <c r="AC97" i="15"/>
  <c r="AD97" i="15" s="1"/>
  <c r="AC109" i="15"/>
  <c r="AD109" i="15" s="1"/>
  <c r="AC119" i="15"/>
  <c r="AD119" i="15" s="1"/>
  <c r="AC129" i="15"/>
  <c r="AD129" i="15" s="1"/>
  <c r="AC141" i="15"/>
  <c r="AD141" i="15" s="1"/>
  <c r="AC151" i="15"/>
  <c r="AD151" i="15" s="1"/>
  <c r="AC161" i="15"/>
  <c r="AC173" i="15"/>
  <c r="AD173" i="15" s="1"/>
  <c r="AC183" i="15"/>
  <c r="AD183" i="15" s="1"/>
  <c r="AC193" i="15"/>
  <c r="AD193" i="15" s="1"/>
  <c r="AC205" i="15"/>
  <c r="AD205" i="15" s="1"/>
  <c r="AC215" i="15"/>
  <c r="AD215" i="15" s="1"/>
  <c r="AC225" i="15"/>
  <c r="AD225" i="15" s="1"/>
  <c r="AC237" i="15"/>
  <c r="AD237" i="15" s="1"/>
  <c r="AC247" i="15"/>
  <c r="AD247" i="15" s="1"/>
  <c r="AI4" i="15"/>
  <c r="AJ4" i="15" s="1"/>
  <c r="AI20" i="15"/>
  <c r="AJ20" i="15" s="1"/>
  <c r="AI36" i="15"/>
  <c r="AJ36" i="15" s="1"/>
  <c r="AI55" i="15"/>
  <c r="AJ55" i="15" s="1"/>
  <c r="AI75" i="15"/>
  <c r="AJ75" i="15" s="1"/>
  <c r="AI96" i="15"/>
  <c r="AJ96" i="15" s="1"/>
  <c r="AI117" i="15"/>
  <c r="AJ117" i="15" s="1"/>
  <c r="AI139" i="15"/>
  <c r="AJ139" i="15" s="1"/>
  <c r="AI160" i="15"/>
  <c r="AJ160" i="15" s="1"/>
  <c r="AI181" i="15"/>
  <c r="AJ181" i="15" s="1"/>
  <c r="AI203" i="15"/>
  <c r="AJ203" i="15" s="1"/>
  <c r="AI224" i="15"/>
  <c r="AJ224" i="15" s="1"/>
  <c r="AI245" i="15"/>
  <c r="AJ245" i="15" s="1"/>
  <c r="AK12" i="15"/>
  <c r="AL12" i="15" s="1"/>
  <c r="AK33" i="15"/>
  <c r="AL33" i="15" s="1"/>
  <c r="AK54" i="15"/>
  <c r="AL54" i="15" s="1"/>
  <c r="AK76" i="15"/>
  <c r="AK97" i="15"/>
  <c r="AL97" i="15" s="1"/>
  <c r="AK118" i="15"/>
  <c r="AL118" i="15" s="1"/>
  <c r="AK140" i="15"/>
  <c r="AL140" i="15" s="1"/>
  <c r="AK161" i="15"/>
  <c r="AL161" i="15" s="1"/>
  <c r="AK182" i="15"/>
  <c r="AL182" i="15" s="1"/>
  <c r="AK204" i="15"/>
  <c r="AL204" i="15" s="1"/>
  <c r="AK225" i="15"/>
  <c r="AK246" i="15"/>
  <c r="AL246" i="15" s="1"/>
  <c r="AB42" i="15"/>
  <c r="X61" i="15"/>
  <c r="X130" i="15"/>
  <c r="AE4" i="15"/>
  <c r="AF4" i="15" s="1"/>
  <c r="AE12" i="15"/>
  <c r="AF12" i="15" s="1"/>
  <c r="AE20" i="15"/>
  <c r="AE28" i="15"/>
  <c r="AF28" i="15" s="1"/>
  <c r="AE36" i="15"/>
  <c r="AF36" i="15" s="1"/>
  <c r="AE44" i="15"/>
  <c r="AF44" i="15" s="1"/>
  <c r="AE52" i="15"/>
  <c r="AF52" i="15" s="1"/>
  <c r="AE60" i="15"/>
  <c r="AF60" i="15" s="1"/>
  <c r="AE68" i="15"/>
  <c r="AF68" i="15" s="1"/>
  <c r="AE76" i="15"/>
  <c r="AF76" i="15" s="1"/>
  <c r="AE84" i="15"/>
  <c r="AF84" i="15" s="1"/>
  <c r="AE92" i="15"/>
  <c r="AE100" i="15"/>
  <c r="AF100" i="15" s="1"/>
  <c r="AE108" i="15"/>
  <c r="AF108" i="15" s="1"/>
  <c r="AE116" i="15"/>
  <c r="AF116" i="15" s="1"/>
  <c r="AE124" i="15"/>
  <c r="AF124" i="15" s="1"/>
  <c r="AE132" i="15"/>
  <c r="AF132" i="15" s="1"/>
  <c r="AE140" i="15"/>
  <c r="AF140" i="15" s="1"/>
  <c r="AE148" i="15"/>
  <c r="AF148" i="15" s="1"/>
  <c r="AE156" i="15"/>
  <c r="AF156" i="15" s="1"/>
  <c r="AE164" i="15"/>
  <c r="AF164" i="15" s="1"/>
  <c r="AE172" i="15"/>
  <c r="AF172" i="15" s="1"/>
  <c r="AE180" i="15"/>
  <c r="AF180" i="15" s="1"/>
  <c r="AE188" i="15"/>
  <c r="AF188" i="15" s="1"/>
  <c r="AE196" i="15"/>
  <c r="AF196" i="15" s="1"/>
  <c r="AE204" i="15"/>
  <c r="AF204" i="15" s="1"/>
  <c r="AE212" i="15"/>
  <c r="AF212" i="15" s="1"/>
  <c r="AE220" i="15"/>
  <c r="AF220" i="15" s="1"/>
  <c r="AE228" i="15"/>
  <c r="AF228" i="15" s="1"/>
  <c r="AE236" i="15"/>
  <c r="AE244" i="15"/>
  <c r="AF244" i="15" s="1"/>
  <c r="AE252" i="15"/>
  <c r="AF252" i="15" s="1"/>
  <c r="AG5" i="15"/>
  <c r="AG13" i="15"/>
  <c r="AG21" i="15"/>
  <c r="AG29" i="15"/>
  <c r="AG37" i="15"/>
  <c r="AG45" i="15"/>
  <c r="AG53" i="15"/>
  <c r="AG61" i="15"/>
  <c r="AG69" i="15"/>
  <c r="AG77" i="15"/>
  <c r="AG85" i="15"/>
  <c r="AG93" i="15"/>
  <c r="AG101" i="15"/>
  <c r="AG109" i="15"/>
  <c r="AG117" i="15"/>
  <c r="AG125" i="15"/>
  <c r="AG133" i="15"/>
  <c r="AG141" i="15"/>
  <c r="AG149" i="15"/>
  <c r="AG157" i="15"/>
  <c r="AG165" i="15"/>
  <c r="AG173" i="15"/>
  <c r="AG181" i="15"/>
  <c r="AG189" i="15"/>
  <c r="AG197" i="15"/>
  <c r="AG205" i="15"/>
  <c r="AG213" i="15"/>
  <c r="AG221" i="15"/>
  <c r="AH221" i="15" s="1"/>
  <c r="AG229" i="15"/>
  <c r="AG237" i="15"/>
  <c r="AG245" i="15"/>
  <c r="AG253" i="15"/>
  <c r="AL3" i="15"/>
  <c r="AL17" i="15"/>
  <c r="AL21" i="15"/>
  <c r="AB38" i="15"/>
  <c r="AO248" i="15"/>
  <c r="AP248" i="15" s="1"/>
  <c r="AO240" i="15"/>
  <c r="AO232" i="15"/>
  <c r="AP232" i="15" s="1"/>
  <c r="AO224" i="15"/>
  <c r="AP224" i="15" s="1"/>
  <c r="AO216" i="15"/>
  <c r="AP216" i="15" s="1"/>
  <c r="AO208" i="15"/>
  <c r="AP208" i="15" s="1"/>
  <c r="AO200" i="15"/>
  <c r="AP200" i="15" s="1"/>
  <c r="AO192" i="15"/>
  <c r="AP192" i="15" s="1"/>
  <c r="AO184" i="15"/>
  <c r="AP184" i="15" s="1"/>
  <c r="AO176" i="15"/>
  <c r="AO168" i="15"/>
  <c r="AP168" i="15" s="1"/>
  <c r="AO160" i="15"/>
  <c r="AP160" i="15" s="1"/>
  <c r="AO152" i="15"/>
  <c r="AO144" i="15"/>
  <c r="AP144" i="15" s="1"/>
  <c r="AO136" i="15"/>
  <c r="AP136" i="15" s="1"/>
  <c r="AO128" i="15"/>
  <c r="AP128" i="15" s="1"/>
  <c r="AO120" i="15"/>
  <c r="AP120" i="15" s="1"/>
  <c r="AO112" i="15"/>
  <c r="AP112" i="15" s="1"/>
  <c r="AO104" i="15"/>
  <c r="AP104" i="15" s="1"/>
  <c r="AO96" i="15"/>
  <c r="AP96" i="15" s="1"/>
  <c r="AO88" i="15"/>
  <c r="AO80" i="15"/>
  <c r="AP80" i="15" s="1"/>
  <c r="AO72" i="15"/>
  <c r="AP72" i="15" s="1"/>
  <c r="AO64" i="15"/>
  <c r="AP64" i="15" s="1"/>
  <c r="AO56" i="15"/>
  <c r="AP56" i="15" s="1"/>
  <c r="AO251" i="15"/>
  <c r="AO243" i="15"/>
  <c r="AP243" i="15" s="1"/>
  <c r="AO235" i="15"/>
  <c r="AP235" i="15" s="1"/>
  <c r="AO227" i="15"/>
  <c r="AO219" i="15"/>
  <c r="AP219" i="15" s="1"/>
  <c r="AO211" i="15"/>
  <c r="AP211" i="15" s="1"/>
  <c r="AO203" i="15"/>
  <c r="AP203" i="15" s="1"/>
  <c r="AO195" i="15"/>
  <c r="AP195" i="15" s="1"/>
  <c r="AO187" i="15"/>
  <c r="AO179" i="15"/>
  <c r="AP179" i="15" s="1"/>
  <c r="AO171" i="15"/>
  <c r="AP171" i="15" s="1"/>
  <c r="AO163" i="15"/>
  <c r="AO155" i="15"/>
  <c r="AO147" i="15"/>
  <c r="AP147" i="15" s="1"/>
  <c r="AO139" i="15"/>
  <c r="AP139" i="15" s="1"/>
  <c r="AO131" i="15"/>
  <c r="AP131" i="15" s="1"/>
  <c r="AO123" i="15"/>
  <c r="AO115" i="15"/>
  <c r="AP115" i="15" s="1"/>
  <c r="AO107" i="15"/>
  <c r="AP107" i="15" s="1"/>
  <c r="AO99" i="15"/>
  <c r="AP99" i="15" s="1"/>
  <c r="AO91" i="15"/>
  <c r="AP91" i="15" s="1"/>
  <c r="AO83" i="15"/>
  <c r="AP83" i="15" s="1"/>
  <c r="AO75" i="15"/>
  <c r="AP75" i="15" s="1"/>
  <c r="AO67" i="15"/>
  <c r="AO59" i="15"/>
  <c r="AP59" i="15" s="1"/>
  <c r="AO51" i="15"/>
  <c r="AP51" i="15" s="1"/>
  <c r="AO250" i="15"/>
  <c r="AP250" i="15" s="1"/>
  <c r="AO239" i="15"/>
  <c r="AO229" i="15"/>
  <c r="AP229" i="15" s="1"/>
  <c r="AO218" i="15"/>
  <c r="AP218" i="15" s="1"/>
  <c r="AO207" i="15"/>
  <c r="AP207" i="15" s="1"/>
  <c r="AO197" i="15"/>
  <c r="AP197" i="15" s="1"/>
  <c r="AO186" i="15"/>
  <c r="AP186" i="15" s="1"/>
  <c r="AO175" i="15"/>
  <c r="AP175" i="15" s="1"/>
  <c r="AO165" i="15"/>
  <c r="AP165" i="15" s="1"/>
  <c r="AO154" i="15"/>
  <c r="AO143" i="15"/>
  <c r="AP143" i="15" s="1"/>
  <c r="AO133" i="15"/>
  <c r="AP133" i="15" s="1"/>
  <c r="AO122" i="15"/>
  <c r="AP122" i="15" s="1"/>
  <c r="AO111" i="15"/>
  <c r="AP111" i="15" s="1"/>
  <c r="AO101" i="15"/>
  <c r="AP101" i="15" s="1"/>
  <c r="AO90" i="15"/>
  <c r="AO79" i="15"/>
  <c r="AP79" i="15" s="1"/>
  <c r="AO69" i="15"/>
  <c r="AO58" i="15"/>
  <c r="AP58" i="15" s="1"/>
  <c r="AO249" i="15"/>
  <c r="AP249" i="15" s="1"/>
  <c r="AO238" i="15"/>
  <c r="AP238" i="15" s="1"/>
  <c r="AO228" i="15"/>
  <c r="AP228" i="15" s="1"/>
  <c r="AO217" i="15"/>
  <c r="AP217" i="15" s="1"/>
  <c r="AO206" i="15"/>
  <c r="AP206" i="15" s="1"/>
  <c r="AO196" i="15"/>
  <c r="AP196" i="15" s="1"/>
  <c r="AO185" i="15"/>
  <c r="AO174" i="15"/>
  <c r="AP174" i="15" s="1"/>
  <c r="AO164" i="15"/>
  <c r="AP164" i="15" s="1"/>
  <c r="AO153" i="15"/>
  <c r="AP153" i="15" s="1"/>
  <c r="AO142" i="15"/>
  <c r="AP142" i="15" s="1"/>
  <c r="AO132" i="15"/>
  <c r="AO121" i="15"/>
  <c r="AP121" i="15" s="1"/>
  <c r="AO110" i="15"/>
  <c r="AP110" i="15" s="1"/>
  <c r="AO100" i="15"/>
  <c r="AO89" i="15"/>
  <c r="AP89" i="15" s="1"/>
  <c r="AO78" i="15"/>
  <c r="AP78" i="15" s="1"/>
  <c r="AO68" i="15"/>
  <c r="AP68" i="15" s="1"/>
  <c r="AO57" i="15"/>
  <c r="AP57" i="15" s="1"/>
  <c r="AO245" i="15"/>
  <c r="AP245" i="15" s="1"/>
  <c r="AO234" i="15"/>
  <c r="AP234" i="15" s="1"/>
  <c r="AO223" i="15"/>
  <c r="AP223" i="15" s="1"/>
  <c r="AO213" i="15"/>
  <c r="AP213" i="15" s="1"/>
  <c r="AO202" i="15"/>
  <c r="AP202" i="15" s="1"/>
  <c r="AO191" i="15"/>
  <c r="AP191" i="15" s="1"/>
  <c r="AO181" i="15"/>
  <c r="AP181" i="15" s="1"/>
  <c r="AO170" i="15"/>
  <c r="AP170" i="15" s="1"/>
  <c r="AO159" i="15"/>
  <c r="AO149" i="15"/>
  <c r="AP149" i="15" s="1"/>
  <c r="AO138" i="15"/>
  <c r="AP138" i="15" s="1"/>
  <c r="AO127" i="15"/>
  <c r="AP127" i="15" s="1"/>
  <c r="AO117" i="15"/>
  <c r="AP117" i="15" s="1"/>
  <c r="AO106" i="15"/>
  <c r="AP106" i="15" s="1"/>
  <c r="AO95" i="15"/>
  <c r="AP95" i="15" s="1"/>
  <c r="AO85" i="15"/>
  <c r="AP85" i="15" s="1"/>
  <c r="AO74" i="15"/>
  <c r="AP74" i="15" s="1"/>
  <c r="AO63" i="15"/>
  <c r="AP63" i="15" s="1"/>
  <c r="AO53" i="15"/>
  <c r="AP53" i="15" s="1"/>
  <c r="AO254" i="15"/>
  <c r="AO244" i="15"/>
  <c r="AP244" i="15" s="1"/>
  <c r="AO233" i="15"/>
  <c r="AP233" i="15" s="1"/>
  <c r="AO222" i="15"/>
  <c r="AP222" i="15" s="1"/>
  <c r="AO212" i="15"/>
  <c r="AP212" i="15" s="1"/>
  <c r="AO201" i="15"/>
  <c r="AP201" i="15" s="1"/>
  <c r="AO190" i="15"/>
  <c r="AO180" i="15"/>
  <c r="AP180" i="15" s="1"/>
  <c r="AO169" i="15"/>
  <c r="AO158" i="15"/>
  <c r="AP158" i="15" s="1"/>
  <c r="AO148" i="15"/>
  <c r="AP148" i="15" s="1"/>
  <c r="AO137" i="15"/>
  <c r="AP137" i="15" s="1"/>
  <c r="AO126" i="15"/>
  <c r="AP126" i="15" s="1"/>
  <c r="AO116" i="15"/>
  <c r="AO105" i="15"/>
  <c r="AO94" i="15"/>
  <c r="AP94" i="15" s="1"/>
  <c r="AO84" i="15"/>
  <c r="AP84" i="15" s="1"/>
  <c r="AO73" i="15"/>
  <c r="AP73" i="15" s="1"/>
  <c r="AO62" i="15"/>
  <c r="AP62" i="15" s="1"/>
  <c r="AO52" i="15"/>
  <c r="AP52" i="15" s="1"/>
  <c r="AO247" i="15"/>
  <c r="AP247" i="15" s="1"/>
  <c r="AO226" i="15"/>
  <c r="AO205" i="15"/>
  <c r="AP205" i="15" s="1"/>
  <c r="AO183" i="15"/>
  <c r="AO162" i="15"/>
  <c r="AO141" i="15"/>
  <c r="AP141" i="15" s="1"/>
  <c r="AO119" i="15"/>
  <c r="AP119" i="15" s="1"/>
  <c r="AO98" i="15"/>
  <c r="AP98" i="15" s="1"/>
  <c r="AO77" i="15"/>
  <c r="AP77" i="15" s="1"/>
  <c r="AO55" i="15"/>
  <c r="AO246" i="15"/>
  <c r="AP246" i="15" s="1"/>
  <c r="AO225" i="15"/>
  <c r="AP225" i="15" s="1"/>
  <c r="AO204" i="15"/>
  <c r="AP204" i="15" s="1"/>
  <c r="AO182" i="15"/>
  <c r="AP182" i="15" s="1"/>
  <c r="AO161" i="15"/>
  <c r="AP161" i="15" s="1"/>
  <c r="AO140" i="15"/>
  <c r="AP140" i="15" s="1"/>
  <c r="AO118" i="15"/>
  <c r="AP118" i="15" s="1"/>
  <c r="AO97" i="15"/>
  <c r="AP97" i="15" s="1"/>
  <c r="AO76" i="15"/>
  <c r="AP76" i="15" s="1"/>
  <c r="AO54" i="15"/>
  <c r="AO237" i="15"/>
  <c r="AP237" i="15" s="1"/>
  <c r="AO215" i="15"/>
  <c r="AP215" i="15" s="1"/>
  <c r="AO194" i="15"/>
  <c r="AP194" i="15" s="1"/>
  <c r="AO173" i="15"/>
  <c r="AP173" i="15" s="1"/>
  <c r="AO151" i="15"/>
  <c r="AP151" i="15" s="1"/>
  <c r="AO130" i="15"/>
  <c r="AP130" i="15" s="1"/>
  <c r="AO109" i="15"/>
  <c r="AP109" i="15" s="1"/>
  <c r="AO87" i="15"/>
  <c r="AP87" i="15" s="1"/>
  <c r="AO66" i="15"/>
  <c r="AO82" i="15"/>
  <c r="AP82" i="15" s="1"/>
  <c r="AO114" i="15"/>
  <c r="AP114" i="15" s="1"/>
  <c r="AO150" i="15"/>
  <c r="AP150" i="15" s="1"/>
  <c r="AO188" i="15"/>
  <c r="AP188" i="15" s="1"/>
  <c r="AO220" i="15"/>
  <c r="AO253" i="15"/>
  <c r="AP253" i="15" s="1"/>
  <c r="Z59" i="15"/>
  <c r="AL62" i="15"/>
  <c r="AD78" i="15"/>
  <c r="AP90" i="15"/>
  <c r="X127" i="15"/>
  <c r="W9" i="15"/>
  <c r="X9" i="15" s="1"/>
  <c r="W17" i="15"/>
  <c r="X17" i="15" s="1"/>
  <c r="W25" i="15"/>
  <c r="X25" i="15" s="1"/>
  <c r="W33" i="15"/>
  <c r="X33" i="15" s="1"/>
  <c r="W41" i="15"/>
  <c r="X41" i="15" s="1"/>
  <c r="W49" i="15"/>
  <c r="X49" i="15" s="1"/>
  <c r="W57" i="15"/>
  <c r="X57" i="15" s="1"/>
  <c r="W65" i="15"/>
  <c r="X65" i="15" s="1"/>
  <c r="W73" i="15"/>
  <c r="X73" i="15" s="1"/>
  <c r="W81" i="15"/>
  <c r="X81" i="15" s="1"/>
  <c r="W89" i="15"/>
  <c r="X89" i="15" s="1"/>
  <c r="W97" i="15"/>
  <c r="X97" i="15" s="1"/>
  <c r="W105" i="15"/>
  <c r="X105" i="15" s="1"/>
  <c r="W113" i="15"/>
  <c r="X113" i="15" s="1"/>
  <c r="W121" i="15"/>
  <c r="X121" i="15" s="1"/>
  <c r="W129" i="15"/>
  <c r="W137" i="15"/>
  <c r="X137" i="15" s="1"/>
  <c r="W145" i="15"/>
  <c r="X145" i="15" s="1"/>
  <c r="W153" i="15"/>
  <c r="W161" i="15"/>
  <c r="X161" i="15" s="1"/>
  <c r="W169" i="15"/>
  <c r="X169" i="15" s="1"/>
  <c r="W177" i="15"/>
  <c r="X177" i="15" s="1"/>
  <c r="W185" i="15"/>
  <c r="X185" i="15" s="1"/>
  <c r="W193" i="15"/>
  <c r="X193" i="15" s="1"/>
  <c r="W201" i="15"/>
  <c r="X201" i="15" s="1"/>
  <c r="W209" i="15"/>
  <c r="X209" i="15" s="1"/>
  <c r="W217" i="15"/>
  <c r="W225" i="15"/>
  <c r="X225" i="15" s="1"/>
  <c r="W233" i="15"/>
  <c r="W241" i="15"/>
  <c r="X241" i="15" s="1"/>
  <c r="AE5" i="15"/>
  <c r="AF5" i="15" s="1"/>
  <c r="AE13" i="15"/>
  <c r="AF13" i="15" s="1"/>
  <c r="AE21" i="15"/>
  <c r="AF21" i="15" s="1"/>
  <c r="AE29" i="15"/>
  <c r="AF29" i="15" s="1"/>
  <c r="AE37" i="15"/>
  <c r="AF37" i="15" s="1"/>
  <c r="AE45" i="15"/>
  <c r="AF45" i="15" s="1"/>
  <c r="AE53" i="15"/>
  <c r="AE61" i="15"/>
  <c r="AF61" i="15" s="1"/>
  <c r="AE69" i="15"/>
  <c r="AF69" i="15" s="1"/>
  <c r="AE77" i="15"/>
  <c r="AF77" i="15" s="1"/>
  <c r="AE85" i="15"/>
  <c r="AF85" i="15" s="1"/>
  <c r="AE93" i="15"/>
  <c r="AF93" i="15" s="1"/>
  <c r="AE101" i="15"/>
  <c r="AF101" i="15" s="1"/>
  <c r="AE109" i="15"/>
  <c r="AF109" i="15" s="1"/>
  <c r="AE117" i="15"/>
  <c r="AF117" i="15" s="1"/>
  <c r="AE125" i="15"/>
  <c r="AF125" i="15" s="1"/>
  <c r="AE133" i="15"/>
  <c r="AF133" i="15" s="1"/>
  <c r="AE141" i="15"/>
  <c r="AF141" i="15" s="1"/>
  <c r="AE149" i="15"/>
  <c r="AF149" i="15" s="1"/>
  <c r="AE157" i="15"/>
  <c r="AF157" i="15" s="1"/>
  <c r="AE165" i="15"/>
  <c r="AF165" i="15" s="1"/>
  <c r="AE173" i="15"/>
  <c r="AF173" i="15" s="1"/>
  <c r="AE181" i="15"/>
  <c r="AF181" i="15" s="1"/>
  <c r="AE189" i="15"/>
  <c r="AF189" i="15" s="1"/>
  <c r="AE197" i="15"/>
  <c r="AF197" i="15" s="1"/>
  <c r="AE205" i="15"/>
  <c r="AF205" i="15" s="1"/>
  <c r="AE213" i="15"/>
  <c r="AF213" i="15" s="1"/>
  <c r="AE221" i="15"/>
  <c r="AE229" i="15"/>
  <c r="AE237" i="15"/>
  <c r="AE245" i="15"/>
  <c r="AF245" i="15" s="1"/>
  <c r="AE253" i="15"/>
  <c r="AF253" i="15" s="1"/>
  <c r="AG6" i="15"/>
  <c r="AG14" i="15"/>
  <c r="AG22" i="15"/>
  <c r="AG30" i="15"/>
  <c r="AG38" i="15"/>
  <c r="AG46" i="15"/>
  <c r="AG54" i="15"/>
  <c r="AG62" i="15"/>
  <c r="AG70" i="15"/>
  <c r="AG78" i="15"/>
  <c r="AG86" i="15"/>
  <c r="AG94" i="15"/>
  <c r="AG102" i="15"/>
  <c r="AG110" i="15"/>
  <c r="AG118" i="15"/>
  <c r="AG126" i="15"/>
  <c r="AG134" i="15"/>
  <c r="AG142" i="15"/>
  <c r="AG150" i="15"/>
  <c r="AG158" i="15"/>
  <c r="AG166" i="15"/>
  <c r="AG174" i="15"/>
  <c r="AG182" i="15"/>
  <c r="AG190" i="15"/>
  <c r="AG198" i="15"/>
  <c r="AG206" i="15"/>
  <c r="AG214" i="15"/>
  <c r="AG222" i="15"/>
  <c r="AG230" i="15"/>
  <c r="AH230" i="15" s="1"/>
  <c r="AG238" i="15"/>
  <c r="AG246" i="15"/>
  <c r="AH246" i="15" s="1"/>
  <c r="AG254" i="15"/>
  <c r="AD6" i="15"/>
  <c r="AL8" i="15"/>
  <c r="AD38" i="15"/>
  <c r="AO50" i="15"/>
  <c r="AP50" i="15" s="1"/>
  <c r="AO86" i="15"/>
  <c r="AP86" i="15" s="1"/>
  <c r="AO124" i="15"/>
  <c r="AO156" i="15"/>
  <c r="AP156" i="15" s="1"/>
  <c r="AO189" i="15"/>
  <c r="AP189" i="15" s="1"/>
  <c r="AO221" i="15"/>
  <c r="AP221" i="15" s="1"/>
  <c r="AL53" i="15"/>
  <c r="AL63" i="15"/>
  <c r="V64" i="15"/>
  <c r="AP67" i="15"/>
  <c r="Z75" i="15"/>
  <c r="X76" i="15"/>
  <c r="AG9" i="15"/>
  <c r="AG17" i="15"/>
  <c r="AG25" i="15"/>
  <c r="AG33" i="15"/>
  <c r="AG41" i="15"/>
  <c r="AG49" i="15"/>
  <c r="AG57" i="15"/>
  <c r="AG65" i="15"/>
  <c r="AG73" i="15"/>
  <c r="AG81" i="15"/>
  <c r="AG89" i="15"/>
  <c r="AG97" i="15"/>
  <c r="AG105" i="15"/>
  <c r="AG113" i="15"/>
  <c r="AG121" i="15"/>
  <c r="AG129" i="15"/>
  <c r="AG137" i="15"/>
  <c r="AG145" i="15"/>
  <c r="AG153" i="15"/>
  <c r="AG161" i="15"/>
  <c r="AG169" i="15"/>
  <c r="AG177" i="15"/>
  <c r="AG185" i="15"/>
  <c r="AG193" i="15"/>
  <c r="AG201" i="15"/>
  <c r="AH201" i="15" s="1"/>
  <c r="AG209" i="15"/>
  <c r="AG217" i="15"/>
  <c r="AG225" i="15"/>
  <c r="AG233" i="15"/>
  <c r="AG241" i="15"/>
  <c r="AG249" i="15"/>
  <c r="AH249" i="15" s="1"/>
  <c r="AL13" i="15"/>
  <c r="AL20" i="15"/>
  <c r="AF24" i="15"/>
  <c r="AF32" i="15"/>
  <c r="Z40" i="15"/>
  <c r="V41" i="15"/>
  <c r="AO65" i="15"/>
  <c r="AP65" i="15" s="1"/>
  <c r="AO102" i="15"/>
  <c r="AP102" i="15" s="1"/>
  <c r="AO134" i="15"/>
  <c r="AP134" i="15" s="1"/>
  <c r="AO167" i="15"/>
  <c r="AO199" i="15"/>
  <c r="AO236" i="15"/>
  <c r="AP236" i="15" s="1"/>
  <c r="AP55" i="15"/>
  <c r="Z68" i="15"/>
  <c r="V73" i="15"/>
  <c r="V86" i="15"/>
  <c r="Z119" i="15"/>
  <c r="X136" i="15"/>
  <c r="AP162" i="15"/>
  <c r="AB182" i="15"/>
  <c r="V229" i="15"/>
  <c r="AE9" i="15"/>
  <c r="AF9" i="15" s="1"/>
  <c r="AE17" i="15"/>
  <c r="AF17" i="15" s="1"/>
  <c r="AE25" i="15"/>
  <c r="AF25" i="15" s="1"/>
  <c r="AE33" i="15"/>
  <c r="AF33" i="15" s="1"/>
  <c r="AE41" i="15"/>
  <c r="AF41" i="15" s="1"/>
  <c r="AE49" i="15"/>
  <c r="AF49" i="15" s="1"/>
  <c r="AE57" i="15"/>
  <c r="AF57" i="15" s="1"/>
  <c r="AE65" i="15"/>
  <c r="AF65" i="15" s="1"/>
  <c r="AE73" i="15"/>
  <c r="AF73" i="15" s="1"/>
  <c r="AE81" i="15"/>
  <c r="AF81" i="15" s="1"/>
  <c r="AE89" i="15"/>
  <c r="AF89" i="15" s="1"/>
  <c r="AE97" i="15"/>
  <c r="AF97" i="15" s="1"/>
  <c r="AE105" i="15"/>
  <c r="AF105" i="15" s="1"/>
  <c r="AE113" i="15"/>
  <c r="AF113" i="15" s="1"/>
  <c r="AE121" i="15"/>
  <c r="AF121" i="15" s="1"/>
  <c r="AE129" i="15"/>
  <c r="AF129" i="15" s="1"/>
  <c r="AE137" i="15"/>
  <c r="AF137" i="15" s="1"/>
  <c r="AE145" i="15"/>
  <c r="AE153" i="15"/>
  <c r="AF153" i="15" s="1"/>
  <c r="AE161" i="15"/>
  <c r="AF161" i="15" s="1"/>
  <c r="AE169" i="15"/>
  <c r="AF169" i="15" s="1"/>
  <c r="AE177" i="15"/>
  <c r="AE185" i="15"/>
  <c r="AE193" i="15"/>
  <c r="AF193" i="15" s="1"/>
  <c r="AE201" i="15"/>
  <c r="AF201" i="15" s="1"/>
  <c r="AE209" i="15"/>
  <c r="AE217" i="15"/>
  <c r="AE225" i="15"/>
  <c r="AF225" i="15" s="1"/>
  <c r="AE233" i="15"/>
  <c r="AE241" i="15"/>
  <c r="AF241" i="15" s="1"/>
  <c r="AG2" i="15"/>
  <c r="AH2" i="15" s="1"/>
  <c r="AH255" i="15" s="1"/>
  <c r="AG10" i="15"/>
  <c r="AG18" i="15"/>
  <c r="AH18" i="15" s="1"/>
  <c r="AG26" i="15"/>
  <c r="AG34" i="15"/>
  <c r="AH34" i="15" s="1"/>
  <c r="AG42" i="15"/>
  <c r="AG50" i="15"/>
  <c r="AG58" i="15"/>
  <c r="AG66" i="15"/>
  <c r="AG74" i="15"/>
  <c r="AH74" i="15" s="1"/>
  <c r="AG82" i="15"/>
  <c r="AG90" i="15"/>
  <c r="AG98" i="15"/>
  <c r="AH98" i="15" s="1"/>
  <c r="AG106" i="15"/>
  <c r="AG114" i="15"/>
  <c r="AG122" i="15"/>
  <c r="AH122" i="15" s="1"/>
  <c r="AG130" i="15"/>
  <c r="AG138" i="15"/>
  <c r="AH138" i="15" s="1"/>
  <c r="AG146" i="15"/>
  <c r="AH146" i="15" s="1"/>
  <c r="AG154" i="15"/>
  <c r="AH154" i="15" s="1"/>
  <c r="AG162" i="15"/>
  <c r="AG170" i="15"/>
  <c r="AH170" i="15" s="1"/>
  <c r="AG178" i="15"/>
  <c r="AH178" i="15" s="1"/>
  <c r="AG186" i="15"/>
  <c r="AH186" i="15" s="1"/>
  <c r="AG194" i="15"/>
  <c r="AG202" i="15"/>
  <c r="AG210" i="15"/>
  <c r="AG218" i="15"/>
  <c r="AG226" i="15"/>
  <c r="AG234" i="15"/>
  <c r="AG242" i="15"/>
  <c r="V19" i="15"/>
  <c r="V29" i="15"/>
  <c r="X35" i="15"/>
  <c r="V50" i="15"/>
  <c r="AO70" i="15"/>
  <c r="AP70" i="15" s="1"/>
  <c r="AO103" i="15"/>
  <c r="AP103" i="15" s="1"/>
  <c r="AO135" i="15"/>
  <c r="AP135" i="15" s="1"/>
  <c r="AO172" i="15"/>
  <c r="AP172" i="15" s="1"/>
  <c r="AO209" i="15"/>
  <c r="AP209" i="15" s="1"/>
  <c r="AO241" i="15"/>
  <c r="AP241" i="15" s="1"/>
  <c r="AB54" i="15"/>
  <c r="V56" i="15"/>
  <c r="AL72" i="15"/>
  <c r="AF75" i="15"/>
  <c r="Z78" i="15"/>
  <c r="AL84" i="15"/>
  <c r="AP93" i="15"/>
  <c r="AF103" i="15"/>
  <c r="AL106" i="15"/>
  <c r="Z117" i="15"/>
  <c r="Z132" i="15"/>
  <c r="X143" i="15"/>
  <c r="AF146" i="15"/>
  <c r="AF179" i="15"/>
  <c r="AF20" i="15"/>
  <c r="Z23" i="15"/>
  <c r="Z27" i="15"/>
  <c r="Z31" i="15"/>
  <c r="Z35" i="15"/>
  <c r="Z43" i="15"/>
  <c r="X48" i="15"/>
  <c r="AP66" i="15"/>
  <c r="AB77" i="15"/>
  <c r="AB80" i="15"/>
  <c r="AP81" i="15"/>
  <c r="AB87" i="15"/>
  <c r="V89" i="15"/>
  <c r="AD105" i="15"/>
  <c r="X108" i="15"/>
  <c r="AL125" i="15"/>
  <c r="V136" i="15"/>
  <c r="AL151" i="15"/>
  <c r="AF185" i="15"/>
  <c r="V36" i="15"/>
  <c r="V52" i="15"/>
  <c r="V54" i="15"/>
  <c r="X56" i="15"/>
  <c r="AD57" i="15"/>
  <c r="AL59" i="15"/>
  <c r="AP61" i="15"/>
  <c r="X70" i="15"/>
  <c r="Z76" i="15"/>
  <c r="AB81" i="15"/>
  <c r="X90" i="15"/>
  <c r="AF92" i="15"/>
  <c r="X99" i="15"/>
  <c r="Z103" i="15"/>
  <c r="V105" i="15"/>
  <c r="AP105" i="15"/>
  <c r="Z120" i="15"/>
  <c r="AP123" i="15"/>
  <c r="AP193" i="15"/>
  <c r="AL9" i="15"/>
  <c r="AD13" i="15"/>
  <c r="AD21" i="15"/>
  <c r="Z22" i="15"/>
  <c r="X28" i="15"/>
  <c r="AD29" i="15"/>
  <c r="Z30" i="15"/>
  <c r="X32" i="15"/>
  <c r="Z34" i="15"/>
  <c r="AD37" i="15"/>
  <c r="X40" i="15"/>
  <c r="Z42" i="15"/>
  <c r="Z46" i="15"/>
  <c r="V47" i="15"/>
  <c r="AD51" i="15"/>
  <c r="AL67" i="15"/>
  <c r="Z79" i="15"/>
  <c r="X91" i="15"/>
  <c r="Z99" i="15"/>
  <c r="V100" i="15"/>
  <c r="AP124" i="15"/>
  <c r="Z158" i="15"/>
  <c r="AF53" i="15"/>
  <c r="AP54" i="15"/>
  <c r="AD63" i="15"/>
  <c r="AP69" i="15"/>
  <c r="AD72" i="15"/>
  <c r="AF79" i="15"/>
  <c r="Z80" i="15"/>
  <c r="Z87" i="15"/>
  <c r="AF88" i="15"/>
  <c r="Z89" i="15"/>
  <c r="Z101" i="15"/>
  <c r="AF111" i="15"/>
  <c r="X116" i="15"/>
  <c r="AF131" i="15"/>
  <c r="AD191" i="15"/>
  <c r="V237" i="15"/>
  <c r="AB249" i="15"/>
  <c r="Z49" i="15"/>
  <c r="AF72" i="15"/>
  <c r="Z74" i="15"/>
  <c r="AD75" i="15"/>
  <c r="Z77" i="15"/>
  <c r="AB78" i="15"/>
  <c r="AL87" i="15"/>
  <c r="AL101" i="15"/>
  <c r="Z104" i="15"/>
  <c r="AD106" i="15"/>
  <c r="AP113" i="15"/>
  <c r="Z134" i="15"/>
  <c r="V140" i="15"/>
  <c r="V152" i="15"/>
  <c r="AL156" i="15"/>
  <c r="Z165" i="15"/>
  <c r="Z173" i="15"/>
  <c r="X174" i="15"/>
  <c r="X232" i="15"/>
  <c r="Z53" i="15"/>
  <c r="Z54" i="15"/>
  <c r="V59" i="15"/>
  <c r="V60" i="15"/>
  <c r="X64" i="15"/>
  <c r="X72" i="15"/>
  <c r="AL76" i="15"/>
  <c r="AD82" i="15"/>
  <c r="V95" i="15"/>
  <c r="AL98" i="15"/>
  <c r="Z105" i="15"/>
  <c r="V106" i="15"/>
  <c r="X124" i="15"/>
  <c r="AD126" i="15"/>
  <c r="Z131" i="15"/>
  <c r="AL51" i="15"/>
  <c r="Z66" i="15"/>
  <c r="V68" i="15"/>
  <c r="Z69" i="15"/>
  <c r="AP88" i="15"/>
  <c r="AD94" i="15"/>
  <c r="AB98" i="15"/>
  <c r="AL100" i="15"/>
  <c r="X112" i="15"/>
  <c r="Z124" i="15"/>
  <c r="Z141" i="15"/>
  <c r="AF144" i="15"/>
  <c r="AB152" i="15"/>
  <c r="V171" i="15"/>
  <c r="V181" i="15"/>
  <c r="AL190" i="15"/>
  <c r="AF83" i="15"/>
  <c r="X100" i="15"/>
  <c r="V111" i="15"/>
  <c r="V114" i="15"/>
  <c r="AL153" i="15"/>
  <c r="AL164" i="15"/>
  <c r="AD166" i="15"/>
  <c r="AF170" i="15"/>
  <c r="X178" i="15"/>
  <c r="AF191" i="15"/>
  <c r="AB194" i="15"/>
  <c r="AP199" i="15"/>
  <c r="AF216" i="15"/>
  <c r="Z225" i="15"/>
  <c r="Z226" i="15"/>
  <c r="V79" i="15"/>
  <c r="AB89" i="15"/>
  <c r="Z97" i="15"/>
  <c r="Z100" i="15"/>
  <c r="X111" i="15"/>
  <c r="AF118" i="15"/>
  <c r="V119" i="15"/>
  <c r="X131" i="15"/>
  <c r="V133" i="15"/>
  <c r="AD134" i="15"/>
  <c r="AF145" i="15"/>
  <c r="AD149" i="15"/>
  <c r="X151" i="15"/>
  <c r="AP183" i="15"/>
  <c r="AD185" i="15"/>
  <c r="AL225" i="15"/>
  <c r="AB241" i="15"/>
  <c r="V87" i="15"/>
  <c r="AP92" i="15"/>
  <c r="AF99" i="15"/>
  <c r="AP116" i="15"/>
  <c r="V123" i="15"/>
  <c r="AB129" i="15"/>
  <c r="Z138" i="15"/>
  <c r="V146" i="15"/>
  <c r="Z155" i="15"/>
  <c r="AP159" i="15"/>
  <c r="AP163" i="15"/>
  <c r="X166" i="15"/>
  <c r="AP167" i="15"/>
  <c r="X175" i="15"/>
  <c r="AF177" i="15"/>
  <c r="Z81" i="15"/>
  <c r="X87" i="15"/>
  <c r="V90" i="15"/>
  <c r="Z102" i="15"/>
  <c r="AP108" i="15"/>
  <c r="Z110" i="15"/>
  <c r="AD122" i="15"/>
  <c r="V130" i="15"/>
  <c r="X146" i="15"/>
  <c r="X149" i="15"/>
  <c r="X156" i="15"/>
  <c r="Z166" i="15"/>
  <c r="AP176" i="15"/>
  <c r="AB183" i="15"/>
  <c r="X186" i="15"/>
  <c r="AP187" i="15"/>
  <c r="AD189" i="15"/>
  <c r="AF227" i="15"/>
  <c r="V242" i="15"/>
  <c r="X129" i="15"/>
  <c r="V135" i="15"/>
  <c r="Z137" i="15"/>
  <c r="AD147" i="15"/>
  <c r="AP154" i="15"/>
  <c r="AB161" i="15"/>
  <c r="Z172" i="15"/>
  <c r="Z174" i="15"/>
  <c r="AP185" i="15"/>
  <c r="X188" i="15"/>
  <c r="V193" i="15"/>
  <c r="AD194" i="15"/>
  <c r="Z108" i="15"/>
  <c r="V127" i="15"/>
  <c r="AL130" i="15"/>
  <c r="AP132" i="15"/>
  <c r="AF139" i="15"/>
  <c r="X153" i="15"/>
  <c r="V155" i="15"/>
  <c r="AD161" i="15"/>
  <c r="Z162" i="15"/>
  <c r="AB167" i="15"/>
  <c r="Z188" i="15"/>
  <c r="AF194" i="15"/>
  <c r="AF200" i="15"/>
  <c r="V214" i="15"/>
  <c r="AP214" i="15"/>
  <c r="AF221" i="15"/>
  <c r="X140" i="15"/>
  <c r="AL145" i="15"/>
  <c r="Z150" i="15"/>
  <c r="V154" i="15"/>
  <c r="AL155" i="15"/>
  <c r="V159" i="15"/>
  <c r="AF174" i="15"/>
  <c r="AP178" i="15"/>
  <c r="X181" i="15"/>
  <c r="AP190" i="15"/>
  <c r="AD192" i="15"/>
  <c r="X223" i="15"/>
  <c r="AD240" i="15"/>
  <c r="AP100" i="15"/>
  <c r="X103" i="15"/>
  <c r="V124" i="15"/>
  <c r="AF142" i="15"/>
  <c r="X144" i="15"/>
  <c r="AL150" i="15"/>
  <c r="Z152" i="15"/>
  <c r="X159" i="15"/>
  <c r="AD160" i="15"/>
  <c r="AB166" i="15"/>
  <c r="Z169" i="15"/>
  <c r="AD170" i="15"/>
  <c r="AL173" i="15"/>
  <c r="AD177" i="15"/>
  <c r="Z190" i="15"/>
  <c r="AB235" i="15"/>
  <c r="Z238" i="15"/>
  <c r="V145" i="15"/>
  <c r="V161" i="15"/>
  <c r="Z163" i="15"/>
  <c r="AD165" i="15"/>
  <c r="AL168" i="15"/>
  <c r="AP169" i="15"/>
  <c r="X171" i="15"/>
  <c r="AD182" i="15"/>
  <c r="Z191" i="15"/>
  <c r="V202" i="15"/>
  <c r="V203" i="15"/>
  <c r="AD204" i="15"/>
  <c r="AP220" i="15"/>
  <c r="AD222" i="15"/>
  <c r="Z229" i="15"/>
  <c r="AL238" i="15"/>
  <c r="X239" i="15"/>
  <c r="X245" i="15"/>
  <c r="X147" i="15"/>
  <c r="V150" i="15"/>
  <c r="AP152" i="15"/>
  <c r="AP155" i="15"/>
  <c r="Z171" i="15"/>
  <c r="AF176" i="15"/>
  <c r="AD196" i="15"/>
  <c r="AF209" i="15"/>
  <c r="Z219" i="15"/>
  <c r="AB227" i="15"/>
  <c r="X230" i="15"/>
  <c r="AP230" i="15"/>
  <c r="V236" i="15"/>
  <c r="Z244" i="15"/>
  <c r="Z144" i="15"/>
  <c r="Z147" i="15"/>
  <c r="X150" i="15"/>
  <c r="V153" i="15"/>
  <c r="AF178" i="15"/>
  <c r="Z187" i="15"/>
  <c r="Z195" i="15"/>
  <c r="V198" i="15"/>
  <c r="X221" i="15"/>
  <c r="Z176" i="15"/>
  <c r="V182" i="15"/>
  <c r="AL186" i="15"/>
  <c r="AB195" i="15"/>
  <c r="V196" i="15"/>
  <c r="V201" i="15"/>
  <c r="V216" i="15"/>
  <c r="X218" i="15"/>
  <c r="Z239" i="15"/>
  <c r="AL242" i="15"/>
  <c r="AB248" i="15"/>
  <c r="V252" i="15"/>
  <c r="Z254" i="15"/>
  <c r="Z189" i="15"/>
  <c r="AF190" i="15"/>
  <c r="X194" i="15"/>
  <c r="AF229" i="15"/>
  <c r="X231" i="15"/>
  <c r="X234" i="15"/>
  <c r="AP252" i="15"/>
  <c r="X172" i="15"/>
  <c r="AD178" i="15"/>
  <c r="V188" i="15"/>
  <c r="X191" i="15"/>
  <c r="V223" i="15"/>
  <c r="V253" i="15"/>
  <c r="V189" i="15"/>
  <c r="AD206" i="15"/>
  <c r="X229" i="15"/>
  <c r="Z234" i="15"/>
  <c r="AF235" i="15"/>
  <c r="AB239" i="15"/>
  <c r="AP239" i="15"/>
  <c r="AL241" i="15"/>
  <c r="V244" i="15"/>
  <c r="AP251" i="15"/>
  <c r="AB198" i="15"/>
  <c r="Z202" i="15"/>
  <c r="X204" i="15"/>
  <c r="V206" i="15"/>
  <c r="Z227" i="15"/>
  <c r="AP227" i="15"/>
  <c r="X233" i="15"/>
  <c r="AF236" i="15"/>
  <c r="AF243" i="15"/>
  <c r="X250" i="15"/>
  <c r="AB197" i="15"/>
  <c r="AP198" i="15"/>
  <c r="Z204" i="15"/>
  <c r="AD207" i="15"/>
  <c r="X217" i="15"/>
  <c r="V226" i="15"/>
  <c r="AP231" i="15"/>
  <c r="Z233" i="15"/>
  <c r="AL237" i="15"/>
  <c r="AP240" i="15"/>
  <c r="AF249" i="15"/>
  <c r="X254" i="15"/>
  <c r="AL209" i="15"/>
  <c r="X213" i="15"/>
  <c r="X214" i="15"/>
  <c r="AL216" i="15"/>
  <c r="AP226" i="15"/>
  <c r="AF233" i="15"/>
  <c r="Z251" i="15"/>
  <c r="AP254" i="15"/>
  <c r="X205" i="15"/>
  <c r="X206" i="15"/>
  <c r="V212" i="15"/>
  <c r="AL236" i="15"/>
  <c r="V241" i="15"/>
  <c r="Z243" i="15"/>
  <c r="Z198" i="15"/>
  <c r="Z206" i="15"/>
  <c r="AP210" i="15"/>
  <c r="AF217" i="15"/>
  <c r="V233" i="15"/>
  <c r="Z235" i="15"/>
  <c r="AF237" i="15"/>
  <c r="AC254" i="14"/>
  <c r="AD254" i="14" s="1"/>
  <c r="AC246" i="14"/>
  <c r="AD246" i="14" s="1"/>
  <c r="AC238" i="14"/>
  <c r="AD238" i="14" s="1"/>
  <c r="AC230" i="14"/>
  <c r="AC222" i="14"/>
  <c r="AD222" i="14" s="1"/>
  <c r="AC214" i="14"/>
  <c r="AD214" i="14" s="1"/>
  <c r="AC206" i="14"/>
  <c r="AD206" i="14" s="1"/>
  <c r="AC198" i="14"/>
  <c r="AC190" i="14"/>
  <c r="AD190" i="14" s="1"/>
  <c r="AC182" i="14"/>
  <c r="AD182" i="14" s="1"/>
  <c r="AC174" i="14"/>
  <c r="AD174" i="14" s="1"/>
  <c r="AC166" i="14"/>
  <c r="AD166" i="14" s="1"/>
  <c r="AC158" i="14"/>
  <c r="AD158" i="14" s="1"/>
  <c r="AC150" i="14"/>
  <c r="AD150" i="14" s="1"/>
  <c r="AC142" i="14"/>
  <c r="AD142" i="14" s="1"/>
  <c r="AC134" i="14"/>
  <c r="AD134" i="14" s="1"/>
  <c r="AC126" i="14"/>
  <c r="AD126" i="14" s="1"/>
  <c r="AC118" i="14"/>
  <c r="AD118" i="14" s="1"/>
  <c r="AC110" i="14"/>
  <c r="AD110" i="14" s="1"/>
  <c r="AC102" i="14"/>
  <c r="AD102" i="14" s="1"/>
  <c r="AC94" i="14"/>
  <c r="AD94" i="14" s="1"/>
  <c r="AC86" i="14"/>
  <c r="AD86" i="14" s="1"/>
  <c r="AC78" i="14"/>
  <c r="AD78" i="14" s="1"/>
  <c r="AC70" i="14"/>
  <c r="AD70" i="14" s="1"/>
  <c r="AC62" i="14"/>
  <c r="AD62" i="14" s="1"/>
  <c r="AC54" i="14"/>
  <c r="AD54" i="14" s="1"/>
  <c r="AC46" i="14"/>
  <c r="AD46" i="14" s="1"/>
  <c r="AC38" i="14"/>
  <c r="AD38" i="14" s="1"/>
  <c r="AC30" i="14"/>
  <c r="AD30" i="14" s="1"/>
  <c r="AC22" i="14"/>
  <c r="AD22" i="14" s="1"/>
  <c r="AC14" i="14"/>
  <c r="AD14" i="14" s="1"/>
  <c r="AC6" i="14"/>
  <c r="AD6" i="14" s="1"/>
  <c r="AC252" i="14"/>
  <c r="AD252" i="14" s="1"/>
  <c r="AC244" i="14"/>
  <c r="AD244" i="14" s="1"/>
  <c r="AC236" i="14"/>
  <c r="AD236" i="14" s="1"/>
  <c r="AC228" i="14"/>
  <c r="AD228" i="14" s="1"/>
  <c r="AC220" i="14"/>
  <c r="AD220" i="14" s="1"/>
  <c r="AC212" i="14"/>
  <c r="AD212" i="14" s="1"/>
  <c r="AC204" i="14"/>
  <c r="AD204" i="14" s="1"/>
  <c r="AC196" i="14"/>
  <c r="AD196" i="14" s="1"/>
  <c r="AC188" i="14"/>
  <c r="AD188" i="14" s="1"/>
  <c r="AC180" i="14"/>
  <c r="AD180" i="14" s="1"/>
  <c r="AC172" i="14"/>
  <c r="AD172" i="14" s="1"/>
  <c r="AC164" i="14"/>
  <c r="AD164" i="14" s="1"/>
  <c r="AC156" i="14"/>
  <c r="AD156" i="14" s="1"/>
  <c r="AC148" i="14"/>
  <c r="AD148" i="14" s="1"/>
  <c r="AC140" i="14"/>
  <c r="AD140" i="14" s="1"/>
  <c r="AC132" i="14"/>
  <c r="AD132" i="14" s="1"/>
  <c r="AC124" i="14"/>
  <c r="AD124" i="14" s="1"/>
  <c r="AC116" i="14"/>
  <c r="AD116" i="14" s="1"/>
  <c r="AC108" i="14"/>
  <c r="AD108" i="14" s="1"/>
  <c r="AC100" i="14"/>
  <c r="AC92" i="14"/>
  <c r="AD92" i="14" s="1"/>
  <c r="AC84" i="14"/>
  <c r="AD84" i="14" s="1"/>
  <c r="AC76" i="14"/>
  <c r="AD76" i="14" s="1"/>
  <c r="AC68" i="14"/>
  <c r="AC60" i="14"/>
  <c r="AD60" i="14" s="1"/>
  <c r="AC52" i="14"/>
  <c r="AD52" i="14" s="1"/>
  <c r="AC44" i="14"/>
  <c r="AD44" i="14" s="1"/>
  <c r="AC36" i="14"/>
  <c r="AD36" i="14" s="1"/>
  <c r="AC28" i="14"/>
  <c r="AD28" i="14" s="1"/>
  <c r="AC20" i="14"/>
  <c r="AD20" i="14" s="1"/>
  <c r="AC12" i="14"/>
  <c r="AD12" i="14" s="1"/>
  <c r="AC4" i="14"/>
  <c r="AC250" i="14"/>
  <c r="AD250" i="14" s="1"/>
  <c r="AC242" i="14"/>
  <c r="AD242" i="14" s="1"/>
  <c r="AC234" i="14"/>
  <c r="AD234" i="14" s="1"/>
  <c r="AC226" i="14"/>
  <c r="AD226" i="14" s="1"/>
  <c r="AC218" i="14"/>
  <c r="AD218" i="14" s="1"/>
  <c r="AC210" i="14"/>
  <c r="AD210" i="14" s="1"/>
  <c r="AC202" i="14"/>
  <c r="AD202" i="14" s="1"/>
  <c r="AC194" i="14"/>
  <c r="AC186" i="14"/>
  <c r="AD186" i="14" s="1"/>
  <c r="AC178" i="14"/>
  <c r="AD178" i="14" s="1"/>
  <c r="AC170" i="14"/>
  <c r="AD170" i="14" s="1"/>
  <c r="AC162" i="14"/>
  <c r="AC154" i="14"/>
  <c r="AD154" i="14" s="1"/>
  <c r="AC146" i="14"/>
  <c r="AD146" i="14" s="1"/>
  <c r="AC138" i="14"/>
  <c r="AD138" i="14" s="1"/>
  <c r="AC130" i="14"/>
  <c r="AC122" i="14"/>
  <c r="AD122" i="14" s="1"/>
  <c r="AC114" i="14"/>
  <c r="AD114" i="14" s="1"/>
  <c r="AC106" i="14"/>
  <c r="AD106" i="14" s="1"/>
  <c r="AC98" i="14"/>
  <c r="AD98" i="14" s="1"/>
  <c r="AC90" i="14"/>
  <c r="AD90" i="14" s="1"/>
  <c r="AC82" i="14"/>
  <c r="AD82" i="14" s="1"/>
  <c r="AC74" i="14"/>
  <c r="AD74" i="14" s="1"/>
  <c r="AC66" i="14"/>
  <c r="AD66" i="14" s="1"/>
  <c r="AC58" i="14"/>
  <c r="AD58" i="14" s="1"/>
  <c r="AC50" i="14"/>
  <c r="AD50" i="14" s="1"/>
  <c r="AC42" i="14"/>
  <c r="AD42" i="14" s="1"/>
  <c r="AC34" i="14"/>
  <c r="AD34" i="14" s="1"/>
  <c r="AC26" i="14"/>
  <c r="AD26" i="14" s="1"/>
  <c r="AC18" i="14"/>
  <c r="AD18" i="14" s="1"/>
  <c r="AC10" i="14"/>
  <c r="AD10" i="14" s="1"/>
  <c r="AC2" i="14"/>
  <c r="AD2" i="14" s="1"/>
  <c r="AD255" i="14" s="1"/>
  <c r="AC40" i="14"/>
  <c r="AD40" i="14" s="1"/>
  <c r="AC91" i="14"/>
  <c r="AD91" i="14" s="1"/>
  <c r="AC129" i="14"/>
  <c r="AD129" i="14" s="1"/>
  <c r="AC168" i="14"/>
  <c r="AD168" i="14" s="1"/>
  <c r="AC193" i="14"/>
  <c r="AD193" i="14" s="1"/>
  <c r="AC219" i="14"/>
  <c r="AD219" i="14" s="1"/>
  <c r="AK33" i="14"/>
  <c r="AL33" i="14" s="1"/>
  <c r="U3" i="14"/>
  <c r="U27" i="14"/>
  <c r="V27" i="14" s="1"/>
  <c r="U52" i="14"/>
  <c r="V52" i="14" s="1"/>
  <c r="U77" i="14"/>
  <c r="U103" i="14"/>
  <c r="V103" i="14" s="1"/>
  <c r="U129" i="14"/>
  <c r="V129" i="14" s="1"/>
  <c r="U155" i="14"/>
  <c r="V155" i="14" s="1"/>
  <c r="U193" i="14"/>
  <c r="Y3" i="14"/>
  <c r="Z3" i="14" s="1"/>
  <c r="Y29" i="14"/>
  <c r="Z29" i="14" s="1"/>
  <c r="Y54" i="14"/>
  <c r="Z54" i="14" s="1"/>
  <c r="Y79" i="14"/>
  <c r="Y105" i="14"/>
  <c r="Z105" i="14" s="1"/>
  <c r="Y131" i="14"/>
  <c r="Z131" i="14" s="1"/>
  <c r="Y169" i="14"/>
  <c r="Z169" i="14" s="1"/>
  <c r="Y195" i="14"/>
  <c r="Z195" i="14" s="1"/>
  <c r="Y233" i="14"/>
  <c r="AC16" i="14"/>
  <c r="AD16" i="14" s="1"/>
  <c r="AC41" i="14"/>
  <c r="AD41" i="14" s="1"/>
  <c r="AC67" i="14"/>
  <c r="AD67" i="14" s="1"/>
  <c r="AC93" i="14"/>
  <c r="AD93" i="14" s="1"/>
  <c r="AC119" i="14"/>
  <c r="AD119" i="14" s="1"/>
  <c r="AC157" i="14"/>
  <c r="AC183" i="14"/>
  <c r="AD183" i="14" s="1"/>
  <c r="AC233" i="14"/>
  <c r="AK34" i="14"/>
  <c r="AL34" i="14" s="1"/>
  <c r="AK69" i="14"/>
  <c r="AK154" i="14"/>
  <c r="AL154" i="14" s="1"/>
  <c r="AK239" i="14"/>
  <c r="AL239" i="14" s="1"/>
  <c r="X192" i="14"/>
  <c r="AH166" i="14"/>
  <c r="U4" i="14"/>
  <c r="V4" i="14" s="1"/>
  <c r="U15" i="14"/>
  <c r="V15" i="14" s="1"/>
  <c r="U28" i="14"/>
  <c r="V28" i="14" s="1"/>
  <c r="U41" i="14"/>
  <c r="V41" i="14" s="1"/>
  <c r="U53" i="14"/>
  <c r="U67" i="14"/>
  <c r="V67" i="14" s="1"/>
  <c r="U79" i="14"/>
  <c r="V79" i="14" s="1"/>
  <c r="U92" i="14"/>
  <c r="V92" i="14" s="1"/>
  <c r="U105" i="14"/>
  <c r="V105" i="14" s="1"/>
  <c r="U117" i="14"/>
  <c r="V117" i="14" s="1"/>
  <c r="U131" i="14"/>
  <c r="V131" i="14" s="1"/>
  <c r="U143" i="14"/>
  <c r="V143" i="14" s="1"/>
  <c r="U156" i="14"/>
  <c r="V156" i="14" s="1"/>
  <c r="U169" i="14"/>
  <c r="V169" i="14" s="1"/>
  <c r="U181" i="14"/>
  <c r="V181" i="14" s="1"/>
  <c r="U195" i="14"/>
  <c r="V195" i="14" s="1"/>
  <c r="U207" i="14"/>
  <c r="V207" i="14" s="1"/>
  <c r="U220" i="14"/>
  <c r="U233" i="14"/>
  <c r="V233" i="14" s="1"/>
  <c r="Y5" i="14"/>
  <c r="Y17" i="14"/>
  <c r="Z17" i="14" s="1"/>
  <c r="Y30" i="14"/>
  <c r="Z30" i="14" s="1"/>
  <c r="Y43" i="14"/>
  <c r="Z43" i="14" s="1"/>
  <c r="Y55" i="14"/>
  <c r="Z55" i="14" s="1"/>
  <c r="Y69" i="14"/>
  <c r="Z69" i="14" s="1"/>
  <c r="Y81" i="14"/>
  <c r="Y94" i="14"/>
  <c r="Z94" i="14" s="1"/>
  <c r="Y107" i="14"/>
  <c r="Z107" i="14" s="1"/>
  <c r="Y119" i="14"/>
  <c r="Y133" i="14"/>
  <c r="Y145" i="14"/>
  <c r="Z145" i="14" s="1"/>
  <c r="Y158" i="14"/>
  <c r="Z158" i="14" s="1"/>
  <c r="Y171" i="14"/>
  <c r="Z171" i="14" s="1"/>
  <c r="Y183" i="14"/>
  <c r="Z183" i="14" s="1"/>
  <c r="Y197" i="14"/>
  <c r="Z197" i="14" s="1"/>
  <c r="Y209" i="14"/>
  <c r="Z209" i="14" s="1"/>
  <c r="Y222" i="14"/>
  <c r="Y235" i="14"/>
  <c r="Z235" i="14" s="1"/>
  <c r="Y247" i="14"/>
  <c r="Z247" i="14" s="1"/>
  <c r="AC5" i="14"/>
  <c r="AD5" i="14" s="1"/>
  <c r="AC17" i="14"/>
  <c r="AD17" i="14" s="1"/>
  <c r="AC31" i="14"/>
  <c r="AC43" i="14"/>
  <c r="AD43" i="14" s="1"/>
  <c r="AC56" i="14"/>
  <c r="AD56" i="14" s="1"/>
  <c r="AC69" i="14"/>
  <c r="AC81" i="14"/>
  <c r="AD81" i="14" s="1"/>
  <c r="AC95" i="14"/>
  <c r="AD95" i="14" s="1"/>
  <c r="AC107" i="14"/>
  <c r="AD107" i="14" s="1"/>
  <c r="AC120" i="14"/>
  <c r="AD120" i="14" s="1"/>
  <c r="AC133" i="14"/>
  <c r="AD133" i="14" s="1"/>
  <c r="AC145" i="14"/>
  <c r="AD145" i="14" s="1"/>
  <c r="AC159" i="14"/>
  <c r="AD159" i="14" s="1"/>
  <c r="AC171" i="14"/>
  <c r="AD171" i="14" s="1"/>
  <c r="AC184" i="14"/>
  <c r="AD184" i="14" s="1"/>
  <c r="AC197" i="14"/>
  <c r="AD197" i="14" s="1"/>
  <c r="AC209" i="14"/>
  <c r="AD209" i="14" s="1"/>
  <c r="AC223" i="14"/>
  <c r="AD223" i="14" s="1"/>
  <c r="AC235" i="14"/>
  <c r="AD235" i="14" s="1"/>
  <c r="AC248" i="14"/>
  <c r="AD248" i="14" s="1"/>
  <c r="AK4" i="14"/>
  <c r="AL4" i="14" s="1"/>
  <c r="AK36" i="14"/>
  <c r="AL36" i="14" s="1"/>
  <c r="AK71" i="14"/>
  <c r="AL71" i="14" s="1"/>
  <c r="AK114" i="14"/>
  <c r="AL114" i="14" s="1"/>
  <c r="AK156" i="14"/>
  <c r="AL156" i="14" s="1"/>
  <c r="AK199" i="14"/>
  <c r="AL199" i="14" s="1"/>
  <c r="AK242" i="14"/>
  <c r="AL242" i="14" s="1"/>
  <c r="U250" i="14"/>
  <c r="V250" i="14" s="1"/>
  <c r="U242" i="14"/>
  <c r="V242" i="14" s="1"/>
  <c r="U234" i="14"/>
  <c r="V234" i="14" s="1"/>
  <c r="U226" i="14"/>
  <c r="V226" i="14" s="1"/>
  <c r="U218" i="14"/>
  <c r="V218" i="14" s="1"/>
  <c r="U210" i="14"/>
  <c r="V210" i="14" s="1"/>
  <c r="U202" i="14"/>
  <c r="U194" i="14"/>
  <c r="U186" i="14"/>
  <c r="V186" i="14" s="1"/>
  <c r="U178" i="14"/>
  <c r="U170" i="14"/>
  <c r="V170" i="14" s="1"/>
  <c r="U162" i="14"/>
  <c r="V162" i="14" s="1"/>
  <c r="U154" i="14"/>
  <c r="V154" i="14" s="1"/>
  <c r="U146" i="14"/>
  <c r="V146" i="14" s="1"/>
  <c r="U138" i="14"/>
  <c r="V138" i="14" s="1"/>
  <c r="U130" i="14"/>
  <c r="U122" i="14"/>
  <c r="V122" i="14" s="1"/>
  <c r="U114" i="14"/>
  <c r="U106" i="14"/>
  <c r="V106" i="14" s="1"/>
  <c r="U98" i="14"/>
  <c r="V98" i="14" s="1"/>
  <c r="U90" i="14"/>
  <c r="V90" i="14" s="1"/>
  <c r="U82" i="14"/>
  <c r="U74" i="14"/>
  <c r="U66" i="14"/>
  <c r="V66" i="14" s="1"/>
  <c r="U58" i="14"/>
  <c r="V58" i="14" s="1"/>
  <c r="U50" i="14"/>
  <c r="V50" i="14" s="1"/>
  <c r="V258" i="14" s="1"/>
  <c r="U42" i="14"/>
  <c r="V42" i="14" s="1"/>
  <c r="U34" i="14"/>
  <c r="V34" i="14" s="1"/>
  <c r="U26" i="14"/>
  <c r="V26" i="14" s="1"/>
  <c r="U18" i="14"/>
  <c r="U10" i="14"/>
  <c r="V10" i="14" s="1"/>
  <c r="U2" i="14"/>
  <c r="V2" i="14" s="1"/>
  <c r="U248" i="14"/>
  <c r="V248" i="14" s="1"/>
  <c r="U240" i="14"/>
  <c r="U232" i="14"/>
  <c r="V232" i="14" s="1"/>
  <c r="U224" i="14"/>
  <c r="V224" i="14" s="1"/>
  <c r="U216" i="14"/>
  <c r="V216" i="14" s="1"/>
  <c r="U208" i="14"/>
  <c r="U200" i="14"/>
  <c r="U192" i="14"/>
  <c r="U184" i="14"/>
  <c r="V184" i="14" s="1"/>
  <c r="U176" i="14"/>
  <c r="U168" i="14"/>
  <c r="V168" i="14" s="1"/>
  <c r="U160" i="14"/>
  <c r="V160" i="14" s="1"/>
  <c r="U152" i="14"/>
  <c r="V152" i="14" s="1"/>
  <c r="U144" i="14"/>
  <c r="V144" i="14" s="1"/>
  <c r="U136" i="14"/>
  <c r="U128" i="14"/>
  <c r="V128" i="14" s="1"/>
  <c r="U120" i="14"/>
  <c r="V120" i="14" s="1"/>
  <c r="U112" i="14"/>
  <c r="V112" i="14" s="1"/>
  <c r="U104" i="14"/>
  <c r="V104" i="14" s="1"/>
  <c r="U96" i="14"/>
  <c r="V96" i="14" s="1"/>
  <c r="U88" i="14"/>
  <c r="V88" i="14" s="1"/>
  <c r="U80" i="14"/>
  <c r="V80" i="14" s="1"/>
  <c r="U72" i="14"/>
  <c r="V72" i="14" s="1"/>
  <c r="U64" i="14"/>
  <c r="U56" i="14"/>
  <c r="V56" i="14" s="1"/>
  <c r="U48" i="14"/>
  <c r="U40" i="14"/>
  <c r="V40" i="14" s="1"/>
  <c r="U32" i="14"/>
  <c r="V32" i="14" s="1"/>
  <c r="U24" i="14"/>
  <c r="V24" i="14" s="1"/>
  <c r="U16" i="14"/>
  <c r="V16" i="14" s="1"/>
  <c r="U8" i="14"/>
  <c r="V8" i="14" s="1"/>
  <c r="U254" i="14"/>
  <c r="V254" i="14" s="1"/>
  <c r="U246" i="14"/>
  <c r="V246" i="14" s="1"/>
  <c r="U238" i="14"/>
  <c r="U230" i="14"/>
  <c r="V230" i="14" s="1"/>
  <c r="U222" i="14"/>
  <c r="V222" i="14" s="1"/>
  <c r="U214" i="14"/>
  <c r="V214" i="14" s="1"/>
  <c r="U206" i="14"/>
  <c r="V206" i="14" s="1"/>
  <c r="U198" i="14"/>
  <c r="U190" i="14"/>
  <c r="V190" i="14" s="1"/>
  <c r="U182" i="14"/>
  <c r="V182" i="14" s="1"/>
  <c r="U174" i="14"/>
  <c r="U166" i="14"/>
  <c r="V166" i="14" s="1"/>
  <c r="U158" i="14"/>
  <c r="V158" i="14" s="1"/>
  <c r="U150" i="14"/>
  <c r="V150" i="14" s="1"/>
  <c r="U142" i="14"/>
  <c r="V142" i="14" s="1"/>
  <c r="U134" i="14"/>
  <c r="U126" i="14"/>
  <c r="V126" i="14" s="1"/>
  <c r="U118" i="14"/>
  <c r="V118" i="14" s="1"/>
  <c r="U110" i="14"/>
  <c r="V110" i="14" s="1"/>
  <c r="U102" i="14"/>
  <c r="V102" i="14" s="1"/>
  <c r="U94" i="14"/>
  <c r="V94" i="14" s="1"/>
  <c r="U86" i="14"/>
  <c r="V86" i="14" s="1"/>
  <c r="U78" i="14"/>
  <c r="V78" i="14" s="1"/>
  <c r="U70" i="14"/>
  <c r="U62" i="14"/>
  <c r="V62" i="14" s="1"/>
  <c r="U54" i="14"/>
  <c r="V54" i="14" s="1"/>
  <c r="U46" i="14"/>
  <c r="U38" i="14"/>
  <c r="V38" i="14" s="1"/>
  <c r="U30" i="14"/>
  <c r="V30" i="14" s="1"/>
  <c r="U22" i="14"/>
  <c r="V22" i="14" s="1"/>
  <c r="U14" i="14"/>
  <c r="V14" i="14" s="1"/>
  <c r="U25" i="14"/>
  <c r="V25" i="14" s="1"/>
  <c r="U51" i="14"/>
  <c r="V51" i="14" s="1"/>
  <c r="U63" i="14"/>
  <c r="V63" i="14" s="1"/>
  <c r="U89" i="14"/>
  <c r="U115" i="14"/>
  <c r="V115" i="14" s="1"/>
  <c r="U127" i="14"/>
  <c r="V127" i="14" s="1"/>
  <c r="U153" i="14"/>
  <c r="V153" i="14" s="1"/>
  <c r="U179" i="14"/>
  <c r="V179" i="14" s="1"/>
  <c r="U204" i="14"/>
  <c r="U229" i="14"/>
  <c r="V229" i="14" s="1"/>
  <c r="U243" i="14"/>
  <c r="V243" i="14" s="1"/>
  <c r="Y14" i="14"/>
  <c r="Z14" i="14" s="1"/>
  <c r="Y39" i="14"/>
  <c r="Z39" i="14" s="1"/>
  <c r="Y78" i="14"/>
  <c r="Z78" i="14" s="1"/>
  <c r="Y103" i="14"/>
  <c r="Z103" i="14" s="1"/>
  <c r="Y142" i="14"/>
  <c r="Z142" i="14" s="1"/>
  <c r="Y181" i="14"/>
  <c r="Y219" i="14"/>
  <c r="AC15" i="14"/>
  <c r="AD15" i="14" s="1"/>
  <c r="AC53" i="14"/>
  <c r="AD53" i="14" s="1"/>
  <c r="AC104" i="14"/>
  <c r="AD104" i="14" s="1"/>
  <c r="AC143" i="14"/>
  <c r="AD143" i="14" s="1"/>
  <c r="AC181" i="14"/>
  <c r="AD181" i="14" s="1"/>
  <c r="AC245" i="14"/>
  <c r="AD245" i="14" s="1"/>
  <c r="U13" i="14"/>
  <c r="V13" i="14" s="1"/>
  <c r="U39" i="14"/>
  <c r="V39" i="14" s="1"/>
  <c r="U65" i="14"/>
  <c r="V65" i="14" s="1"/>
  <c r="U91" i="14"/>
  <c r="V91" i="14" s="1"/>
  <c r="U116" i="14"/>
  <c r="V116" i="14" s="1"/>
  <c r="U141" i="14"/>
  <c r="V141" i="14" s="1"/>
  <c r="U167" i="14"/>
  <c r="V167" i="14" s="1"/>
  <c r="U180" i="14"/>
  <c r="V180" i="14" s="1"/>
  <c r="U205" i="14"/>
  <c r="V205" i="14" s="1"/>
  <c r="U219" i="14"/>
  <c r="V219" i="14" s="1"/>
  <c r="U231" i="14"/>
  <c r="V231" i="14" s="1"/>
  <c r="U244" i="14"/>
  <c r="V244" i="14" s="1"/>
  <c r="Y15" i="14"/>
  <c r="Z15" i="14" s="1"/>
  <c r="Y41" i="14"/>
  <c r="Z41" i="14" s="1"/>
  <c r="Y67" i="14"/>
  <c r="Y93" i="14"/>
  <c r="Z93" i="14" s="1"/>
  <c r="Y118" i="14"/>
  <c r="Z118" i="14" s="1"/>
  <c r="Y143" i="14"/>
  <c r="Z143" i="14" s="1"/>
  <c r="Y157" i="14"/>
  <c r="Z157" i="14" s="1"/>
  <c r="Y182" i="14"/>
  <c r="Z182" i="14" s="1"/>
  <c r="Y207" i="14"/>
  <c r="Z207" i="14" s="1"/>
  <c r="Y221" i="14"/>
  <c r="Z221" i="14" s="1"/>
  <c r="Y246" i="14"/>
  <c r="AC3" i="14"/>
  <c r="AD3" i="14" s="1"/>
  <c r="AC29" i="14"/>
  <c r="AD29" i="14" s="1"/>
  <c r="AC55" i="14"/>
  <c r="AD55" i="14" s="1"/>
  <c r="AC80" i="14"/>
  <c r="AD80" i="14" s="1"/>
  <c r="AC105" i="14"/>
  <c r="AD105" i="14" s="1"/>
  <c r="AC131" i="14"/>
  <c r="AD131" i="14" s="1"/>
  <c r="AC144" i="14"/>
  <c r="AD144" i="14" s="1"/>
  <c r="AC169" i="14"/>
  <c r="AD169" i="14" s="1"/>
  <c r="AC195" i="14"/>
  <c r="AD195" i="14" s="1"/>
  <c r="AC208" i="14"/>
  <c r="AD208" i="14" s="1"/>
  <c r="AC221" i="14"/>
  <c r="AD221" i="14" s="1"/>
  <c r="AC247" i="14"/>
  <c r="AK2" i="14"/>
  <c r="AL2" i="14" s="1"/>
  <c r="AK111" i="14"/>
  <c r="AL111" i="14" s="1"/>
  <c r="AK196" i="14"/>
  <c r="AL196" i="14" s="1"/>
  <c r="U5" i="14"/>
  <c r="V5" i="14" s="1"/>
  <c r="U17" i="14"/>
  <c r="V17" i="14" s="1"/>
  <c r="U29" i="14"/>
  <c r="V29" i="14" s="1"/>
  <c r="U43" i="14"/>
  <c r="V43" i="14" s="1"/>
  <c r="U55" i="14"/>
  <c r="V55" i="14" s="1"/>
  <c r="U68" i="14"/>
  <c r="V68" i="14" s="1"/>
  <c r="U81" i="14"/>
  <c r="V81" i="14" s="1"/>
  <c r="U93" i="14"/>
  <c r="V93" i="14" s="1"/>
  <c r="U107" i="14"/>
  <c r="V107" i="14" s="1"/>
  <c r="U119" i="14"/>
  <c r="V119" i="14" s="1"/>
  <c r="U132" i="14"/>
  <c r="V132" i="14" s="1"/>
  <c r="U145" i="14"/>
  <c r="V145" i="14" s="1"/>
  <c r="U157" i="14"/>
  <c r="V157" i="14" s="1"/>
  <c r="U171" i="14"/>
  <c r="V171" i="14" s="1"/>
  <c r="U183" i="14"/>
  <c r="V183" i="14" s="1"/>
  <c r="U196" i="14"/>
  <c r="V196" i="14" s="1"/>
  <c r="U209" i="14"/>
  <c r="V209" i="14" s="1"/>
  <c r="U221" i="14"/>
  <c r="V221" i="14" s="1"/>
  <c r="U235" i="14"/>
  <c r="V235" i="14" s="1"/>
  <c r="U247" i="14"/>
  <c r="V247" i="14" s="1"/>
  <c r="Y6" i="14"/>
  <c r="Z6" i="14" s="1"/>
  <c r="Y19" i="14"/>
  <c r="Z19" i="14" s="1"/>
  <c r="Y31" i="14"/>
  <c r="Y45" i="14"/>
  <c r="Z45" i="14" s="1"/>
  <c r="Y57" i="14"/>
  <c r="Z57" i="14" s="1"/>
  <c r="Y70" i="14"/>
  <c r="Z70" i="14" s="1"/>
  <c r="Y83" i="14"/>
  <c r="Z83" i="14" s="1"/>
  <c r="Y95" i="14"/>
  <c r="Z95" i="14" s="1"/>
  <c r="Y109" i="14"/>
  <c r="Z109" i="14" s="1"/>
  <c r="Y121" i="14"/>
  <c r="Z121" i="14" s="1"/>
  <c r="Y134" i="14"/>
  <c r="Z134" i="14" s="1"/>
  <c r="Y147" i="14"/>
  <c r="Z147" i="14" s="1"/>
  <c r="Y159" i="14"/>
  <c r="Z159" i="14" s="1"/>
  <c r="Y173" i="14"/>
  <c r="Z173" i="14" s="1"/>
  <c r="Y185" i="14"/>
  <c r="Z185" i="14" s="1"/>
  <c r="Y198" i="14"/>
  <c r="Z198" i="14" s="1"/>
  <c r="Y211" i="14"/>
  <c r="Y223" i="14"/>
  <c r="Z223" i="14" s="1"/>
  <c r="Y237" i="14"/>
  <c r="Z237" i="14" s="1"/>
  <c r="AC7" i="14"/>
  <c r="AD7" i="14" s="1"/>
  <c r="AC19" i="14"/>
  <c r="AD19" i="14" s="1"/>
  <c r="AC32" i="14"/>
  <c r="AD32" i="14" s="1"/>
  <c r="AC45" i="14"/>
  <c r="AD45" i="14" s="1"/>
  <c r="AC57" i="14"/>
  <c r="AD57" i="14" s="1"/>
  <c r="AC71" i="14"/>
  <c r="AC83" i="14"/>
  <c r="AD83" i="14" s="1"/>
  <c r="AC96" i="14"/>
  <c r="AD96" i="14" s="1"/>
  <c r="AC109" i="14"/>
  <c r="AD109" i="14" s="1"/>
  <c r="AC121" i="14"/>
  <c r="AD121" i="14" s="1"/>
  <c r="AC135" i="14"/>
  <c r="AD135" i="14" s="1"/>
  <c r="AC147" i="14"/>
  <c r="AD147" i="14" s="1"/>
  <c r="AC160" i="14"/>
  <c r="AD160" i="14" s="1"/>
  <c r="AC173" i="14"/>
  <c r="AD173" i="14" s="1"/>
  <c r="AC185" i="14"/>
  <c r="AD185" i="14" s="1"/>
  <c r="AC199" i="14"/>
  <c r="AD199" i="14" s="1"/>
  <c r="AC211" i="14"/>
  <c r="AD211" i="14" s="1"/>
  <c r="AC224" i="14"/>
  <c r="AC237" i="14"/>
  <c r="AD237" i="14" s="1"/>
  <c r="AC249" i="14"/>
  <c r="AD249" i="14" s="1"/>
  <c r="AG253" i="14"/>
  <c r="AH253" i="14" s="1"/>
  <c r="AG245" i="14"/>
  <c r="AG237" i="14"/>
  <c r="AG229" i="14"/>
  <c r="AG221" i="14"/>
  <c r="AH221" i="14" s="1"/>
  <c r="AG213" i="14"/>
  <c r="AG205" i="14"/>
  <c r="AG197" i="14"/>
  <c r="AG189" i="14"/>
  <c r="AH189" i="14" s="1"/>
  <c r="AG181" i="14"/>
  <c r="AG173" i="14"/>
  <c r="AG165" i="14"/>
  <c r="AH165" i="14" s="1"/>
  <c r="AG157" i="14"/>
  <c r="AG149" i="14"/>
  <c r="AG141" i="14"/>
  <c r="AH141" i="14" s="1"/>
  <c r="AG133" i="14"/>
  <c r="AH133" i="14" s="1"/>
  <c r="AG252" i="14"/>
  <c r="AG244" i="14"/>
  <c r="AG236" i="14"/>
  <c r="AG228" i="14"/>
  <c r="AH228" i="14" s="1"/>
  <c r="AG220" i="14"/>
  <c r="AG212" i="14"/>
  <c r="AG204" i="14"/>
  <c r="AG196" i="14"/>
  <c r="AG188" i="14"/>
  <c r="AG180" i="14"/>
  <c r="AH180" i="14" s="1"/>
  <c r="AG172" i="14"/>
  <c r="AG164" i="14"/>
  <c r="AG156" i="14"/>
  <c r="AG148" i="14"/>
  <c r="AH148" i="14" s="1"/>
  <c r="AG140" i="14"/>
  <c r="AH140" i="14" s="1"/>
  <c r="AG132" i="14"/>
  <c r="AG124" i="14"/>
  <c r="AG116" i="14"/>
  <c r="AH116" i="14" s="1"/>
  <c r="AG108" i="14"/>
  <c r="AG100" i="14"/>
  <c r="AH100" i="14" s="1"/>
  <c r="AG92" i="14"/>
  <c r="AG84" i="14"/>
  <c r="AG76" i="14"/>
  <c r="AG68" i="14"/>
  <c r="AH68" i="14" s="1"/>
  <c r="AG60" i="14"/>
  <c r="AG52" i="14"/>
  <c r="AG44" i="14"/>
  <c r="AG36" i="14"/>
  <c r="AH36" i="14" s="1"/>
  <c r="AG251" i="14"/>
  <c r="AH251" i="14" s="1"/>
  <c r="AG243" i="14"/>
  <c r="AG235" i="14"/>
  <c r="AG227" i="14"/>
  <c r="AH227" i="14" s="1"/>
  <c r="AG219" i="14"/>
  <c r="AH219" i="14" s="1"/>
  <c r="AG211" i="14"/>
  <c r="AG203" i="14"/>
  <c r="AG195" i="14"/>
  <c r="AH195" i="14" s="1"/>
  <c r="AG187" i="14"/>
  <c r="AH187" i="14" s="1"/>
  <c r="AG179" i="14"/>
  <c r="AG171" i="14"/>
  <c r="AG163" i="14"/>
  <c r="AG155" i="14"/>
  <c r="AH155" i="14" s="1"/>
  <c r="AG147" i="14"/>
  <c r="AG139" i="14"/>
  <c r="AH139" i="14" s="1"/>
  <c r="AG131" i="14"/>
  <c r="AG123" i="14"/>
  <c r="AG115" i="14"/>
  <c r="AH115" i="14" s="1"/>
  <c r="AG107" i="14"/>
  <c r="AG99" i="14"/>
  <c r="AG91" i="14"/>
  <c r="AG83" i="14"/>
  <c r="AG75" i="14"/>
  <c r="AG67" i="14"/>
  <c r="AG59" i="14"/>
  <c r="AG51" i="14"/>
  <c r="AG43" i="14"/>
  <c r="AH43" i="14" s="1"/>
  <c r="AG35" i="14"/>
  <c r="AH35" i="14" s="1"/>
  <c r="AG27" i="14"/>
  <c r="AG19" i="14"/>
  <c r="AG11" i="14"/>
  <c r="AG3" i="14"/>
  <c r="AG254" i="14"/>
  <c r="AG240" i="14"/>
  <c r="AH240" i="14" s="1"/>
  <c r="AG226" i="14"/>
  <c r="AG215" i="14"/>
  <c r="AG201" i="14"/>
  <c r="AG190" i="14"/>
  <c r="AG176" i="14"/>
  <c r="AG162" i="14"/>
  <c r="AG151" i="14"/>
  <c r="AG137" i="14"/>
  <c r="AG126" i="14"/>
  <c r="AG114" i="14"/>
  <c r="AG104" i="14"/>
  <c r="AH104" i="14" s="1"/>
  <c r="AG94" i="14"/>
  <c r="AH94" i="14" s="1"/>
  <c r="AG82" i="14"/>
  <c r="AG72" i="14"/>
  <c r="AH72" i="14" s="1"/>
  <c r="AG62" i="14"/>
  <c r="AG50" i="14"/>
  <c r="AH50" i="14" s="1"/>
  <c r="AG40" i="14"/>
  <c r="AG30" i="14"/>
  <c r="AH30" i="14" s="1"/>
  <c r="AG21" i="14"/>
  <c r="AH21" i="14" s="1"/>
  <c r="AG12" i="14"/>
  <c r="AG2" i="14"/>
  <c r="AH2" i="14" s="1"/>
  <c r="AH255" i="14" s="1"/>
  <c r="AG249" i="14"/>
  <c r="AH249" i="14" s="1"/>
  <c r="AG238" i="14"/>
  <c r="AG224" i="14"/>
  <c r="AG210" i="14"/>
  <c r="AH210" i="14" s="1"/>
  <c r="AG199" i="14"/>
  <c r="AH199" i="14" s="1"/>
  <c r="AG185" i="14"/>
  <c r="AG174" i="14"/>
  <c r="AG160" i="14"/>
  <c r="AG146" i="14"/>
  <c r="AG135" i="14"/>
  <c r="AG122" i="14"/>
  <c r="AH122" i="14" s="1"/>
  <c r="AG112" i="14"/>
  <c r="AH112" i="14" s="1"/>
  <c r="AG102" i="14"/>
  <c r="AG90" i="14"/>
  <c r="AG80" i="14"/>
  <c r="AG70" i="14"/>
  <c r="AH70" i="14" s="1"/>
  <c r="AG58" i="14"/>
  <c r="AG48" i="14"/>
  <c r="AG38" i="14"/>
  <c r="AH38" i="14" s="1"/>
  <c r="AG28" i="14"/>
  <c r="AH28" i="14" s="1"/>
  <c r="AG18" i="14"/>
  <c r="AG9" i="14"/>
  <c r="AG248" i="14"/>
  <c r="AG234" i="14"/>
  <c r="AH234" i="14" s="1"/>
  <c r="AG223" i="14"/>
  <c r="AG209" i="14"/>
  <c r="AG198" i="14"/>
  <c r="AG184" i="14"/>
  <c r="AG170" i="14"/>
  <c r="AG159" i="14"/>
  <c r="AG145" i="14"/>
  <c r="AG134" i="14"/>
  <c r="AG121" i="14"/>
  <c r="AG111" i="14"/>
  <c r="AG101" i="14"/>
  <c r="AG89" i="14"/>
  <c r="AG247" i="14"/>
  <c r="AG233" i="14"/>
  <c r="AG222" i="14"/>
  <c r="AG208" i="14"/>
  <c r="AG194" i="14"/>
  <c r="AG183" i="14"/>
  <c r="AG169" i="14"/>
  <c r="AG158" i="14"/>
  <c r="AH158" i="14" s="1"/>
  <c r="AG144" i="14"/>
  <c r="AH144" i="14" s="1"/>
  <c r="AG130" i="14"/>
  <c r="AH130" i="14" s="1"/>
  <c r="AG120" i="14"/>
  <c r="AG110" i="14"/>
  <c r="AG98" i="14"/>
  <c r="AG88" i="14"/>
  <c r="AG78" i="14"/>
  <c r="AH78" i="14" s="1"/>
  <c r="AG66" i="14"/>
  <c r="AG56" i="14"/>
  <c r="AH56" i="14" s="1"/>
  <c r="AG46" i="14"/>
  <c r="AG34" i="14"/>
  <c r="AH34" i="14" s="1"/>
  <c r="AG25" i="14"/>
  <c r="AG16" i="14"/>
  <c r="AG7" i="14"/>
  <c r="AH7" i="14" s="1"/>
  <c r="AG15" i="14"/>
  <c r="AG31" i="14"/>
  <c r="AH31" i="14" s="1"/>
  <c r="AG47" i="14"/>
  <c r="AG64" i="14"/>
  <c r="AG81" i="14"/>
  <c r="AG103" i="14"/>
  <c r="AG125" i="14"/>
  <c r="AG150" i="14"/>
  <c r="AG175" i="14"/>
  <c r="AG200" i="14"/>
  <c r="AG225" i="14"/>
  <c r="AG250" i="14"/>
  <c r="AI23" i="14"/>
  <c r="AJ23" i="14" s="1"/>
  <c r="AI48" i="14"/>
  <c r="AJ48" i="14" s="1"/>
  <c r="AI73" i="14"/>
  <c r="AJ73" i="14" s="1"/>
  <c r="AI98" i="14"/>
  <c r="AJ98" i="14" s="1"/>
  <c r="AI123" i="14"/>
  <c r="AJ123" i="14" s="1"/>
  <c r="AI151" i="14"/>
  <c r="AJ151" i="14" s="1"/>
  <c r="AI176" i="14"/>
  <c r="AJ176" i="14" s="1"/>
  <c r="AI203" i="14"/>
  <c r="AJ203" i="14" s="1"/>
  <c r="AK12" i="14"/>
  <c r="AL12" i="14" s="1"/>
  <c r="AK44" i="14"/>
  <c r="AL44" i="14" s="1"/>
  <c r="AK82" i="14"/>
  <c r="AL82" i="14" s="1"/>
  <c r="AK124" i="14"/>
  <c r="AL124" i="14" s="1"/>
  <c r="AK167" i="14"/>
  <c r="AL167" i="14" s="1"/>
  <c r="AK210" i="14"/>
  <c r="AL210" i="14" s="1"/>
  <c r="AK252" i="14"/>
  <c r="AL252" i="14" s="1"/>
  <c r="AB24" i="14"/>
  <c r="X108" i="14"/>
  <c r="Y252" i="14"/>
  <c r="Z252" i="14" s="1"/>
  <c r="Y244" i="14"/>
  <c r="Z244" i="14" s="1"/>
  <c r="Y236" i="14"/>
  <c r="Z236" i="14" s="1"/>
  <c r="Y228" i="14"/>
  <c r="Z228" i="14" s="1"/>
  <c r="Y220" i="14"/>
  <c r="Z220" i="14" s="1"/>
  <c r="Y212" i="14"/>
  <c r="Z212" i="14" s="1"/>
  <c r="Y204" i="14"/>
  <c r="Z204" i="14" s="1"/>
  <c r="Y196" i="14"/>
  <c r="Z196" i="14" s="1"/>
  <c r="Y188" i="14"/>
  <c r="Z188" i="14" s="1"/>
  <c r="Y180" i="14"/>
  <c r="Z180" i="14" s="1"/>
  <c r="Y172" i="14"/>
  <c r="Z172" i="14" s="1"/>
  <c r="Y164" i="14"/>
  <c r="Z164" i="14" s="1"/>
  <c r="Y156" i="14"/>
  <c r="Z156" i="14" s="1"/>
  <c r="Y148" i="14"/>
  <c r="Z148" i="14" s="1"/>
  <c r="Y140" i="14"/>
  <c r="Z140" i="14" s="1"/>
  <c r="Y132" i="14"/>
  <c r="Z132" i="14" s="1"/>
  <c r="Y124" i="14"/>
  <c r="Z124" i="14" s="1"/>
  <c r="Y116" i="14"/>
  <c r="Y108" i="14"/>
  <c r="Z108" i="14" s="1"/>
  <c r="Y100" i="14"/>
  <c r="Z100" i="14" s="1"/>
  <c r="Y92" i="14"/>
  <c r="Z92" i="14" s="1"/>
  <c r="Y84" i="14"/>
  <c r="Z84" i="14" s="1"/>
  <c r="Y76" i="14"/>
  <c r="Z76" i="14" s="1"/>
  <c r="Y68" i="14"/>
  <c r="Z68" i="14" s="1"/>
  <c r="Y60" i="14"/>
  <c r="Z60" i="14" s="1"/>
  <c r="Y52" i="14"/>
  <c r="Z52" i="14" s="1"/>
  <c r="Y44" i="14"/>
  <c r="Z44" i="14" s="1"/>
  <c r="Y36" i="14"/>
  <c r="Z36" i="14" s="1"/>
  <c r="Y28" i="14"/>
  <c r="Z28" i="14" s="1"/>
  <c r="Y20" i="14"/>
  <c r="Z20" i="14" s="1"/>
  <c r="Y12" i="14"/>
  <c r="Z12" i="14" s="1"/>
  <c r="Y4" i="14"/>
  <c r="Y250" i="14"/>
  <c r="Y242" i="14"/>
  <c r="Z242" i="14" s="1"/>
  <c r="Y234" i="14"/>
  <c r="Z234" i="14" s="1"/>
  <c r="Y226" i="14"/>
  <c r="Z226" i="14" s="1"/>
  <c r="Y218" i="14"/>
  <c r="Z218" i="14" s="1"/>
  <c r="Y210" i="14"/>
  <c r="Z210" i="14" s="1"/>
  <c r="Y202" i="14"/>
  <c r="Z202" i="14" s="1"/>
  <c r="Y194" i="14"/>
  <c r="Z194" i="14" s="1"/>
  <c r="Y186" i="14"/>
  <c r="Z186" i="14" s="1"/>
  <c r="Y178" i="14"/>
  <c r="Z178" i="14" s="1"/>
  <c r="Y170" i="14"/>
  <c r="Z170" i="14" s="1"/>
  <c r="Y162" i="14"/>
  <c r="Z162" i="14" s="1"/>
  <c r="Y154" i="14"/>
  <c r="Z154" i="14" s="1"/>
  <c r="Y146" i="14"/>
  <c r="Z146" i="14" s="1"/>
  <c r="Y138" i="14"/>
  <c r="Z138" i="14" s="1"/>
  <c r="Y130" i="14"/>
  <c r="Z130" i="14" s="1"/>
  <c r="Y122" i="14"/>
  <c r="Z122" i="14" s="1"/>
  <c r="Y114" i="14"/>
  <c r="Y106" i="14"/>
  <c r="Z106" i="14" s="1"/>
  <c r="Y98" i="14"/>
  <c r="Z98" i="14" s="1"/>
  <c r="Y90" i="14"/>
  <c r="Z90" i="14" s="1"/>
  <c r="Y82" i="14"/>
  <c r="Z82" i="14" s="1"/>
  <c r="Y74" i="14"/>
  <c r="Y66" i="14"/>
  <c r="Z66" i="14" s="1"/>
  <c r="Y58" i="14"/>
  <c r="Z58" i="14" s="1"/>
  <c r="Y50" i="14"/>
  <c r="Z50" i="14" s="1"/>
  <c r="Y42" i="14"/>
  <c r="Z42" i="14" s="1"/>
  <c r="Y34" i="14"/>
  <c r="Z34" i="14" s="1"/>
  <c r="Y26" i="14"/>
  <c r="Z26" i="14" s="1"/>
  <c r="Y18" i="14"/>
  <c r="Z18" i="14" s="1"/>
  <c r="Y10" i="14"/>
  <c r="Z10" i="14" s="1"/>
  <c r="Y2" i="14"/>
  <c r="Z2" i="14" s="1"/>
  <c r="Z255" i="14" s="1"/>
  <c r="Y248" i="14"/>
  <c r="Z248" i="14" s="1"/>
  <c r="Y240" i="14"/>
  <c r="Y232" i="14"/>
  <c r="Z232" i="14" s="1"/>
  <c r="Y224" i="14"/>
  <c r="Z224" i="14" s="1"/>
  <c r="Y216" i="14"/>
  <c r="Z216" i="14" s="1"/>
  <c r="Y208" i="14"/>
  <c r="Z208" i="14" s="1"/>
  <c r="Y200" i="14"/>
  <c r="Z200" i="14" s="1"/>
  <c r="Y192" i="14"/>
  <c r="Z192" i="14" s="1"/>
  <c r="Y184" i="14"/>
  <c r="Z184" i="14" s="1"/>
  <c r="Y176" i="14"/>
  <c r="Z176" i="14" s="1"/>
  <c r="Y168" i="14"/>
  <c r="Z168" i="14" s="1"/>
  <c r="Y160" i="14"/>
  <c r="Z160" i="14" s="1"/>
  <c r="Y152" i="14"/>
  <c r="Z152" i="14" s="1"/>
  <c r="Y144" i="14"/>
  <c r="Z144" i="14" s="1"/>
  <c r="Y136" i="14"/>
  <c r="Z136" i="14" s="1"/>
  <c r="Y128" i="14"/>
  <c r="Z128" i="14" s="1"/>
  <c r="Y120" i="14"/>
  <c r="Y112" i="14"/>
  <c r="Z112" i="14" s="1"/>
  <c r="Y104" i="14"/>
  <c r="Z104" i="14" s="1"/>
  <c r="Y96" i="14"/>
  <c r="Z96" i="14" s="1"/>
  <c r="Y88" i="14"/>
  <c r="Z88" i="14" s="1"/>
  <c r="Y80" i="14"/>
  <c r="Z80" i="14" s="1"/>
  <c r="Y72" i="14"/>
  <c r="Z72" i="14" s="1"/>
  <c r="Y64" i="14"/>
  <c r="Z64" i="14" s="1"/>
  <c r="Y56" i="14"/>
  <c r="Y48" i="14"/>
  <c r="Z48" i="14" s="1"/>
  <c r="Y40" i="14"/>
  <c r="Z40" i="14" s="1"/>
  <c r="Y32" i="14"/>
  <c r="Z32" i="14" s="1"/>
  <c r="Y24" i="14"/>
  <c r="Z24" i="14" s="1"/>
  <c r="Y16" i="14"/>
  <c r="Z16" i="14" s="1"/>
  <c r="Y8" i="14"/>
  <c r="Z8" i="14" s="1"/>
  <c r="Y27" i="14"/>
  <c r="Z27" i="14" s="1"/>
  <c r="Y65" i="14"/>
  <c r="Z65" i="14" s="1"/>
  <c r="Y91" i="14"/>
  <c r="Z91" i="14" s="1"/>
  <c r="Y117" i="14"/>
  <c r="Z117" i="14" s="1"/>
  <c r="Y155" i="14"/>
  <c r="Z155" i="14" s="1"/>
  <c r="Y167" i="14"/>
  <c r="Z167" i="14" s="1"/>
  <c r="Y193" i="14"/>
  <c r="Z193" i="14" s="1"/>
  <c r="Y231" i="14"/>
  <c r="Z231" i="14" s="1"/>
  <c r="Y245" i="14"/>
  <c r="Z245" i="14" s="1"/>
  <c r="AC27" i="14"/>
  <c r="AD27" i="14" s="1"/>
  <c r="AC79" i="14"/>
  <c r="AD79" i="14" s="1"/>
  <c r="AC117" i="14"/>
  <c r="AD117" i="14" s="1"/>
  <c r="AC155" i="14"/>
  <c r="AD155" i="14" s="1"/>
  <c r="AC207" i="14"/>
  <c r="AD207" i="14" s="1"/>
  <c r="AC232" i="14"/>
  <c r="AK68" i="14"/>
  <c r="AL68" i="14" s="1"/>
  <c r="AK195" i="14"/>
  <c r="AL195" i="14" s="1"/>
  <c r="U6" i="14"/>
  <c r="V6" i="14" s="1"/>
  <c r="U44" i="14"/>
  <c r="V44" i="14" s="1"/>
  <c r="U83" i="14"/>
  <c r="V83" i="14" s="1"/>
  <c r="U108" i="14"/>
  <c r="V108" i="14" s="1"/>
  <c r="U147" i="14"/>
  <c r="V147" i="14" s="1"/>
  <c r="U185" i="14"/>
  <c r="V185" i="14" s="1"/>
  <c r="U211" i="14"/>
  <c r="V211" i="14" s="1"/>
  <c r="U249" i="14"/>
  <c r="V249" i="14" s="1"/>
  <c r="Y7" i="14"/>
  <c r="Z7" i="14" s="1"/>
  <c r="Y46" i="14"/>
  <c r="Y85" i="14"/>
  <c r="Z85" i="14" s="1"/>
  <c r="Y123" i="14"/>
  <c r="Z123" i="14" s="1"/>
  <c r="Y149" i="14"/>
  <c r="Z149" i="14" s="1"/>
  <c r="Y199" i="14"/>
  <c r="Z199" i="14" s="1"/>
  <c r="AC8" i="14"/>
  <c r="AD8" i="14" s="1"/>
  <c r="AC47" i="14"/>
  <c r="AD47" i="14" s="1"/>
  <c r="AC72" i="14"/>
  <c r="AD72" i="14" s="1"/>
  <c r="AC111" i="14"/>
  <c r="AD111" i="14" s="1"/>
  <c r="AC175" i="14"/>
  <c r="AD175" i="14" s="1"/>
  <c r="AK17" i="14"/>
  <c r="AL17" i="14" s="1"/>
  <c r="AK174" i="14"/>
  <c r="AL174" i="14" s="1"/>
  <c r="AH142" i="14"/>
  <c r="AH160" i="14"/>
  <c r="U7" i="14"/>
  <c r="V7" i="14" s="1"/>
  <c r="U20" i="14"/>
  <c r="V20" i="14" s="1"/>
  <c r="U33" i="14"/>
  <c r="V33" i="14" s="1"/>
  <c r="U45" i="14"/>
  <c r="U59" i="14"/>
  <c r="V59" i="14" s="1"/>
  <c r="U71" i="14"/>
  <c r="V71" i="14" s="1"/>
  <c r="U84" i="14"/>
  <c r="V84" i="14" s="1"/>
  <c r="U97" i="14"/>
  <c r="V97" i="14" s="1"/>
  <c r="U109" i="14"/>
  <c r="V109" i="14" s="1"/>
  <c r="U123" i="14"/>
  <c r="V123" i="14" s="1"/>
  <c r="U135" i="14"/>
  <c r="V135" i="14" s="1"/>
  <c r="U148" i="14"/>
  <c r="U161" i="14"/>
  <c r="V161" i="14" s="1"/>
  <c r="U173" i="14"/>
  <c r="V173" i="14" s="1"/>
  <c r="U187" i="14"/>
  <c r="V187" i="14" s="1"/>
  <c r="U199" i="14"/>
  <c r="V199" i="14" s="1"/>
  <c r="U212" i="14"/>
  <c r="V212" i="14" s="1"/>
  <c r="U225" i="14"/>
  <c r="U237" i="14"/>
  <c r="V237" i="14" s="1"/>
  <c r="U251" i="14"/>
  <c r="Y9" i="14"/>
  <c r="Z9" i="14" s="1"/>
  <c r="Y22" i="14"/>
  <c r="Z22" i="14" s="1"/>
  <c r="Y35" i="14"/>
  <c r="Z35" i="14" s="1"/>
  <c r="Y47" i="14"/>
  <c r="Z47" i="14" s="1"/>
  <c r="Y61" i="14"/>
  <c r="Z61" i="14" s="1"/>
  <c r="Y73" i="14"/>
  <c r="Z73" i="14" s="1"/>
  <c r="Y86" i="14"/>
  <c r="Z86" i="14" s="1"/>
  <c r="Y99" i="14"/>
  <c r="Y111" i="14"/>
  <c r="Z111" i="14" s="1"/>
  <c r="Y125" i="14"/>
  <c r="Z125" i="14" s="1"/>
  <c r="Y137" i="14"/>
  <c r="Z137" i="14" s="1"/>
  <c r="Y150" i="14"/>
  <c r="Z150" i="14" s="1"/>
  <c r="Y163" i="14"/>
  <c r="Z163" i="14" s="1"/>
  <c r="Y175" i="14"/>
  <c r="Y189" i="14"/>
  <c r="Z189" i="14" s="1"/>
  <c r="Y201" i="14"/>
  <c r="Z201" i="14" s="1"/>
  <c r="Y214" i="14"/>
  <c r="Z214" i="14" s="1"/>
  <c r="Y227" i="14"/>
  <c r="Z227" i="14" s="1"/>
  <c r="Y239" i="14"/>
  <c r="Z239" i="14" s="1"/>
  <c r="Y253" i="14"/>
  <c r="Z253" i="14" s="1"/>
  <c r="AC9" i="14"/>
  <c r="AD9" i="14" s="1"/>
  <c r="AC23" i="14"/>
  <c r="AC35" i="14"/>
  <c r="AD35" i="14" s="1"/>
  <c r="AC48" i="14"/>
  <c r="AD48" i="14" s="1"/>
  <c r="AC61" i="14"/>
  <c r="AD61" i="14" s="1"/>
  <c r="AC73" i="14"/>
  <c r="AD73" i="14" s="1"/>
  <c r="AC87" i="14"/>
  <c r="AD87" i="14" s="1"/>
  <c r="AC99" i="14"/>
  <c r="AD99" i="14" s="1"/>
  <c r="AC112" i="14"/>
  <c r="AD112" i="14" s="1"/>
  <c r="AC125" i="14"/>
  <c r="AD125" i="14" s="1"/>
  <c r="AC137" i="14"/>
  <c r="AD137" i="14" s="1"/>
  <c r="AC151" i="14"/>
  <c r="AC163" i="14"/>
  <c r="AD163" i="14" s="1"/>
  <c r="AC176" i="14"/>
  <c r="AC189" i="14"/>
  <c r="AD189" i="14" s="1"/>
  <c r="AC201" i="14"/>
  <c r="AD201" i="14" s="1"/>
  <c r="AC215" i="14"/>
  <c r="AC227" i="14"/>
  <c r="AC240" i="14"/>
  <c r="AD240" i="14" s="1"/>
  <c r="AC253" i="14"/>
  <c r="AD253" i="14" s="1"/>
  <c r="AI254" i="14"/>
  <c r="AJ254" i="14" s="1"/>
  <c r="AI246" i="14"/>
  <c r="AJ246" i="14" s="1"/>
  <c r="AI238" i="14"/>
  <c r="AJ238" i="14" s="1"/>
  <c r="AI230" i="14"/>
  <c r="AJ230" i="14" s="1"/>
  <c r="AI222" i="14"/>
  <c r="AJ222" i="14" s="1"/>
  <c r="AI214" i="14"/>
  <c r="AJ214" i="14" s="1"/>
  <c r="AI206" i="14"/>
  <c r="AJ206" i="14" s="1"/>
  <c r="AI198" i="14"/>
  <c r="AJ198" i="14" s="1"/>
  <c r="AI190" i="14"/>
  <c r="AJ190" i="14" s="1"/>
  <c r="AI182" i="14"/>
  <c r="AJ182" i="14" s="1"/>
  <c r="AI174" i="14"/>
  <c r="AJ174" i="14" s="1"/>
  <c r="AI166" i="14"/>
  <c r="AJ166" i="14" s="1"/>
  <c r="AI158" i="14"/>
  <c r="AJ158" i="14" s="1"/>
  <c r="AI150" i="14"/>
  <c r="AJ150" i="14" s="1"/>
  <c r="AI142" i="14"/>
  <c r="AJ142" i="14" s="1"/>
  <c r="AI134" i="14"/>
  <c r="AJ134" i="14" s="1"/>
  <c r="AI126" i="14"/>
  <c r="AJ126" i="14" s="1"/>
  <c r="AI118" i="14"/>
  <c r="AJ118" i="14" s="1"/>
  <c r="AI110" i="14"/>
  <c r="AJ110" i="14" s="1"/>
  <c r="AI102" i="14"/>
  <c r="AJ102" i="14" s="1"/>
  <c r="AI94" i="14"/>
  <c r="AJ94" i="14" s="1"/>
  <c r="AI86" i="14"/>
  <c r="AJ86" i="14" s="1"/>
  <c r="AI78" i="14"/>
  <c r="AJ78" i="14" s="1"/>
  <c r="AI70" i="14"/>
  <c r="AJ70" i="14" s="1"/>
  <c r="AI62" i="14"/>
  <c r="AJ62" i="14" s="1"/>
  <c r="AI54" i="14"/>
  <c r="AJ54" i="14" s="1"/>
  <c r="AI46" i="14"/>
  <c r="AJ46" i="14" s="1"/>
  <c r="AI38" i="14"/>
  <c r="AJ38" i="14" s="1"/>
  <c r="AI30" i="14"/>
  <c r="AJ30" i="14" s="1"/>
  <c r="AI22" i="14"/>
  <c r="AJ22" i="14" s="1"/>
  <c r="AI14" i="14"/>
  <c r="AJ14" i="14" s="1"/>
  <c r="AI6" i="14"/>
  <c r="AJ6" i="14" s="1"/>
  <c r="AI253" i="14"/>
  <c r="AJ253" i="14" s="1"/>
  <c r="AI245" i="14"/>
  <c r="AJ245" i="14" s="1"/>
  <c r="AI237" i="14"/>
  <c r="AJ237" i="14" s="1"/>
  <c r="AI229" i="14"/>
  <c r="AJ229" i="14" s="1"/>
  <c r="AI221" i="14"/>
  <c r="AJ221" i="14" s="1"/>
  <c r="AI213" i="14"/>
  <c r="AJ213" i="14" s="1"/>
  <c r="AI205" i="14"/>
  <c r="AJ205" i="14" s="1"/>
  <c r="AI197" i="14"/>
  <c r="AJ197" i="14" s="1"/>
  <c r="AI189" i="14"/>
  <c r="AJ189" i="14" s="1"/>
  <c r="AI181" i="14"/>
  <c r="AJ181" i="14" s="1"/>
  <c r="AI173" i="14"/>
  <c r="AJ173" i="14" s="1"/>
  <c r="AI165" i="14"/>
  <c r="AJ165" i="14" s="1"/>
  <c r="AI157" i="14"/>
  <c r="AJ157" i="14" s="1"/>
  <c r="AI149" i="14"/>
  <c r="AJ149" i="14" s="1"/>
  <c r="AI141" i="14"/>
  <c r="AJ141" i="14" s="1"/>
  <c r="AI133" i="14"/>
  <c r="AJ133" i="14" s="1"/>
  <c r="AI125" i="14"/>
  <c r="AJ125" i="14" s="1"/>
  <c r="AI117" i="14"/>
  <c r="AJ117" i="14" s="1"/>
  <c r="AI109" i="14"/>
  <c r="AJ109" i="14" s="1"/>
  <c r="AI101" i="14"/>
  <c r="AJ101" i="14" s="1"/>
  <c r="AI93" i="14"/>
  <c r="AJ93" i="14" s="1"/>
  <c r="AI85" i="14"/>
  <c r="AJ85" i="14" s="1"/>
  <c r="AI77" i="14"/>
  <c r="AJ77" i="14" s="1"/>
  <c r="AI69" i="14"/>
  <c r="AJ69" i="14" s="1"/>
  <c r="AI61" i="14"/>
  <c r="AJ61" i="14" s="1"/>
  <c r="AI53" i="14"/>
  <c r="AJ53" i="14" s="1"/>
  <c r="AI45" i="14"/>
  <c r="AJ45" i="14" s="1"/>
  <c r="AI37" i="14"/>
  <c r="AJ37" i="14" s="1"/>
  <c r="AI29" i="14"/>
  <c r="AJ29" i="14" s="1"/>
  <c r="AI21" i="14"/>
  <c r="AJ21" i="14" s="1"/>
  <c r="AI13" i="14"/>
  <c r="AJ13" i="14" s="1"/>
  <c r="AI5" i="14"/>
  <c r="AJ5" i="14" s="1"/>
  <c r="AI252" i="14"/>
  <c r="AJ252" i="14" s="1"/>
  <c r="AI244" i="14"/>
  <c r="AJ244" i="14" s="1"/>
  <c r="AI236" i="14"/>
  <c r="AJ236" i="14" s="1"/>
  <c r="AI228" i="14"/>
  <c r="AJ228" i="14" s="1"/>
  <c r="AI220" i="14"/>
  <c r="AJ220" i="14" s="1"/>
  <c r="AI212" i="14"/>
  <c r="AJ212" i="14" s="1"/>
  <c r="AI204" i="14"/>
  <c r="AJ204" i="14" s="1"/>
  <c r="AI196" i="14"/>
  <c r="AJ196" i="14" s="1"/>
  <c r="AI188" i="14"/>
  <c r="AJ188" i="14" s="1"/>
  <c r="AI180" i="14"/>
  <c r="AJ180" i="14" s="1"/>
  <c r="AI172" i="14"/>
  <c r="AJ172" i="14" s="1"/>
  <c r="AI164" i="14"/>
  <c r="AJ164" i="14" s="1"/>
  <c r="AI156" i="14"/>
  <c r="AJ156" i="14" s="1"/>
  <c r="AI148" i="14"/>
  <c r="AJ148" i="14" s="1"/>
  <c r="AI140" i="14"/>
  <c r="AJ140" i="14" s="1"/>
  <c r="AI132" i="14"/>
  <c r="AJ132" i="14" s="1"/>
  <c r="AI124" i="14"/>
  <c r="AJ124" i="14" s="1"/>
  <c r="AI116" i="14"/>
  <c r="AJ116" i="14" s="1"/>
  <c r="AI108" i="14"/>
  <c r="AJ108" i="14" s="1"/>
  <c r="AI100" i="14"/>
  <c r="AJ100" i="14" s="1"/>
  <c r="AI92" i="14"/>
  <c r="AJ92" i="14" s="1"/>
  <c r="AI84" i="14"/>
  <c r="AJ84" i="14" s="1"/>
  <c r="AI76" i="14"/>
  <c r="AJ76" i="14" s="1"/>
  <c r="AI68" i="14"/>
  <c r="AJ68" i="14" s="1"/>
  <c r="AI60" i="14"/>
  <c r="AJ60" i="14" s="1"/>
  <c r="AI52" i="14"/>
  <c r="AJ52" i="14" s="1"/>
  <c r="AI44" i="14"/>
  <c r="AJ44" i="14" s="1"/>
  <c r="AI36" i="14"/>
  <c r="AJ36" i="14" s="1"/>
  <c r="AI28" i="14"/>
  <c r="AJ28" i="14" s="1"/>
  <c r="AI20" i="14"/>
  <c r="AJ20" i="14" s="1"/>
  <c r="AI12" i="14"/>
  <c r="AJ12" i="14" s="1"/>
  <c r="AI4" i="14"/>
  <c r="AJ4" i="14" s="1"/>
  <c r="AI250" i="14"/>
  <c r="AJ250" i="14" s="1"/>
  <c r="AI242" i="14"/>
  <c r="AJ242" i="14" s="1"/>
  <c r="AI234" i="14"/>
  <c r="AJ234" i="14" s="1"/>
  <c r="AI226" i="14"/>
  <c r="AJ226" i="14" s="1"/>
  <c r="AI218" i="14"/>
  <c r="AJ218" i="14" s="1"/>
  <c r="AI210" i="14"/>
  <c r="AJ210" i="14" s="1"/>
  <c r="AI202" i="14"/>
  <c r="AJ202" i="14" s="1"/>
  <c r="AI194" i="14"/>
  <c r="AJ194" i="14" s="1"/>
  <c r="AI239" i="14"/>
  <c r="AJ239" i="14" s="1"/>
  <c r="AI223" i="14"/>
  <c r="AJ223" i="14" s="1"/>
  <c r="AI207" i="14"/>
  <c r="AJ207" i="14" s="1"/>
  <c r="AI191" i="14"/>
  <c r="AJ191" i="14" s="1"/>
  <c r="AI177" i="14"/>
  <c r="AJ177" i="14" s="1"/>
  <c r="AI163" i="14"/>
  <c r="AJ163" i="14" s="1"/>
  <c r="AI152" i="14"/>
  <c r="AJ152" i="14" s="1"/>
  <c r="AI138" i="14"/>
  <c r="AJ138" i="14" s="1"/>
  <c r="AI127" i="14"/>
  <c r="AJ127" i="14" s="1"/>
  <c r="AI113" i="14"/>
  <c r="AJ113" i="14" s="1"/>
  <c r="AI99" i="14"/>
  <c r="AJ99" i="14" s="1"/>
  <c r="AI88" i="14"/>
  <c r="AJ88" i="14" s="1"/>
  <c r="AI74" i="14"/>
  <c r="AJ74" i="14" s="1"/>
  <c r="AI63" i="14"/>
  <c r="AJ63" i="14" s="1"/>
  <c r="AI49" i="14"/>
  <c r="AJ49" i="14" s="1"/>
  <c r="AI35" i="14"/>
  <c r="AJ35" i="14" s="1"/>
  <c r="AI24" i="14"/>
  <c r="AJ24" i="14" s="1"/>
  <c r="AI10" i="14"/>
  <c r="AJ10" i="14" s="1"/>
  <c r="AI249" i="14"/>
  <c r="AJ249" i="14" s="1"/>
  <c r="AI233" i="14"/>
  <c r="AJ233" i="14" s="1"/>
  <c r="AI217" i="14"/>
  <c r="AJ217" i="14" s="1"/>
  <c r="AI201" i="14"/>
  <c r="AJ201" i="14" s="1"/>
  <c r="AI186" i="14"/>
  <c r="AJ186" i="14" s="1"/>
  <c r="AI175" i="14"/>
  <c r="AJ175" i="14" s="1"/>
  <c r="AI161" i="14"/>
  <c r="AJ161" i="14" s="1"/>
  <c r="AI147" i="14"/>
  <c r="AJ147" i="14" s="1"/>
  <c r="AI136" i="14"/>
  <c r="AJ136" i="14" s="1"/>
  <c r="AI122" i="14"/>
  <c r="AJ122" i="14" s="1"/>
  <c r="AI111" i="14"/>
  <c r="AJ111" i="14" s="1"/>
  <c r="AI97" i="14"/>
  <c r="AJ97" i="14" s="1"/>
  <c r="AI83" i="14"/>
  <c r="AJ83" i="14" s="1"/>
  <c r="AI72" i="14"/>
  <c r="AJ72" i="14" s="1"/>
  <c r="AI58" i="14"/>
  <c r="AJ58" i="14" s="1"/>
  <c r="AI47" i="14"/>
  <c r="AJ47" i="14" s="1"/>
  <c r="AI33" i="14"/>
  <c r="AJ33" i="14" s="1"/>
  <c r="AI19" i="14"/>
  <c r="AJ19" i="14" s="1"/>
  <c r="AI8" i="14"/>
  <c r="AJ8" i="14" s="1"/>
  <c r="AI248" i="14"/>
  <c r="AJ248" i="14" s="1"/>
  <c r="AI232" i="14"/>
  <c r="AJ232" i="14" s="1"/>
  <c r="AI216" i="14"/>
  <c r="AJ216" i="14" s="1"/>
  <c r="AI200" i="14"/>
  <c r="AJ200" i="14" s="1"/>
  <c r="AI185" i="14"/>
  <c r="AJ185" i="14" s="1"/>
  <c r="AI171" i="14"/>
  <c r="AJ171" i="14" s="1"/>
  <c r="AI160" i="14"/>
  <c r="AJ160" i="14" s="1"/>
  <c r="AI146" i="14"/>
  <c r="AJ146" i="14" s="1"/>
  <c r="AI135" i="14"/>
  <c r="AJ135" i="14" s="1"/>
  <c r="AI121" i="14"/>
  <c r="AJ121" i="14" s="1"/>
  <c r="AI107" i="14"/>
  <c r="AJ107" i="14" s="1"/>
  <c r="AI96" i="14"/>
  <c r="AJ96" i="14" s="1"/>
  <c r="AI82" i="14"/>
  <c r="AJ82" i="14" s="1"/>
  <c r="AI71" i="14"/>
  <c r="AJ71" i="14" s="1"/>
  <c r="AI57" i="14"/>
  <c r="AJ57" i="14" s="1"/>
  <c r="AI43" i="14"/>
  <c r="AJ43" i="14" s="1"/>
  <c r="AI32" i="14"/>
  <c r="AJ32" i="14" s="1"/>
  <c r="AI18" i="14"/>
  <c r="AJ18" i="14" s="1"/>
  <c r="AI7" i="14"/>
  <c r="AJ7" i="14" s="1"/>
  <c r="AI247" i="14"/>
  <c r="AJ247" i="14" s="1"/>
  <c r="AI231" i="14"/>
  <c r="AJ231" i="14" s="1"/>
  <c r="AI215" i="14"/>
  <c r="AJ215" i="14" s="1"/>
  <c r="AI199" i="14"/>
  <c r="AJ199" i="14" s="1"/>
  <c r="AI184" i="14"/>
  <c r="AJ184" i="14" s="1"/>
  <c r="AI170" i="14"/>
  <c r="AJ170" i="14" s="1"/>
  <c r="AI159" i="14"/>
  <c r="AJ159" i="14" s="1"/>
  <c r="AI145" i="14"/>
  <c r="AJ145" i="14" s="1"/>
  <c r="AI131" i="14"/>
  <c r="AJ131" i="14" s="1"/>
  <c r="AI120" i="14"/>
  <c r="AJ120" i="14" s="1"/>
  <c r="AI106" i="14"/>
  <c r="AJ106" i="14" s="1"/>
  <c r="AI95" i="14"/>
  <c r="AJ95" i="14" s="1"/>
  <c r="AI81" i="14"/>
  <c r="AJ81" i="14" s="1"/>
  <c r="AI67" i="14"/>
  <c r="AJ67" i="14" s="1"/>
  <c r="AI56" i="14"/>
  <c r="AJ56" i="14" s="1"/>
  <c r="AI42" i="14"/>
  <c r="AJ42" i="14" s="1"/>
  <c r="AI31" i="14"/>
  <c r="AJ31" i="14" s="1"/>
  <c r="AI17" i="14"/>
  <c r="AJ17" i="14" s="1"/>
  <c r="AI3" i="14"/>
  <c r="AJ3" i="14" s="1"/>
  <c r="AI26" i="14"/>
  <c r="AJ26" i="14" s="1"/>
  <c r="AI51" i="14"/>
  <c r="AJ51" i="14" s="1"/>
  <c r="AI79" i="14"/>
  <c r="AJ79" i="14" s="1"/>
  <c r="AI104" i="14"/>
  <c r="AJ104" i="14" s="1"/>
  <c r="AI129" i="14"/>
  <c r="AJ129" i="14" s="1"/>
  <c r="AI154" i="14"/>
  <c r="AJ154" i="14" s="1"/>
  <c r="AI179" i="14"/>
  <c r="AJ179" i="14" s="1"/>
  <c r="AI209" i="14"/>
  <c r="AJ209" i="14" s="1"/>
  <c r="AI241" i="14"/>
  <c r="AJ241" i="14" s="1"/>
  <c r="AK18" i="14"/>
  <c r="AL18" i="14" s="1"/>
  <c r="AK51" i="14"/>
  <c r="AL51" i="14" s="1"/>
  <c r="AK90" i="14"/>
  <c r="AK132" i="14"/>
  <c r="AL132" i="14" s="1"/>
  <c r="AK175" i="14"/>
  <c r="AL175" i="14" s="1"/>
  <c r="AK218" i="14"/>
  <c r="AL218" i="14" s="1"/>
  <c r="AB8" i="14"/>
  <c r="AB16" i="14"/>
  <c r="AH146" i="14"/>
  <c r="U12" i="14"/>
  <c r="V12" i="14" s="1"/>
  <c r="U37" i="14"/>
  <c r="V37" i="14" s="1"/>
  <c r="U76" i="14"/>
  <c r="V76" i="14" s="1"/>
  <c r="U101" i="14"/>
  <c r="V101" i="14" s="1"/>
  <c r="U140" i="14"/>
  <c r="V140" i="14" s="1"/>
  <c r="U165" i="14"/>
  <c r="V165" i="14" s="1"/>
  <c r="U191" i="14"/>
  <c r="V191" i="14" s="1"/>
  <c r="U217" i="14"/>
  <c r="V217" i="14" s="1"/>
  <c r="Y53" i="14"/>
  <c r="Z53" i="14" s="1"/>
  <c r="Y129" i="14"/>
  <c r="Z129" i="14" s="1"/>
  <c r="Y206" i="14"/>
  <c r="Z206" i="14" s="1"/>
  <c r="AC65" i="14"/>
  <c r="AD65" i="14" s="1"/>
  <c r="U19" i="14"/>
  <c r="U69" i="14"/>
  <c r="U121" i="14"/>
  <c r="V121" i="14" s="1"/>
  <c r="U172" i="14"/>
  <c r="V172" i="14" s="1"/>
  <c r="U236" i="14"/>
  <c r="V236" i="14" s="1"/>
  <c r="Y33" i="14"/>
  <c r="Z33" i="14" s="1"/>
  <c r="Y71" i="14"/>
  <c r="Z71" i="14" s="1"/>
  <c r="Y110" i="14"/>
  <c r="Z110" i="14" s="1"/>
  <c r="Y135" i="14"/>
  <c r="Y174" i="14"/>
  <c r="Y187" i="14"/>
  <c r="Z187" i="14" s="1"/>
  <c r="Y213" i="14"/>
  <c r="Z213" i="14" s="1"/>
  <c r="Y225" i="14"/>
  <c r="Z225" i="14" s="1"/>
  <c r="Y238" i="14"/>
  <c r="Z238" i="14" s="1"/>
  <c r="Y251" i="14"/>
  <c r="Z251" i="14" s="1"/>
  <c r="AC21" i="14"/>
  <c r="AD21" i="14" s="1"/>
  <c r="AC85" i="14"/>
  <c r="AC187" i="14"/>
  <c r="AD187" i="14" s="1"/>
  <c r="AK131" i="14"/>
  <c r="AL131" i="14" s="1"/>
  <c r="AH107" i="14"/>
  <c r="AH216" i="14"/>
  <c r="U9" i="14"/>
  <c r="V9" i="14" s="1"/>
  <c r="U21" i="14"/>
  <c r="V21" i="14" s="1"/>
  <c r="U35" i="14"/>
  <c r="V35" i="14" s="1"/>
  <c r="U47" i="14"/>
  <c r="V47" i="14" s="1"/>
  <c r="U60" i="14"/>
  <c r="V60" i="14" s="1"/>
  <c r="U73" i="14"/>
  <c r="V73" i="14" s="1"/>
  <c r="U85" i="14"/>
  <c r="V85" i="14" s="1"/>
  <c r="U99" i="14"/>
  <c r="V99" i="14" s="1"/>
  <c r="U111" i="14"/>
  <c r="U124" i="14"/>
  <c r="V124" i="14" s="1"/>
  <c r="U137" i="14"/>
  <c r="U149" i="14"/>
  <c r="V149" i="14" s="1"/>
  <c r="U163" i="14"/>
  <c r="V163" i="14" s="1"/>
  <c r="U175" i="14"/>
  <c r="V175" i="14" s="1"/>
  <c r="U188" i="14"/>
  <c r="V188" i="14" s="1"/>
  <c r="U201" i="14"/>
  <c r="V201" i="14" s="1"/>
  <c r="U213" i="14"/>
  <c r="U227" i="14"/>
  <c r="V227" i="14" s="1"/>
  <c r="U239" i="14"/>
  <c r="U252" i="14"/>
  <c r="V252" i="14" s="1"/>
  <c r="Y11" i="14"/>
  <c r="Z11" i="14" s="1"/>
  <c r="Y23" i="14"/>
  <c r="Z23" i="14" s="1"/>
  <c r="Y37" i="14"/>
  <c r="Z37" i="14" s="1"/>
  <c r="Y49" i="14"/>
  <c r="Y62" i="14"/>
  <c r="Y75" i="14"/>
  <c r="Z75" i="14" s="1"/>
  <c r="Y87" i="14"/>
  <c r="Y101" i="14"/>
  <c r="Z101" i="14" s="1"/>
  <c r="Y113" i="14"/>
  <c r="Z113" i="14" s="1"/>
  <c r="Y126" i="14"/>
  <c r="Z126" i="14" s="1"/>
  <c r="Y139" i="14"/>
  <c r="Z139" i="14" s="1"/>
  <c r="Y151" i="14"/>
  <c r="Z151" i="14" s="1"/>
  <c r="Y165" i="14"/>
  <c r="Z165" i="14" s="1"/>
  <c r="Y177" i="14"/>
  <c r="Z177" i="14" s="1"/>
  <c r="Y190" i="14"/>
  <c r="Z190" i="14" s="1"/>
  <c r="Y203" i="14"/>
  <c r="Z203" i="14" s="1"/>
  <c r="Y215" i="14"/>
  <c r="Z215" i="14" s="1"/>
  <c r="Y229" i="14"/>
  <c r="Z229" i="14" s="1"/>
  <c r="Y241" i="14"/>
  <c r="Z241" i="14" s="1"/>
  <c r="Y254" i="14"/>
  <c r="Z254" i="14" s="1"/>
  <c r="AC11" i="14"/>
  <c r="AD11" i="14" s="1"/>
  <c r="AC24" i="14"/>
  <c r="AD24" i="14" s="1"/>
  <c r="AC37" i="14"/>
  <c r="AC49" i="14"/>
  <c r="AD49" i="14" s="1"/>
  <c r="AC63" i="14"/>
  <c r="AD63" i="14" s="1"/>
  <c r="AC75" i="14"/>
  <c r="AD75" i="14" s="1"/>
  <c r="AC88" i="14"/>
  <c r="AD88" i="14" s="1"/>
  <c r="AC101" i="14"/>
  <c r="AD101" i="14" s="1"/>
  <c r="AC113" i="14"/>
  <c r="AC127" i="14"/>
  <c r="AD127" i="14" s="1"/>
  <c r="AC139" i="14"/>
  <c r="AC152" i="14"/>
  <c r="AD152" i="14" s="1"/>
  <c r="AC165" i="14"/>
  <c r="AD165" i="14" s="1"/>
  <c r="AC177" i="14"/>
  <c r="AD177" i="14" s="1"/>
  <c r="AC191" i="14"/>
  <c r="AD191" i="14" s="1"/>
  <c r="AC203" i="14"/>
  <c r="AD203" i="14" s="1"/>
  <c r="AC216" i="14"/>
  <c r="AC229" i="14"/>
  <c r="AD229" i="14" s="1"/>
  <c r="AC241" i="14"/>
  <c r="AD241" i="14" s="1"/>
  <c r="AE12" i="14"/>
  <c r="AF12" i="14" s="1"/>
  <c r="AE25" i="14"/>
  <c r="AF25" i="14" s="1"/>
  <c r="AE38" i="14"/>
  <c r="AF38" i="14" s="1"/>
  <c r="AE50" i="14"/>
  <c r="AF50" i="14" s="1"/>
  <c r="AE64" i="14"/>
  <c r="AE76" i="14"/>
  <c r="AF76" i="14" s="1"/>
  <c r="AE89" i="14"/>
  <c r="AF89" i="14" s="1"/>
  <c r="AE102" i="14"/>
  <c r="AE115" i="14"/>
  <c r="AF115" i="14" s="1"/>
  <c r="AE131" i="14"/>
  <c r="AF131" i="14" s="1"/>
  <c r="AE144" i="14"/>
  <c r="AF144" i="14" s="1"/>
  <c r="AE159" i="14"/>
  <c r="AF159" i="14" s="1"/>
  <c r="AE174" i="14"/>
  <c r="AF174" i="14" s="1"/>
  <c r="AE188" i="14"/>
  <c r="AE204" i="14"/>
  <c r="AF204" i="14" s="1"/>
  <c r="AE217" i="14"/>
  <c r="AF217" i="14" s="1"/>
  <c r="AE232" i="14"/>
  <c r="AF232" i="14" s="1"/>
  <c r="AG6" i="14"/>
  <c r="AH6" i="14" s="1"/>
  <c r="AG22" i="14"/>
  <c r="AG37" i="14"/>
  <c r="AG54" i="14"/>
  <c r="AG71" i="14"/>
  <c r="AG87" i="14"/>
  <c r="AG109" i="14"/>
  <c r="AH109" i="14" s="1"/>
  <c r="AG129" i="14"/>
  <c r="AG154" i="14"/>
  <c r="AH154" i="14" s="1"/>
  <c r="AG182" i="14"/>
  <c r="AH182" i="14" s="1"/>
  <c r="AG207" i="14"/>
  <c r="AG232" i="14"/>
  <c r="AI2" i="14"/>
  <c r="AJ2" i="14" s="1"/>
  <c r="AI27" i="14"/>
  <c r="AJ27" i="14" s="1"/>
  <c r="AI55" i="14"/>
  <c r="AJ55" i="14" s="1"/>
  <c r="AI80" i="14"/>
  <c r="AJ80" i="14" s="1"/>
  <c r="AI105" i="14"/>
  <c r="AJ105" i="14" s="1"/>
  <c r="AI130" i="14"/>
  <c r="AJ130" i="14" s="1"/>
  <c r="AI155" i="14"/>
  <c r="AJ155" i="14" s="1"/>
  <c r="AI183" i="14"/>
  <c r="AJ183" i="14" s="1"/>
  <c r="AI211" i="14"/>
  <c r="AJ211" i="14" s="1"/>
  <c r="AI243" i="14"/>
  <c r="AJ243" i="14" s="1"/>
  <c r="AK20" i="14"/>
  <c r="AL20" i="14" s="1"/>
  <c r="AK53" i="14"/>
  <c r="AL53" i="14" s="1"/>
  <c r="AK92" i="14"/>
  <c r="AL92" i="14" s="1"/>
  <c r="AK135" i="14"/>
  <c r="AL135" i="14" s="1"/>
  <c r="AK178" i="14"/>
  <c r="AL178" i="14" s="1"/>
  <c r="X125" i="14"/>
  <c r="AK248" i="14"/>
  <c r="AL248" i="14" s="1"/>
  <c r="AK240" i="14"/>
  <c r="AL240" i="14" s="1"/>
  <c r="AK232" i="14"/>
  <c r="AL232" i="14" s="1"/>
  <c r="AK224" i="14"/>
  <c r="AL224" i="14" s="1"/>
  <c r="AK216" i="14"/>
  <c r="AL216" i="14" s="1"/>
  <c r="AK208" i="14"/>
  <c r="AL208" i="14" s="1"/>
  <c r="AK200" i="14"/>
  <c r="AL200" i="14" s="1"/>
  <c r="AK192" i="14"/>
  <c r="AL192" i="14" s="1"/>
  <c r="AK184" i="14"/>
  <c r="AL184" i="14" s="1"/>
  <c r="AK176" i="14"/>
  <c r="AL176" i="14" s="1"/>
  <c r="AK168" i="14"/>
  <c r="AL168" i="14" s="1"/>
  <c r="AK160" i="14"/>
  <c r="AL160" i="14" s="1"/>
  <c r="AK152" i="14"/>
  <c r="AL152" i="14" s="1"/>
  <c r="AK144" i="14"/>
  <c r="AL144" i="14" s="1"/>
  <c r="AK136" i="14"/>
  <c r="AL136" i="14" s="1"/>
  <c r="AK128" i="14"/>
  <c r="AL128" i="14" s="1"/>
  <c r="AK120" i="14"/>
  <c r="AL120" i="14" s="1"/>
  <c r="AK112" i="14"/>
  <c r="AL112" i="14" s="1"/>
  <c r="AK104" i="14"/>
  <c r="AL104" i="14" s="1"/>
  <c r="AK96" i="14"/>
  <c r="AL96" i="14" s="1"/>
  <c r="AK88" i="14"/>
  <c r="AL88" i="14" s="1"/>
  <c r="AK80" i="14"/>
  <c r="AL80" i="14" s="1"/>
  <c r="AK72" i="14"/>
  <c r="AL72" i="14" s="1"/>
  <c r="AK64" i="14"/>
  <c r="AL64" i="14" s="1"/>
  <c r="AK56" i="14"/>
  <c r="AL56" i="14" s="1"/>
  <c r="AK48" i="14"/>
  <c r="AL48" i="14" s="1"/>
  <c r="AK253" i="14"/>
  <c r="AL253" i="14" s="1"/>
  <c r="AK245" i="14"/>
  <c r="AL245" i="14" s="1"/>
  <c r="AK237" i="14"/>
  <c r="AL237" i="14" s="1"/>
  <c r="AK229" i="14"/>
  <c r="AL229" i="14" s="1"/>
  <c r="AK221" i="14"/>
  <c r="AL221" i="14" s="1"/>
  <c r="AK213" i="14"/>
  <c r="AK205" i="14"/>
  <c r="AL205" i="14" s="1"/>
  <c r="AK197" i="14"/>
  <c r="AL197" i="14" s="1"/>
  <c r="AK189" i="14"/>
  <c r="AL189" i="14" s="1"/>
  <c r="AK181" i="14"/>
  <c r="AL181" i="14" s="1"/>
  <c r="AK173" i="14"/>
  <c r="AL173" i="14" s="1"/>
  <c r="AK165" i="14"/>
  <c r="AL165" i="14" s="1"/>
  <c r="AK157" i="14"/>
  <c r="AL157" i="14" s="1"/>
  <c r="AK149" i="14"/>
  <c r="AL149" i="14" s="1"/>
  <c r="AK141" i="14"/>
  <c r="AK133" i="14"/>
  <c r="AL133" i="14" s="1"/>
  <c r="AK125" i="14"/>
  <c r="AL125" i="14" s="1"/>
  <c r="AK117" i="14"/>
  <c r="AL117" i="14" s="1"/>
  <c r="AK109" i="14"/>
  <c r="AL109" i="14" s="1"/>
  <c r="AK101" i="14"/>
  <c r="AL101" i="14" s="1"/>
  <c r="AK93" i="14"/>
  <c r="AL93" i="14" s="1"/>
  <c r="AK85" i="14"/>
  <c r="AL85" i="14" s="1"/>
  <c r="AK77" i="14"/>
  <c r="AL77" i="14" s="1"/>
  <c r="AK246" i="14"/>
  <c r="AL246" i="14" s="1"/>
  <c r="AK235" i="14"/>
  <c r="AL235" i="14" s="1"/>
  <c r="AK225" i="14"/>
  <c r="AL225" i="14" s="1"/>
  <c r="AK214" i="14"/>
  <c r="AL214" i="14" s="1"/>
  <c r="AK203" i="14"/>
  <c r="AL203" i="14" s="1"/>
  <c r="AK193" i="14"/>
  <c r="AL193" i="14" s="1"/>
  <c r="AK182" i="14"/>
  <c r="AL182" i="14" s="1"/>
  <c r="AK171" i="14"/>
  <c r="AL171" i="14" s="1"/>
  <c r="AK161" i="14"/>
  <c r="AL161" i="14" s="1"/>
  <c r="AK150" i="14"/>
  <c r="AL150" i="14" s="1"/>
  <c r="AK139" i="14"/>
  <c r="AL139" i="14" s="1"/>
  <c r="AK129" i="14"/>
  <c r="AL129" i="14" s="1"/>
  <c r="AK118" i="14"/>
  <c r="AL118" i="14" s="1"/>
  <c r="AK107" i="14"/>
  <c r="AL107" i="14" s="1"/>
  <c r="AK97" i="14"/>
  <c r="AK86" i="14"/>
  <c r="AL86" i="14" s="1"/>
  <c r="AK75" i="14"/>
  <c r="AL75" i="14" s="1"/>
  <c r="AK66" i="14"/>
  <c r="AL66" i="14" s="1"/>
  <c r="AK57" i="14"/>
  <c r="AL57" i="14" s="1"/>
  <c r="AK47" i="14"/>
  <c r="AK39" i="14"/>
  <c r="AL39" i="14" s="1"/>
  <c r="AK31" i="14"/>
  <c r="AL31" i="14" s="1"/>
  <c r="AK23" i="14"/>
  <c r="AL23" i="14" s="1"/>
  <c r="AK15" i="14"/>
  <c r="AL15" i="14" s="1"/>
  <c r="AK7" i="14"/>
  <c r="AL7" i="14" s="1"/>
  <c r="AK244" i="14"/>
  <c r="AL244" i="14" s="1"/>
  <c r="AK234" i="14"/>
  <c r="AL234" i="14" s="1"/>
  <c r="AK223" i="14"/>
  <c r="AL223" i="14" s="1"/>
  <c r="AK212" i="14"/>
  <c r="AL212" i="14" s="1"/>
  <c r="AK202" i="14"/>
  <c r="AL202" i="14" s="1"/>
  <c r="AK191" i="14"/>
  <c r="AL191" i="14" s="1"/>
  <c r="AK180" i="14"/>
  <c r="AL180" i="14" s="1"/>
  <c r="AK170" i="14"/>
  <c r="AL170" i="14" s="1"/>
  <c r="AK159" i="14"/>
  <c r="AL159" i="14" s="1"/>
  <c r="AK148" i="14"/>
  <c r="AL148" i="14" s="1"/>
  <c r="AK138" i="14"/>
  <c r="AL138" i="14" s="1"/>
  <c r="AK127" i="14"/>
  <c r="AL127" i="14" s="1"/>
  <c r="AK116" i="14"/>
  <c r="AL116" i="14" s="1"/>
  <c r="AK106" i="14"/>
  <c r="AK95" i="14"/>
  <c r="AL95" i="14" s="1"/>
  <c r="AK84" i="14"/>
  <c r="AL84" i="14" s="1"/>
  <c r="AK74" i="14"/>
  <c r="AL74" i="14" s="1"/>
  <c r="AK65" i="14"/>
  <c r="AL65" i="14" s="1"/>
  <c r="AK55" i="14"/>
  <c r="AL55" i="14" s="1"/>
  <c r="AK46" i="14"/>
  <c r="AL46" i="14" s="1"/>
  <c r="AK38" i="14"/>
  <c r="AL38" i="14" s="1"/>
  <c r="AK30" i="14"/>
  <c r="AL30" i="14" s="1"/>
  <c r="AK22" i="14"/>
  <c r="AL22" i="14" s="1"/>
  <c r="AK14" i="14"/>
  <c r="AL14" i="14" s="1"/>
  <c r="AK6" i="14"/>
  <c r="AL6" i="14" s="1"/>
  <c r="AK254" i="14"/>
  <c r="AL254" i="14" s="1"/>
  <c r="AK243" i="14"/>
  <c r="AL243" i="14" s="1"/>
  <c r="AK233" i="14"/>
  <c r="AL233" i="14" s="1"/>
  <c r="AK222" i="14"/>
  <c r="AL222" i="14" s="1"/>
  <c r="AK211" i="14"/>
  <c r="AL211" i="14" s="1"/>
  <c r="AK201" i="14"/>
  <c r="AL201" i="14" s="1"/>
  <c r="AK190" i="14"/>
  <c r="AL190" i="14" s="1"/>
  <c r="AK179" i="14"/>
  <c r="AL179" i="14" s="1"/>
  <c r="AK169" i="14"/>
  <c r="AL169" i="14" s="1"/>
  <c r="AK158" i="14"/>
  <c r="AK147" i="14"/>
  <c r="AL147" i="14" s="1"/>
  <c r="AK137" i="14"/>
  <c r="AL137" i="14" s="1"/>
  <c r="AK126" i="14"/>
  <c r="AL126" i="14" s="1"/>
  <c r="AK115" i="14"/>
  <c r="AL115" i="14" s="1"/>
  <c r="AK105" i="14"/>
  <c r="AL105" i="14" s="1"/>
  <c r="AK94" i="14"/>
  <c r="AL94" i="14" s="1"/>
  <c r="AK83" i="14"/>
  <c r="AL83" i="14" s="1"/>
  <c r="AK73" i="14"/>
  <c r="AL73" i="14" s="1"/>
  <c r="AK63" i="14"/>
  <c r="AL63" i="14" s="1"/>
  <c r="AK54" i="14"/>
  <c r="AL54" i="14" s="1"/>
  <c r="AK45" i="14"/>
  <c r="AL45" i="14" s="1"/>
  <c r="AK37" i="14"/>
  <c r="AL37" i="14" s="1"/>
  <c r="AK29" i="14"/>
  <c r="AL29" i="14" s="1"/>
  <c r="AK21" i="14"/>
  <c r="AL21" i="14" s="1"/>
  <c r="AK13" i="14"/>
  <c r="AL13" i="14" s="1"/>
  <c r="AK5" i="14"/>
  <c r="AL5" i="14" s="1"/>
  <c r="AK251" i="14"/>
  <c r="AL251" i="14" s="1"/>
  <c r="AK241" i="14"/>
  <c r="AK230" i="14"/>
  <c r="AL230" i="14" s="1"/>
  <c r="AK219" i="14"/>
  <c r="AL219" i="14" s="1"/>
  <c r="AK209" i="14"/>
  <c r="AL209" i="14" s="1"/>
  <c r="AK198" i="14"/>
  <c r="AL198" i="14" s="1"/>
  <c r="AK187" i="14"/>
  <c r="AL187" i="14" s="1"/>
  <c r="AK177" i="14"/>
  <c r="AL177" i="14" s="1"/>
  <c r="AK166" i="14"/>
  <c r="AL166" i="14" s="1"/>
  <c r="AK155" i="14"/>
  <c r="AL155" i="14" s="1"/>
  <c r="AK145" i="14"/>
  <c r="AL145" i="14" s="1"/>
  <c r="AK134" i="14"/>
  <c r="AL134" i="14" s="1"/>
  <c r="AK123" i="14"/>
  <c r="AL123" i="14" s="1"/>
  <c r="AK113" i="14"/>
  <c r="AL113" i="14" s="1"/>
  <c r="AK102" i="14"/>
  <c r="AL102" i="14" s="1"/>
  <c r="AK91" i="14"/>
  <c r="AK81" i="14"/>
  <c r="AL81" i="14" s="1"/>
  <c r="AK70" i="14"/>
  <c r="AL70" i="14" s="1"/>
  <c r="AK61" i="14"/>
  <c r="AL61" i="14" s="1"/>
  <c r="AK52" i="14"/>
  <c r="AL52" i="14" s="1"/>
  <c r="AK43" i="14"/>
  <c r="AK35" i="14"/>
  <c r="AL35" i="14" s="1"/>
  <c r="AK27" i="14"/>
  <c r="AL27" i="14" s="1"/>
  <c r="AK19" i="14"/>
  <c r="AL19" i="14" s="1"/>
  <c r="AK11" i="14"/>
  <c r="AL11" i="14" s="1"/>
  <c r="AK3" i="14"/>
  <c r="AK236" i="14"/>
  <c r="AL236" i="14" s="1"/>
  <c r="AK215" i="14"/>
  <c r="AL215" i="14" s="1"/>
  <c r="AK194" i="14"/>
  <c r="AL194" i="14" s="1"/>
  <c r="AK172" i="14"/>
  <c r="AL172" i="14" s="1"/>
  <c r="AK151" i="14"/>
  <c r="AL151" i="14" s="1"/>
  <c r="AK130" i="14"/>
  <c r="AL130" i="14" s="1"/>
  <c r="AK108" i="14"/>
  <c r="AL108" i="14" s="1"/>
  <c r="AK87" i="14"/>
  <c r="AL87" i="14" s="1"/>
  <c r="AK67" i="14"/>
  <c r="AL67" i="14" s="1"/>
  <c r="AK49" i="14"/>
  <c r="AL49" i="14" s="1"/>
  <c r="AK32" i="14"/>
  <c r="AL32" i="14" s="1"/>
  <c r="AK16" i="14"/>
  <c r="AL16" i="14" s="1"/>
  <c r="AK250" i="14"/>
  <c r="AL250" i="14" s="1"/>
  <c r="AK228" i="14"/>
  <c r="AL228" i="14" s="1"/>
  <c r="AK207" i="14"/>
  <c r="AL207" i="14" s="1"/>
  <c r="AK186" i="14"/>
  <c r="AL186" i="14" s="1"/>
  <c r="AK164" i="14"/>
  <c r="AL164" i="14" s="1"/>
  <c r="AK143" i="14"/>
  <c r="AL143" i="14" s="1"/>
  <c r="AK122" i="14"/>
  <c r="AL122" i="14" s="1"/>
  <c r="AK100" i="14"/>
  <c r="AL100" i="14" s="1"/>
  <c r="AK79" i="14"/>
  <c r="AL79" i="14" s="1"/>
  <c r="AK60" i="14"/>
  <c r="AL60" i="14" s="1"/>
  <c r="AK42" i="14"/>
  <c r="AL42" i="14" s="1"/>
  <c r="AK26" i="14"/>
  <c r="AL26" i="14" s="1"/>
  <c r="AK10" i="14"/>
  <c r="AL10" i="14" s="1"/>
  <c r="AK249" i="14"/>
  <c r="AL249" i="14" s="1"/>
  <c r="AK227" i="14"/>
  <c r="AL227" i="14" s="1"/>
  <c r="AK206" i="14"/>
  <c r="AL206" i="14" s="1"/>
  <c r="AK185" i="14"/>
  <c r="AL185" i="14" s="1"/>
  <c r="AK163" i="14"/>
  <c r="AL163" i="14" s="1"/>
  <c r="AK142" i="14"/>
  <c r="AL142" i="14" s="1"/>
  <c r="AK121" i="14"/>
  <c r="AL121" i="14" s="1"/>
  <c r="AK99" i="14"/>
  <c r="AL99" i="14" s="1"/>
  <c r="AK78" i="14"/>
  <c r="AL78" i="14" s="1"/>
  <c r="AK59" i="14"/>
  <c r="AL59" i="14" s="1"/>
  <c r="AK41" i="14"/>
  <c r="AL41" i="14" s="1"/>
  <c r="AK25" i="14"/>
  <c r="AL25" i="14" s="1"/>
  <c r="AK9" i="14"/>
  <c r="AL9" i="14" s="1"/>
  <c r="AK247" i="14"/>
  <c r="AL247" i="14" s="1"/>
  <c r="AK226" i="14"/>
  <c r="AL226" i="14" s="1"/>
  <c r="AK204" i="14"/>
  <c r="AK183" i="14"/>
  <c r="AL183" i="14" s="1"/>
  <c r="AK162" i="14"/>
  <c r="AL162" i="14" s="1"/>
  <c r="AK140" i="14"/>
  <c r="AL140" i="14" s="1"/>
  <c r="AK119" i="14"/>
  <c r="AL119" i="14" s="1"/>
  <c r="AK98" i="14"/>
  <c r="AK76" i="14"/>
  <c r="AL76" i="14" s="1"/>
  <c r="AK58" i="14"/>
  <c r="AL58" i="14" s="1"/>
  <c r="AK40" i="14"/>
  <c r="AL40" i="14" s="1"/>
  <c r="AK24" i="14"/>
  <c r="AL24" i="14" s="1"/>
  <c r="AK8" i="14"/>
  <c r="AL8" i="14" s="1"/>
  <c r="AK110" i="14"/>
  <c r="AL110" i="14" s="1"/>
  <c r="AK153" i="14"/>
  <c r="AL153" i="14" s="1"/>
  <c r="AK238" i="14"/>
  <c r="AL238" i="14" s="1"/>
  <c r="V18" i="14"/>
  <c r="AD68" i="14"/>
  <c r="U31" i="14"/>
  <c r="U57" i="14"/>
  <c r="V57" i="14" s="1"/>
  <c r="U95" i="14"/>
  <c r="V95" i="14" s="1"/>
  <c r="U133" i="14"/>
  <c r="V133" i="14" s="1"/>
  <c r="U159" i="14"/>
  <c r="V159" i="14" s="1"/>
  <c r="U197" i="14"/>
  <c r="V197" i="14" s="1"/>
  <c r="U223" i="14"/>
  <c r="V223" i="14" s="1"/>
  <c r="Y21" i="14"/>
  <c r="Y59" i="14"/>
  <c r="Y97" i="14"/>
  <c r="Z97" i="14" s="1"/>
  <c r="Y161" i="14"/>
  <c r="Z161" i="14" s="1"/>
  <c r="AC33" i="14"/>
  <c r="AD33" i="14" s="1"/>
  <c r="AC59" i="14"/>
  <c r="AD59" i="14" s="1"/>
  <c r="AC97" i="14"/>
  <c r="AD97" i="14" s="1"/>
  <c r="AC123" i="14"/>
  <c r="AD123" i="14" s="1"/>
  <c r="AC136" i="14"/>
  <c r="AD136" i="14" s="1"/>
  <c r="AC149" i="14"/>
  <c r="AC161" i="14"/>
  <c r="AC200" i="14"/>
  <c r="AC213" i="14"/>
  <c r="AD213" i="14" s="1"/>
  <c r="AC225" i="14"/>
  <c r="AD225" i="14" s="1"/>
  <c r="AC239" i="14"/>
  <c r="AD239" i="14" s="1"/>
  <c r="AC251" i="14"/>
  <c r="AD251" i="14" s="1"/>
  <c r="AK50" i="14"/>
  <c r="AL50" i="14" s="1"/>
  <c r="AK89" i="14"/>
  <c r="AK217" i="14"/>
  <c r="AL217" i="14" s="1"/>
  <c r="AH80" i="14"/>
  <c r="AH108" i="14"/>
  <c r="AH181" i="14"/>
  <c r="AH208" i="14"/>
  <c r="AH218" i="14"/>
  <c r="AH254" i="14"/>
  <c r="U11" i="14"/>
  <c r="V11" i="14" s="1"/>
  <c r="U23" i="14"/>
  <c r="V23" i="14" s="1"/>
  <c r="U36" i="14"/>
  <c r="V36" i="14" s="1"/>
  <c r="U49" i="14"/>
  <c r="V49" i="14" s="1"/>
  <c r="U61" i="14"/>
  <c r="V61" i="14" s="1"/>
  <c r="U75" i="14"/>
  <c r="V75" i="14" s="1"/>
  <c r="U87" i="14"/>
  <c r="U100" i="14"/>
  <c r="V100" i="14" s="1"/>
  <c r="U113" i="14"/>
  <c r="V113" i="14" s="1"/>
  <c r="U125" i="14"/>
  <c r="V125" i="14" s="1"/>
  <c r="U139" i="14"/>
  <c r="V139" i="14" s="1"/>
  <c r="U151" i="14"/>
  <c r="V151" i="14" s="1"/>
  <c r="U164" i="14"/>
  <c r="V164" i="14" s="1"/>
  <c r="U177" i="14"/>
  <c r="V177" i="14" s="1"/>
  <c r="U189" i="14"/>
  <c r="U203" i="14"/>
  <c r="V203" i="14" s="1"/>
  <c r="U215" i="14"/>
  <c r="V215" i="14" s="1"/>
  <c r="U228" i="14"/>
  <c r="V228" i="14" s="1"/>
  <c r="U241" i="14"/>
  <c r="V241" i="14" s="1"/>
  <c r="U253" i="14"/>
  <c r="V253" i="14" s="1"/>
  <c r="Y13" i="14"/>
  <c r="Z13" i="14" s="1"/>
  <c r="Y25" i="14"/>
  <c r="Z25" i="14" s="1"/>
  <c r="Y38" i="14"/>
  <c r="Z38" i="14" s="1"/>
  <c r="Y51" i="14"/>
  <c r="Z51" i="14" s="1"/>
  <c r="Y63" i="14"/>
  <c r="Z63" i="14" s="1"/>
  <c r="Y77" i="14"/>
  <c r="Z77" i="14" s="1"/>
  <c r="Y89" i="14"/>
  <c r="Z89" i="14" s="1"/>
  <c r="Y102" i="14"/>
  <c r="Z102" i="14" s="1"/>
  <c r="Y115" i="14"/>
  <c r="Y127" i="14"/>
  <c r="Z127" i="14" s="1"/>
  <c r="Y141" i="14"/>
  <c r="Z141" i="14" s="1"/>
  <c r="Y153" i="14"/>
  <c r="Z153" i="14" s="1"/>
  <c r="Y166" i="14"/>
  <c r="Z166" i="14" s="1"/>
  <c r="Y179" i="14"/>
  <c r="Z179" i="14" s="1"/>
  <c r="Y191" i="14"/>
  <c r="Z191" i="14" s="1"/>
  <c r="Y205" i="14"/>
  <c r="Z205" i="14" s="1"/>
  <c r="Y217" i="14"/>
  <c r="Y230" i="14"/>
  <c r="Z230" i="14" s="1"/>
  <c r="Y243" i="14"/>
  <c r="Z243" i="14" s="1"/>
  <c r="AC13" i="14"/>
  <c r="AD13" i="14" s="1"/>
  <c r="AC25" i="14"/>
  <c r="AD25" i="14" s="1"/>
  <c r="AC39" i="14"/>
  <c r="AD39" i="14" s="1"/>
  <c r="AC51" i="14"/>
  <c r="AD51" i="14" s="1"/>
  <c r="AC64" i="14"/>
  <c r="AD64" i="14" s="1"/>
  <c r="AC77" i="14"/>
  <c r="AD77" i="14" s="1"/>
  <c r="AC89" i="14"/>
  <c r="AD89" i="14" s="1"/>
  <c r="AC103" i="14"/>
  <c r="AD103" i="14" s="1"/>
  <c r="AC115" i="14"/>
  <c r="AD115" i="14" s="1"/>
  <c r="AC128" i="14"/>
  <c r="AD128" i="14" s="1"/>
  <c r="AC141" i="14"/>
  <c r="AD141" i="14" s="1"/>
  <c r="AC153" i="14"/>
  <c r="AD153" i="14" s="1"/>
  <c r="AC167" i="14"/>
  <c r="AD167" i="14" s="1"/>
  <c r="AC179" i="14"/>
  <c r="AD179" i="14" s="1"/>
  <c r="AC192" i="14"/>
  <c r="AD192" i="14" s="1"/>
  <c r="AC205" i="14"/>
  <c r="AD205" i="14" s="1"/>
  <c r="AC217" i="14"/>
  <c r="AD217" i="14" s="1"/>
  <c r="AC231" i="14"/>
  <c r="AD231" i="14" s="1"/>
  <c r="AC243" i="14"/>
  <c r="AD243" i="14" s="1"/>
  <c r="AE250" i="14"/>
  <c r="AF250" i="14" s="1"/>
  <c r="AE242" i="14"/>
  <c r="AF242" i="14" s="1"/>
  <c r="AE234" i="14"/>
  <c r="AF234" i="14" s="1"/>
  <c r="AE226" i="14"/>
  <c r="AF226" i="14" s="1"/>
  <c r="AE218" i="14"/>
  <c r="AF218" i="14" s="1"/>
  <c r="AE210" i="14"/>
  <c r="AF210" i="14" s="1"/>
  <c r="AE202" i="14"/>
  <c r="AF202" i="14" s="1"/>
  <c r="AE194" i="14"/>
  <c r="AF194" i="14" s="1"/>
  <c r="AE186" i="14"/>
  <c r="AF186" i="14" s="1"/>
  <c r="AE178" i="14"/>
  <c r="AF178" i="14" s="1"/>
  <c r="AE170" i="14"/>
  <c r="AF170" i="14" s="1"/>
  <c r="AE162" i="14"/>
  <c r="AF162" i="14" s="1"/>
  <c r="AE154" i="14"/>
  <c r="AE146" i="14"/>
  <c r="AF146" i="14" s="1"/>
  <c r="AE138" i="14"/>
  <c r="AF138" i="14" s="1"/>
  <c r="AE130" i="14"/>
  <c r="AF130" i="14" s="1"/>
  <c r="AE122" i="14"/>
  <c r="AF122" i="14" s="1"/>
  <c r="AE114" i="14"/>
  <c r="AE248" i="14"/>
  <c r="AE239" i="14"/>
  <c r="AF239" i="14" s="1"/>
  <c r="AE230" i="14"/>
  <c r="AF230" i="14" s="1"/>
  <c r="AE221" i="14"/>
  <c r="AF221" i="14" s="1"/>
  <c r="AE212" i="14"/>
  <c r="AF212" i="14" s="1"/>
  <c r="AE203" i="14"/>
  <c r="AF203" i="14" s="1"/>
  <c r="AE193" i="14"/>
  <c r="AF193" i="14" s="1"/>
  <c r="AE184" i="14"/>
  <c r="AF184" i="14" s="1"/>
  <c r="AE175" i="14"/>
  <c r="AE166" i="14"/>
  <c r="AF166" i="14" s="1"/>
  <c r="AE157" i="14"/>
  <c r="AF157" i="14" s="1"/>
  <c r="AE148" i="14"/>
  <c r="AF148" i="14" s="1"/>
  <c r="AE139" i="14"/>
  <c r="AF139" i="14" s="1"/>
  <c r="AE129" i="14"/>
  <c r="AF129" i="14" s="1"/>
  <c r="AE120" i="14"/>
  <c r="AF120" i="14" s="1"/>
  <c r="AE111" i="14"/>
  <c r="AF111" i="14" s="1"/>
  <c r="AE103" i="14"/>
  <c r="AF103" i="14" s="1"/>
  <c r="AE95" i="14"/>
  <c r="AF95" i="14" s="1"/>
  <c r="AE87" i="14"/>
  <c r="AF87" i="14" s="1"/>
  <c r="AE79" i="14"/>
  <c r="AF79" i="14" s="1"/>
  <c r="AE71" i="14"/>
  <c r="AF71" i="14" s="1"/>
  <c r="AE63" i="14"/>
  <c r="AF63" i="14" s="1"/>
  <c r="AE55" i="14"/>
  <c r="AF55" i="14" s="1"/>
  <c r="AE47" i="14"/>
  <c r="AF47" i="14" s="1"/>
  <c r="AE39" i="14"/>
  <c r="AF39" i="14" s="1"/>
  <c r="AE31" i="14"/>
  <c r="AF31" i="14" s="1"/>
  <c r="AE23" i="14"/>
  <c r="AF23" i="14" s="1"/>
  <c r="AE15" i="14"/>
  <c r="AF15" i="14" s="1"/>
  <c r="AE7" i="14"/>
  <c r="AF7" i="14" s="1"/>
  <c r="AE246" i="14"/>
  <c r="AF246" i="14" s="1"/>
  <c r="AE237" i="14"/>
  <c r="AF237" i="14" s="1"/>
  <c r="AE228" i="14"/>
  <c r="AF228" i="14" s="1"/>
  <c r="AE219" i="14"/>
  <c r="AF219" i="14" s="1"/>
  <c r="AE209" i="14"/>
  <c r="AF209" i="14" s="1"/>
  <c r="AE200" i="14"/>
  <c r="AE191" i="14"/>
  <c r="AF191" i="14" s="1"/>
  <c r="AE182" i="14"/>
  <c r="AF182" i="14" s="1"/>
  <c r="AE173" i="14"/>
  <c r="AF173" i="14" s="1"/>
  <c r="AE164" i="14"/>
  <c r="AF164" i="14" s="1"/>
  <c r="AE155" i="14"/>
  <c r="AF155" i="14" s="1"/>
  <c r="AE145" i="14"/>
  <c r="AF145" i="14" s="1"/>
  <c r="AE136" i="14"/>
  <c r="AF136" i="14" s="1"/>
  <c r="AE127" i="14"/>
  <c r="AF127" i="14" s="1"/>
  <c r="AE118" i="14"/>
  <c r="AF118" i="14" s="1"/>
  <c r="AE109" i="14"/>
  <c r="AF109" i="14" s="1"/>
  <c r="AE101" i="14"/>
  <c r="AF101" i="14" s="1"/>
  <c r="AE93" i="14"/>
  <c r="AF93" i="14" s="1"/>
  <c r="AE85" i="14"/>
  <c r="AF85" i="14" s="1"/>
  <c r="AE77" i="14"/>
  <c r="AF77" i="14" s="1"/>
  <c r="AE69" i="14"/>
  <c r="AF69" i="14" s="1"/>
  <c r="AE61" i="14"/>
  <c r="AF61" i="14" s="1"/>
  <c r="AE53" i="14"/>
  <c r="AF53" i="14" s="1"/>
  <c r="AE45" i="14"/>
  <c r="AF45" i="14" s="1"/>
  <c r="AE37" i="14"/>
  <c r="AF37" i="14" s="1"/>
  <c r="AE29" i="14"/>
  <c r="AF29" i="14" s="1"/>
  <c r="AE21" i="14"/>
  <c r="AF21" i="14" s="1"/>
  <c r="AE13" i="14"/>
  <c r="AF13" i="14" s="1"/>
  <c r="AE5" i="14"/>
  <c r="AF5" i="14" s="1"/>
  <c r="AE253" i="14"/>
  <c r="AE244" i="14"/>
  <c r="AF244" i="14" s="1"/>
  <c r="AE235" i="14"/>
  <c r="AF235" i="14" s="1"/>
  <c r="AE225" i="14"/>
  <c r="AF225" i="14" s="1"/>
  <c r="AE216" i="14"/>
  <c r="AF216" i="14" s="1"/>
  <c r="AE207" i="14"/>
  <c r="AF207" i="14" s="1"/>
  <c r="AE198" i="14"/>
  <c r="AF198" i="14" s="1"/>
  <c r="AE189" i="14"/>
  <c r="AF189" i="14" s="1"/>
  <c r="AE180" i="14"/>
  <c r="AE171" i="14"/>
  <c r="AF171" i="14" s="1"/>
  <c r="AE161" i="14"/>
  <c r="AF161" i="14" s="1"/>
  <c r="AE152" i="14"/>
  <c r="AF152" i="14" s="1"/>
  <c r="AE143" i="14"/>
  <c r="AF143" i="14" s="1"/>
  <c r="AE134" i="14"/>
  <c r="AF134" i="14" s="1"/>
  <c r="AE125" i="14"/>
  <c r="AF125" i="14" s="1"/>
  <c r="AE116" i="14"/>
  <c r="AF116" i="14" s="1"/>
  <c r="AE107" i="14"/>
  <c r="AF107" i="14" s="1"/>
  <c r="AE99" i="14"/>
  <c r="AF99" i="14" s="1"/>
  <c r="AE91" i="14"/>
  <c r="AF91" i="14" s="1"/>
  <c r="AE83" i="14"/>
  <c r="AF83" i="14" s="1"/>
  <c r="AE75" i="14"/>
  <c r="AF75" i="14" s="1"/>
  <c r="AE67" i="14"/>
  <c r="AF67" i="14" s="1"/>
  <c r="AE59" i="14"/>
  <c r="AF59" i="14" s="1"/>
  <c r="AE51" i="14"/>
  <c r="AF51" i="14" s="1"/>
  <c r="AE43" i="14"/>
  <c r="AF43" i="14" s="1"/>
  <c r="AE35" i="14"/>
  <c r="AF35" i="14" s="1"/>
  <c r="AE27" i="14"/>
  <c r="AF27" i="14" s="1"/>
  <c r="AE19" i="14"/>
  <c r="AF19" i="14" s="1"/>
  <c r="AE11" i="14"/>
  <c r="AF11" i="14" s="1"/>
  <c r="AE3" i="14"/>
  <c r="AF3" i="14" s="1"/>
  <c r="AE14" i="14"/>
  <c r="AF14" i="14" s="1"/>
  <c r="AE26" i="14"/>
  <c r="AF26" i="14" s="1"/>
  <c r="AE40" i="14"/>
  <c r="AE52" i="14"/>
  <c r="AF52" i="14" s="1"/>
  <c r="AE65" i="14"/>
  <c r="AF65" i="14" s="1"/>
  <c r="AE78" i="14"/>
  <c r="AF78" i="14" s="1"/>
  <c r="AE90" i="14"/>
  <c r="AF90" i="14" s="1"/>
  <c r="AE104" i="14"/>
  <c r="AF104" i="14" s="1"/>
  <c r="AE117" i="14"/>
  <c r="AF117" i="14" s="1"/>
  <c r="AE132" i="14"/>
  <c r="AF132" i="14" s="1"/>
  <c r="AE147" i="14"/>
  <c r="AF147" i="14" s="1"/>
  <c r="AE160" i="14"/>
  <c r="AF160" i="14" s="1"/>
  <c r="AE176" i="14"/>
  <c r="AF176" i="14" s="1"/>
  <c r="AE190" i="14"/>
  <c r="AF190" i="14" s="1"/>
  <c r="AE205" i="14"/>
  <c r="AF205" i="14" s="1"/>
  <c r="AE220" i="14"/>
  <c r="AF220" i="14" s="1"/>
  <c r="AE233" i="14"/>
  <c r="AF233" i="14" s="1"/>
  <c r="AE249" i="14"/>
  <c r="AF249" i="14" s="1"/>
  <c r="AG8" i="14"/>
  <c r="AH8" i="14" s="1"/>
  <c r="AG23" i="14"/>
  <c r="AG39" i="14"/>
  <c r="AH39" i="14" s="1"/>
  <c r="AG55" i="14"/>
  <c r="AG73" i="14"/>
  <c r="AG93" i="14"/>
  <c r="AH93" i="14" s="1"/>
  <c r="AG113" i="14"/>
  <c r="AG136" i="14"/>
  <c r="AH136" i="14" s="1"/>
  <c r="AG161" i="14"/>
  <c r="AG186" i="14"/>
  <c r="AH186" i="14" s="1"/>
  <c r="AG214" i="14"/>
  <c r="AH214" i="14" s="1"/>
  <c r="AG239" i="14"/>
  <c r="AH239" i="14" s="1"/>
  <c r="AI9" i="14"/>
  <c r="AJ9" i="14" s="1"/>
  <c r="AI34" i="14"/>
  <c r="AJ34" i="14" s="1"/>
  <c r="AI59" i="14"/>
  <c r="AJ59" i="14" s="1"/>
  <c r="AI87" i="14"/>
  <c r="AJ87" i="14" s="1"/>
  <c r="AI112" i="14"/>
  <c r="AJ112" i="14" s="1"/>
  <c r="AI137" i="14"/>
  <c r="AJ137" i="14" s="1"/>
  <c r="AI162" i="14"/>
  <c r="AJ162" i="14" s="1"/>
  <c r="AI187" i="14"/>
  <c r="AJ187" i="14" s="1"/>
  <c r="AI219" i="14"/>
  <c r="AJ219" i="14" s="1"/>
  <c r="AI251" i="14"/>
  <c r="AJ251" i="14" s="1"/>
  <c r="AK28" i="14"/>
  <c r="AL28" i="14" s="1"/>
  <c r="AK62" i="14"/>
  <c r="AL62" i="14" s="1"/>
  <c r="AK103" i="14"/>
  <c r="AL103" i="14" s="1"/>
  <c r="AK146" i="14"/>
  <c r="AL146" i="14" s="1"/>
  <c r="AK188" i="14"/>
  <c r="AL188" i="14" s="1"/>
  <c r="AK231" i="14"/>
  <c r="AL231" i="14" s="1"/>
  <c r="AL3" i="14"/>
  <c r="V46" i="14"/>
  <c r="AA9" i="14"/>
  <c r="AB9" i="14" s="1"/>
  <c r="AA17" i="14"/>
  <c r="AB17" i="14" s="1"/>
  <c r="AA25" i="14"/>
  <c r="AB25" i="14" s="1"/>
  <c r="AA33" i="14"/>
  <c r="AB33" i="14" s="1"/>
  <c r="AA41" i="14"/>
  <c r="AB41" i="14" s="1"/>
  <c r="AA49" i="14"/>
  <c r="AB49" i="14" s="1"/>
  <c r="AA57" i="14"/>
  <c r="AB57" i="14" s="1"/>
  <c r="AA65" i="14"/>
  <c r="AB65" i="14" s="1"/>
  <c r="AA73" i="14"/>
  <c r="AB73" i="14" s="1"/>
  <c r="AA81" i="14"/>
  <c r="AB81" i="14" s="1"/>
  <c r="AA89" i="14"/>
  <c r="AB89" i="14" s="1"/>
  <c r="AA97" i="14"/>
  <c r="AB97" i="14" s="1"/>
  <c r="AA105" i="14"/>
  <c r="AB105" i="14" s="1"/>
  <c r="AA113" i="14"/>
  <c r="AB113" i="14" s="1"/>
  <c r="AA121" i="14"/>
  <c r="AB121" i="14" s="1"/>
  <c r="AA129" i="14"/>
  <c r="AB129" i="14" s="1"/>
  <c r="AA137" i="14"/>
  <c r="AB137" i="14" s="1"/>
  <c r="AA145" i="14"/>
  <c r="AB145" i="14" s="1"/>
  <c r="AA153" i="14"/>
  <c r="AB153" i="14" s="1"/>
  <c r="AA161" i="14"/>
  <c r="AB161" i="14" s="1"/>
  <c r="AA169" i="14"/>
  <c r="AB169" i="14" s="1"/>
  <c r="AA177" i="14"/>
  <c r="AB177" i="14" s="1"/>
  <c r="AA185" i="14"/>
  <c r="AB185" i="14" s="1"/>
  <c r="AA193" i="14"/>
  <c r="AB193" i="14" s="1"/>
  <c r="AA201" i="14"/>
  <c r="AB201" i="14" s="1"/>
  <c r="AA209" i="14"/>
  <c r="AB209" i="14" s="1"/>
  <c r="AA217" i="14"/>
  <c r="AB217" i="14" s="1"/>
  <c r="AA225" i="14"/>
  <c r="AB225" i="14" s="1"/>
  <c r="AA233" i="14"/>
  <c r="AB233" i="14" s="1"/>
  <c r="AA241" i="14"/>
  <c r="AB241" i="14" s="1"/>
  <c r="AA249" i="14"/>
  <c r="AB249" i="14" s="1"/>
  <c r="X4" i="14"/>
  <c r="Z21" i="14"/>
  <c r="AF32" i="14"/>
  <c r="AD37" i="14"/>
  <c r="X39" i="14"/>
  <c r="AF40" i="14"/>
  <c r="X50" i="14"/>
  <c r="Z4" i="14"/>
  <c r="AD161" i="14"/>
  <c r="AB252" i="14"/>
  <c r="AB254" i="14"/>
  <c r="AH63" i="14"/>
  <c r="AH71" i="14"/>
  <c r="AH79" i="14"/>
  <c r="AH183" i="14"/>
  <c r="W9" i="14"/>
  <c r="X9" i="14" s="1"/>
  <c r="W17" i="14"/>
  <c r="X17" i="14" s="1"/>
  <c r="W25" i="14"/>
  <c r="X25" i="14" s="1"/>
  <c r="W33" i="14"/>
  <c r="X33" i="14" s="1"/>
  <c r="W41" i="14"/>
  <c r="X41" i="14" s="1"/>
  <c r="W49" i="14"/>
  <c r="X49" i="14" s="1"/>
  <c r="W57" i="14"/>
  <c r="X57" i="14" s="1"/>
  <c r="W65" i="14"/>
  <c r="X65" i="14" s="1"/>
  <c r="W73" i="14"/>
  <c r="X73" i="14" s="1"/>
  <c r="W81" i="14"/>
  <c r="X81" i="14" s="1"/>
  <c r="W89" i="14"/>
  <c r="X89" i="14" s="1"/>
  <c r="W97" i="14"/>
  <c r="X97" i="14" s="1"/>
  <c r="W105" i="14"/>
  <c r="X105" i="14" s="1"/>
  <c r="W113" i="14"/>
  <c r="W121" i="14"/>
  <c r="X121" i="14" s="1"/>
  <c r="W129" i="14"/>
  <c r="X129" i="14" s="1"/>
  <c r="W137" i="14"/>
  <c r="X137" i="14" s="1"/>
  <c r="W145" i="14"/>
  <c r="X145" i="14" s="1"/>
  <c r="W153" i="14"/>
  <c r="X153" i="14" s="1"/>
  <c r="W161" i="14"/>
  <c r="X161" i="14" s="1"/>
  <c r="W169" i="14"/>
  <c r="X169" i="14" s="1"/>
  <c r="W177" i="14"/>
  <c r="X177" i="14" s="1"/>
  <c r="W185" i="14"/>
  <c r="X185" i="14" s="1"/>
  <c r="W193" i="14"/>
  <c r="X193" i="14" s="1"/>
  <c r="W201" i="14"/>
  <c r="X201" i="14" s="1"/>
  <c r="W209" i="14"/>
  <c r="X209" i="14" s="1"/>
  <c r="W217" i="14"/>
  <c r="X217" i="14" s="1"/>
  <c r="W225" i="14"/>
  <c r="X225" i="14" s="1"/>
  <c r="W233" i="14"/>
  <c r="X233" i="14" s="1"/>
  <c r="W241" i="14"/>
  <c r="W249" i="14"/>
  <c r="X249" i="14" s="1"/>
  <c r="AA3" i="14"/>
  <c r="AB3" i="14" s="1"/>
  <c r="AA11" i="14"/>
  <c r="AB11" i="14" s="1"/>
  <c r="AA19" i="14"/>
  <c r="AB19" i="14" s="1"/>
  <c r="AA27" i="14"/>
  <c r="AB27" i="14" s="1"/>
  <c r="AA35" i="14"/>
  <c r="AB35" i="14" s="1"/>
  <c r="AA43" i="14"/>
  <c r="AB43" i="14" s="1"/>
  <c r="AA51" i="14"/>
  <c r="AB51" i="14" s="1"/>
  <c r="AA59" i="14"/>
  <c r="AB59" i="14" s="1"/>
  <c r="AA67" i="14"/>
  <c r="AB67" i="14" s="1"/>
  <c r="AA75" i="14"/>
  <c r="AB75" i="14" s="1"/>
  <c r="AA83" i="14"/>
  <c r="AB83" i="14" s="1"/>
  <c r="AA91" i="14"/>
  <c r="AB91" i="14" s="1"/>
  <c r="AA99" i="14"/>
  <c r="AB99" i="14" s="1"/>
  <c r="AA107" i="14"/>
  <c r="AB107" i="14" s="1"/>
  <c r="AA115" i="14"/>
  <c r="AB115" i="14" s="1"/>
  <c r="AA123" i="14"/>
  <c r="AB123" i="14" s="1"/>
  <c r="AA131" i="14"/>
  <c r="AB131" i="14" s="1"/>
  <c r="AA139" i="14"/>
  <c r="AB139" i="14" s="1"/>
  <c r="AA147" i="14"/>
  <c r="AB147" i="14" s="1"/>
  <c r="AA155" i="14"/>
  <c r="AB155" i="14" s="1"/>
  <c r="AA163" i="14"/>
  <c r="AB163" i="14" s="1"/>
  <c r="AA171" i="14"/>
  <c r="AB171" i="14" s="1"/>
  <c r="AA179" i="14"/>
  <c r="AA187" i="14"/>
  <c r="AB187" i="14" s="1"/>
  <c r="AA195" i="14"/>
  <c r="AB195" i="14" s="1"/>
  <c r="AA203" i="14"/>
  <c r="AB203" i="14" s="1"/>
  <c r="AA211" i="14"/>
  <c r="AB211" i="14" s="1"/>
  <c r="AA219" i="14"/>
  <c r="AB219" i="14" s="1"/>
  <c r="AA227" i="14"/>
  <c r="AB227" i="14" s="1"/>
  <c r="AA235" i="14"/>
  <c r="AB235" i="14" s="1"/>
  <c r="AA243" i="14"/>
  <c r="AA251" i="14"/>
  <c r="AB251" i="14" s="1"/>
  <c r="Z31" i="14"/>
  <c r="V45" i="14"/>
  <c r="AB127" i="14"/>
  <c r="AF60" i="14"/>
  <c r="AB63" i="14"/>
  <c r="Q9" i="14"/>
  <c r="R9" i="14" s="1"/>
  <c r="Q17" i="14"/>
  <c r="R17" i="14" s="1"/>
  <c r="AH17" i="14" s="1"/>
  <c r="Q25" i="14"/>
  <c r="R25" i="14" s="1"/>
  <c r="Q33" i="14"/>
  <c r="R33" i="14" s="1"/>
  <c r="AH33" i="14" s="1"/>
  <c r="Q41" i="14"/>
  <c r="R41" i="14" s="1"/>
  <c r="AH41" i="14" s="1"/>
  <c r="Q49" i="14"/>
  <c r="R49" i="14" s="1"/>
  <c r="Q57" i="14"/>
  <c r="R57" i="14" s="1"/>
  <c r="Q65" i="14"/>
  <c r="R65" i="14" s="1"/>
  <c r="Q73" i="14"/>
  <c r="R73" i="14" s="1"/>
  <c r="Q81" i="14"/>
  <c r="R81" i="14" s="1"/>
  <c r="Q89" i="14"/>
  <c r="R89" i="14" s="1"/>
  <c r="Q97" i="14"/>
  <c r="R97" i="14" s="1"/>
  <c r="AH97" i="14" s="1"/>
  <c r="Q105" i="14"/>
  <c r="R105" i="14" s="1"/>
  <c r="AH105" i="14" s="1"/>
  <c r="Q113" i="14"/>
  <c r="R113" i="14" s="1"/>
  <c r="Q121" i="14"/>
  <c r="R121" i="14" s="1"/>
  <c r="Q129" i="14"/>
  <c r="R129" i="14" s="1"/>
  <c r="Q137" i="14"/>
  <c r="R137" i="14" s="1"/>
  <c r="Q145" i="14"/>
  <c r="R145" i="14" s="1"/>
  <c r="Q153" i="14"/>
  <c r="R153" i="14" s="1"/>
  <c r="Q161" i="14"/>
  <c r="R161" i="14" s="1"/>
  <c r="Q169" i="14"/>
  <c r="R169" i="14" s="1"/>
  <c r="Q177" i="14"/>
  <c r="R177" i="14" s="1"/>
  <c r="AH177" i="14" s="1"/>
  <c r="Q185" i="14"/>
  <c r="R185" i="14" s="1"/>
  <c r="Q193" i="14"/>
  <c r="R193" i="14" s="1"/>
  <c r="AH193" i="14" s="1"/>
  <c r="Q201" i="14"/>
  <c r="R201" i="14" s="1"/>
  <c r="Q209" i="14"/>
  <c r="R209" i="14" s="1"/>
  <c r="Q217" i="14"/>
  <c r="R217" i="14" s="1"/>
  <c r="Q225" i="14"/>
  <c r="R225" i="14" s="1"/>
  <c r="Q233" i="14"/>
  <c r="R233" i="14" s="1"/>
  <c r="AH233" i="14" s="1"/>
  <c r="Q241" i="14"/>
  <c r="R241" i="14" s="1"/>
  <c r="W3" i="14"/>
  <c r="X3" i="14" s="1"/>
  <c r="W11" i="14"/>
  <c r="X11" i="14" s="1"/>
  <c r="W19" i="14"/>
  <c r="X19" i="14" s="1"/>
  <c r="W27" i="14"/>
  <c r="X27" i="14" s="1"/>
  <c r="W35" i="14"/>
  <c r="X35" i="14" s="1"/>
  <c r="W43" i="14"/>
  <c r="X43" i="14" s="1"/>
  <c r="W51" i="14"/>
  <c r="X51" i="14" s="1"/>
  <c r="W59" i="14"/>
  <c r="X59" i="14" s="1"/>
  <c r="W67" i="14"/>
  <c r="X67" i="14" s="1"/>
  <c r="W75" i="14"/>
  <c r="X75" i="14" s="1"/>
  <c r="W83" i="14"/>
  <c r="X83" i="14" s="1"/>
  <c r="W91" i="14"/>
  <c r="X91" i="14" s="1"/>
  <c r="W99" i="14"/>
  <c r="X99" i="14" s="1"/>
  <c r="W107" i="14"/>
  <c r="X107" i="14" s="1"/>
  <c r="W115" i="14"/>
  <c r="X115" i="14" s="1"/>
  <c r="W123" i="14"/>
  <c r="W131" i="14"/>
  <c r="X131" i="14" s="1"/>
  <c r="W139" i="14"/>
  <c r="X139" i="14" s="1"/>
  <c r="W147" i="14"/>
  <c r="X147" i="14" s="1"/>
  <c r="W155" i="14"/>
  <c r="W163" i="14"/>
  <c r="X163" i="14" s="1"/>
  <c r="W171" i="14"/>
  <c r="X171" i="14" s="1"/>
  <c r="W179" i="14"/>
  <c r="X179" i="14" s="1"/>
  <c r="W187" i="14"/>
  <c r="X187" i="14" s="1"/>
  <c r="W195" i="14"/>
  <c r="X195" i="14" s="1"/>
  <c r="W203" i="14"/>
  <c r="X203" i="14" s="1"/>
  <c r="W211" i="14"/>
  <c r="X211" i="14" s="1"/>
  <c r="W219" i="14"/>
  <c r="X219" i="14" s="1"/>
  <c r="W227" i="14"/>
  <c r="X227" i="14" s="1"/>
  <c r="W235" i="14"/>
  <c r="X235" i="14" s="1"/>
  <c r="W243" i="14"/>
  <c r="X243" i="14" s="1"/>
  <c r="AA5" i="14"/>
  <c r="AB5" i="14" s="1"/>
  <c r="AA13" i="14"/>
  <c r="AB13" i="14" s="1"/>
  <c r="AA21" i="14"/>
  <c r="AB21" i="14" s="1"/>
  <c r="AA29" i="14"/>
  <c r="AB29" i="14" s="1"/>
  <c r="AA37" i="14"/>
  <c r="AB37" i="14" s="1"/>
  <c r="AA45" i="14"/>
  <c r="AB45" i="14" s="1"/>
  <c r="AA53" i="14"/>
  <c r="AB53" i="14" s="1"/>
  <c r="AA61" i="14"/>
  <c r="AB61" i="14" s="1"/>
  <c r="AA69" i="14"/>
  <c r="AB69" i="14" s="1"/>
  <c r="AA77" i="14"/>
  <c r="AB77" i="14" s="1"/>
  <c r="AA85" i="14"/>
  <c r="AB85" i="14" s="1"/>
  <c r="AA93" i="14"/>
  <c r="AB93" i="14" s="1"/>
  <c r="AA101" i="14"/>
  <c r="AB101" i="14" s="1"/>
  <c r="AA109" i="14"/>
  <c r="AB109" i="14" s="1"/>
  <c r="AA117" i="14"/>
  <c r="AB117" i="14" s="1"/>
  <c r="AA125" i="14"/>
  <c r="AB125" i="14" s="1"/>
  <c r="AA133" i="14"/>
  <c r="AB133" i="14" s="1"/>
  <c r="AA141" i="14"/>
  <c r="AB141" i="14" s="1"/>
  <c r="AA149" i="14"/>
  <c r="AB149" i="14" s="1"/>
  <c r="AA157" i="14"/>
  <c r="AB157" i="14" s="1"/>
  <c r="AA165" i="14"/>
  <c r="AB165" i="14" s="1"/>
  <c r="AA173" i="14"/>
  <c r="AB173" i="14" s="1"/>
  <c r="AA181" i="14"/>
  <c r="AB181" i="14" s="1"/>
  <c r="AA189" i="14"/>
  <c r="AB189" i="14" s="1"/>
  <c r="AA197" i="14"/>
  <c r="AB197" i="14" s="1"/>
  <c r="AA205" i="14"/>
  <c r="AB205" i="14" s="1"/>
  <c r="AA213" i="14"/>
  <c r="AB213" i="14" s="1"/>
  <c r="AA221" i="14"/>
  <c r="AB221" i="14" s="1"/>
  <c r="AA229" i="14"/>
  <c r="AB229" i="14" s="1"/>
  <c r="AA237" i="14"/>
  <c r="AB237" i="14" s="1"/>
  <c r="AA245" i="14"/>
  <c r="AB245" i="14" s="1"/>
  <c r="AD4" i="14"/>
  <c r="Z5" i="14"/>
  <c r="X37" i="14"/>
  <c r="Z56" i="14"/>
  <c r="AB82" i="14"/>
  <c r="AF46" i="14"/>
  <c r="AP87" i="14"/>
  <c r="X92" i="14"/>
  <c r="Z114" i="14"/>
  <c r="X122" i="14"/>
  <c r="X26" i="14"/>
  <c r="AD31" i="14"/>
  <c r="AB48" i="14"/>
  <c r="AB70" i="14"/>
  <c r="V87" i="14"/>
  <c r="AB130" i="14"/>
  <c r="X10" i="14"/>
  <c r="AL47" i="14"/>
  <c r="Z49" i="14"/>
  <c r="AB54" i="14"/>
  <c r="X68" i="14"/>
  <c r="X82" i="14"/>
  <c r="X96" i="14"/>
  <c r="Z135" i="14"/>
  <c r="AD23" i="14"/>
  <c r="V31" i="14"/>
  <c r="Z46" i="14"/>
  <c r="X52" i="14"/>
  <c r="AF57" i="14"/>
  <c r="AD71" i="14"/>
  <c r="Z74" i="14"/>
  <c r="AB80" i="14"/>
  <c r="X167" i="14"/>
  <c r="V3" i="14"/>
  <c r="V19" i="14"/>
  <c r="X42" i="14"/>
  <c r="AL43" i="14"/>
  <c r="V48" i="14"/>
  <c r="V53" i="14"/>
  <c r="V70" i="14"/>
  <c r="V77" i="14"/>
  <c r="X98" i="14"/>
  <c r="V130" i="14"/>
  <c r="AO52" i="14"/>
  <c r="AP52" i="14" s="1"/>
  <c r="AO61" i="14"/>
  <c r="AP61" i="14" s="1"/>
  <c r="AO70" i="14"/>
  <c r="AP70" i="14" s="1"/>
  <c r="AO79" i="14"/>
  <c r="AP79" i="14" s="1"/>
  <c r="AO89" i="14"/>
  <c r="AP89" i="14" s="1"/>
  <c r="AO98" i="14"/>
  <c r="AP98" i="14" s="1"/>
  <c r="AO107" i="14"/>
  <c r="AP107" i="14" s="1"/>
  <c r="AO116" i="14"/>
  <c r="AP116" i="14" s="1"/>
  <c r="AO125" i="14"/>
  <c r="AP125" i="14" s="1"/>
  <c r="AO134" i="14"/>
  <c r="AP134" i="14" s="1"/>
  <c r="AO143" i="14"/>
  <c r="AP143" i="14" s="1"/>
  <c r="AO153" i="14"/>
  <c r="AP153" i="14" s="1"/>
  <c r="AO162" i="14"/>
  <c r="AP162" i="14" s="1"/>
  <c r="AO171" i="14"/>
  <c r="AP171" i="14" s="1"/>
  <c r="AO180" i="14"/>
  <c r="AP180" i="14" s="1"/>
  <c r="AO192" i="14"/>
  <c r="AP192" i="14" s="1"/>
  <c r="AO203" i="14"/>
  <c r="AP203" i="14" s="1"/>
  <c r="AO216" i="14"/>
  <c r="AP216" i="14" s="1"/>
  <c r="AO229" i="14"/>
  <c r="AP229" i="14" s="1"/>
  <c r="AO241" i="14"/>
  <c r="AP241" i="14" s="1"/>
  <c r="AO253" i="14"/>
  <c r="AB60" i="14"/>
  <c r="AF62" i="14"/>
  <c r="V69" i="14"/>
  <c r="X93" i="14"/>
  <c r="V111" i="14"/>
  <c r="X123" i="14"/>
  <c r="AO53" i="14"/>
  <c r="AP53" i="14" s="1"/>
  <c r="AO62" i="14"/>
  <c r="AP62" i="14" s="1"/>
  <c r="AO71" i="14"/>
  <c r="AP71" i="14" s="1"/>
  <c r="AO81" i="14"/>
  <c r="AP81" i="14" s="1"/>
  <c r="AO90" i="14"/>
  <c r="AP90" i="14" s="1"/>
  <c r="AO99" i="14"/>
  <c r="AP99" i="14" s="1"/>
  <c r="AO108" i="14"/>
  <c r="AP108" i="14" s="1"/>
  <c r="AO117" i="14"/>
  <c r="AP117" i="14" s="1"/>
  <c r="AO126" i="14"/>
  <c r="AP126" i="14" s="1"/>
  <c r="AO135" i="14"/>
  <c r="AP135" i="14" s="1"/>
  <c r="AO145" i="14"/>
  <c r="AP145" i="14" s="1"/>
  <c r="AO154" i="14"/>
  <c r="AP154" i="14" s="1"/>
  <c r="AO163" i="14"/>
  <c r="AP163" i="14" s="1"/>
  <c r="AO172" i="14"/>
  <c r="AP172" i="14" s="1"/>
  <c r="AO181" i="14"/>
  <c r="AP181" i="14" s="1"/>
  <c r="AO193" i="14"/>
  <c r="AP193" i="14" s="1"/>
  <c r="AO205" i="14"/>
  <c r="AP205" i="14" s="1"/>
  <c r="AO218" i="14"/>
  <c r="AP218" i="14" s="1"/>
  <c r="AO231" i="14"/>
  <c r="AP231" i="14" s="1"/>
  <c r="AO242" i="14"/>
  <c r="AP242" i="14" s="1"/>
  <c r="V64" i="14"/>
  <c r="X79" i="14"/>
  <c r="X101" i="14"/>
  <c r="AD113" i="14"/>
  <c r="X124" i="14"/>
  <c r="V136" i="14"/>
  <c r="AD151" i="14"/>
  <c r="AB154" i="14"/>
  <c r="V202" i="14"/>
  <c r="AO57" i="14"/>
  <c r="AP57" i="14" s="1"/>
  <c r="AO66" i="14"/>
  <c r="AP66" i="14" s="1"/>
  <c r="AO75" i="14"/>
  <c r="AP75" i="14" s="1"/>
  <c r="AO84" i="14"/>
  <c r="AP84" i="14" s="1"/>
  <c r="AO93" i="14"/>
  <c r="AP93" i="14" s="1"/>
  <c r="AO102" i="14"/>
  <c r="AP102" i="14" s="1"/>
  <c r="AO111" i="14"/>
  <c r="AP111" i="14" s="1"/>
  <c r="AO121" i="14"/>
  <c r="AP121" i="14" s="1"/>
  <c r="AO130" i="14"/>
  <c r="AP130" i="14" s="1"/>
  <c r="AO139" i="14"/>
  <c r="AP139" i="14" s="1"/>
  <c r="AO148" i="14"/>
  <c r="AP148" i="14" s="1"/>
  <c r="AO157" i="14"/>
  <c r="AP157" i="14" s="1"/>
  <c r="AO166" i="14"/>
  <c r="AP166" i="14" s="1"/>
  <c r="AO175" i="14"/>
  <c r="AP175" i="14" s="1"/>
  <c r="AO186" i="14"/>
  <c r="AP186" i="14" s="1"/>
  <c r="AO199" i="14"/>
  <c r="AP199" i="14" s="1"/>
  <c r="AO210" i="14"/>
  <c r="AP210" i="14" s="1"/>
  <c r="AO223" i="14"/>
  <c r="AP223" i="14" s="1"/>
  <c r="AO234" i="14"/>
  <c r="AP234" i="14" s="1"/>
  <c r="Z62" i="14"/>
  <c r="V74" i="14"/>
  <c r="X84" i="14"/>
  <c r="AD100" i="14"/>
  <c r="X109" i="14"/>
  <c r="X126" i="14"/>
  <c r="AO254" i="14"/>
  <c r="AP254" i="14" s="1"/>
  <c r="AO246" i="14"/>
  <c r="AP246" i="14" s="1"/>
  <c r="AO238" i="14"/>
  <c r="AO230" i="14"/>
  <c r="AP230" i="14" s="1"/>
  <c r="AO222" i="14"/>
  <c r="AP222" i="14" s="1"/>
  <c r="AO214" i="14"/>
  <c r="AP214" i="14" s="1"/>
  <c r="AO206" i="14"/>
  <c r="AP206" i="14" s="1"/>
  <c r="AO198" i="14"/>
  <c r="AP198" i="14" s="1"/>
  <c r="AO190" i="14"/>
  <c r="AP190" i="14" s="1"/>
  <c r="AO182" i="14"/>
  <c r="AP182" i="14" s="1"/>
  <c r="AO252" i="14"/>
  <c r="AP252" i="14" s="1"/>
  <c r="AO244" i="14"/>
  <c r="AP244" i="14" s="1"/>
  <c r="AO236" i="14"/>
  <c r="AP236" i="14" s="1"/>
  <c r="AO228" i="14"/>
  <c r="AP228" i="14" s="1"/>
  <c r="AO220" i="14"/>
  <c r="AP220" i="14" s="1"/>
  <c r="AO212" i="14"/>
  <c r="AP212" i="14" s="1"/>
  <c r="AO204" i="14"/>
  <c r="AP204" i="14" s="1"/>
  <c r="AO196" i="14"/>
  <c r="AP196" i="14" s="1"/>
  <c r="AO188" i="14"/>
  <c r="AP188" i="14" s="1"/>
  <c r="AO249" i="14"/>
  <c r="AP249" i="14" s="1"/>
  <c r="AO239" i="14"/>
  <c r="AP239" i="14" s="1"/>
  <c r="AO227" i="14"/>
  <c r="AP227" i="14" s="1"/>
  <c r="AO217" i="14"/>
  <c r="AP217" i="14" s="1"/>
  <c r="AO207" i="14"/>
  <c r="AP207" i="14" s="1"/>
  <c r="AO195" i="14"/>
  <c r="AP195" i="14" s="1"/>
  <c r="AO185" i="14"/>
  <c r="AO176" i="14"/>
  <c r="AP176" i="14" s="1"/>
  <c r="AO168" i="14"/>
  <c r="AP168" i="14" s="1"/>
  <c r="AO160" i="14"/>
  <c r="AP160" i="14" s="1"/>
  <c r="AO152" i="14"/>
  <c r="AP152" i="14" s="1"/>
  <c r="AO144" i="14"/>
  <c r="AP144" i="14" s="1"/>
  <c r="AO136" i="14"/>
  <c r="AP136" i="14" s="1"/>
  <c r="AO128" i="14"/>
  <c r="AP128" i="14" s="1"/>
  <c r="AO120" i="14"/>
  <c r="AP120" i="14" s="1"/>
  <c r="AO112" i="14"/>
  <c r="AP112" i="14" s="1"/>
  <c r="AO104" i="14"/>
  <c r="AP104" i="14" s="1"/>
  <c r="AO96" i="14"/>
  <c r="AP96" i="14" s="1"/>
  <c r="AO88" i="14"/>
  <c r="AP88" i="14" s="1"/>
  <c r="AO80" i="14"/>
  <c r="AP80" i="14" s="1"/>
  <c r="AO72" i="14"/>
  <c r="AP72" i="14" s="1"/>
  <c r="AO64" i="14"/>
  <c r="AP64" i="14" s="1"/>
  <c r="AO56" i="14"/>
  <c r="AP56" i="14" s="1"/>
  <c r="AO58" i="14"/>
  <c r="AP58" i="14" s="1"/>
  <c r="AO67" i="14"/>
  <c r="AP67" i="14" s="1"/>
  <c r="AO76" i="14"/>
  <c r="AP76" i="14" s="1"/>
  <c r="AO85" i="14"/>
  <c r="AP85" i="14" s="1"/>
  <c r="AO94" i="14"/>
  <c r="AP94" i="14" s="1"/>
  <c r="AO103" i="14"/>
  <c r="AP103" i="14" s="1"/>
  <c r="AO113" i="14"/>
  <c r="AP113" i="14" s="1"/>
  <c r="AO122" i="14"/>
  <c r="AP122" i="14" s="1"/>
  <c r="AO131" i="14"/>
  <c r="AP131" i="14" s="1"/>
  <c r="AO140" i="14"/>
  <c r="AP140" i="14" s="1"/>
  <c r="AO149" i="14"/>
  <c r="AP149" i="14" s="1"/>
  <c r="AO158" i="14"/>
  <c r="AP158" i="14" s="1"/>
  <c r="AO167" i="14"/>
  <c r="AP167" i="14" s="1"/>
  <c r="AO177" i="14"/>
  <c r="AP177" i="14" s="1"/>
  <c r="AO187" i="14"/>
  <c r="AP187" i="14" s="1"/>
  <c r="AO200" i="14"/>
  <c r="AP200" i="14" s="1"/>
  <c r="AO211" i="14"/>
  <c r="AP211" i="14" s="1"/>
  <c r="AO224" i="14"/>
  <c r="AP224" i="14" s="1"/>
  <c r="AO235" i="14"/>
  <c r="AP235" i="14" s="1"/>
  <c r="AO248" i="14"/>
  <c r="AP248" i="14" s="1"/>
  <c r="AB64" i="14"/>
  <c r="V82" i="14"/>
  <c r="AL91" i="14"/>
  <c r="X95" i="14"/>
  <c r="AP95" i="14"/>
  <c r="X113" i="14"/>
  <c r="V114" i="14"/>
  <c r="AF141" i="14"/>
  <c r="X151" i="14"/>
  <c r="X78" i="14"/>
  <c r="Z79" i="14"/>
  <c r="AL89" i="14"/>
  <c r="AF106" i="14"/>
  <c r="AP115" i="14"/>
  <c r="Z120" i="14"/>
  <c r="AB164" i="14"/>
  <c r="V178" i="14"/>
  <c r="AL241" i="14"/>
  <c r="X62" i="14"/>
  <c r="AF66" i="14"/>
  <c r="AL69" i="14"/>
  <c r="AF70" i="14"/>
  <c r="AP73" i="14"/>
  <c r="AB76" i="14"/>
  <c r="AF80" i="14"/>
  <c r="AF86" i="14"/>
  <c r="AL98" i="14"/>
  <c r="AF102" i="14"/>
  <c r="Z133" i="14"/>
  <c r="V134" i="14"/>
  <c r="AB138" i="14"/>
  <c r="AB148" i="14"/>
  <c r="X150" i="14"/>
  <c r="AB174" i="14"/>
  <c r="X60" i="14"/>
  <c r="AD69" i="14"/>
  <c r="Z81" i="14"/>
  <c r="AD85" i="14"/>
  <c r="AB88" i="14"/>
  <c r="X103" i="14"/>
  <c r="AB104" i="14"/>
  <c r="AB110" i="14"/>
  <c r="Z116" i="14"/>
  <c r="AD130" i="14"/>
  <c r="AB166" i="14"/>
  <c r="AF227" i="14"/>
  <c r="AB62" i="14"/>
  <c r="AF64" i="14"/>
  <c r="Z67" i="14"/>
  <c r="Z87" i="14"/>
  <c r="AL97" i="14"/>
  <c r="AF114" i="14"/>
  <c r="Z119" i="14"/>
  <c r="AF126" i="14"/>
  <c r="X127" i="14"/>
  <c r="AP137" i="14"/>
  <c r="AP174" i="14"/>
  <c r="Z59" i="14"/>
  <c r="AP63" i="14"/>
  <c r="AF72" i="14"/>
  <c r="V89" i="14"/>
  <c r="AL90" i="14"/>
  <c r="Z99" i="14"/>
  <c r="AB100" i="14"/>
  <c r="AL106" i="14"/>
  <c r="Z115" i="14"/>
  <c r="AP123" i="14"/>
  <c r="AF128" i="14"/>
  <c r="AD139" i="14"/>
  <c r="V148" i="14"/>
  <c r="AL141" i="14"/>
  <c r="AF154" i="14"/>
  <c r="X155" i="14"/>
  <c r="AF163" i="14"/>
  <c r="AD194" i="14"/>
  <c r="X142" i="14"/>
  <c r="AP147" i="14"/>
  <c r="AF183" i="14"/>
  <c r="V193" i="14"/>
  <c r="X130" i="14"/>
  <c r="V137" i="14"/>
  <c r="X138" i="14"/>
  <c r="AD149" i="14"/>
  <c r="X152" i="14"/>
  <c r="X168" i="14"/>
  <c r="X172" i="14"/>
  <c r="X182" i="14"/>
  <c r="AF214" i="14"/>
  <c r="AB140" i="14"/>
  <c r="AD157" i="14"/>
  <c r="AD162" i="14"/>
  <c r="AP185" i="14"/>
  <c r="V198" i="14"/>
  <c r="AF200" i="14"/>
  <c r="X210" i="14"/>
  <c r="X238" i="14"/>
  <c r="AF248" i="14"/>
  <c r="AB132" i="14"/>
  <c r="AP133" i="14"/>
  <c r="X136" i="14"/>
  <c r="AB146" i="14"/>
  <c r="AL158" i="14"/>
  <c r="AD176" i="14"/>
  <c r="V213" i="14"/>
  <c r="AP215" i="14"/>
  <c r="Z175" i="14"/>
  <c r="V194" i="14"/>
  <c r="V174" i="14"/>
  <c r="AB175" i="14"/>
  <c r="V176" i="14"/>
  <c r="X178" i="14"/>
  <c r="AB179" i="14"/>
  <c r="AB198" i="14"/>
  <c r="V208" i="14"/>
  <c r="AP226" i="14"/>
  <c r="AD230" i="14"/>
  <c r="X165" i="14"/>
  <c r="X174" i="14"/>
  <c r="AF177" i="14"/>
  <c r="AD198" i="14"/>
  <c r="AP219" i="14"/>
  <c r="AF253" i="14"/>
  <c r="AP170" i="14"/>
  <c r="Z174" i="14"/>
  <c r="AF175" i="14"/>
  <c r="AB206" i="14"/>
  <c r="AP238" i="14"/>
  <c r="AF240" i="14"/>
  <c r="Z181" i="14"/>
  <c r="AF188" i="14"/>
  <c r="V200" i="14"/>
  <c r="AF213" i="14"/>
  <c r="AB214" i="14"/>
  <c r="AB222" i="14"/>
  <c r="AD233" i="14"/>
  <c r="Z250" i="14"/>
  <c r="V251" i="14"/>
  <c r="V189" i="14"/>
  <c r="V192" i="14"/>
  <c r="X200" i="14"/>
  <c r="AF229" i="14"/>
  <c r="AB230" i="14"/>
  <c r="V240" i="14"/>
  <c r="AP243" i="14"/>
  <c r="AF180" i="14"/>
  <c r="X213" i="14"/>
  <c r="AL220" i="14"/>
  <c r="X221" i="14"/>
  <c r="V225" i="14"/>
  <c r="Z240" i="14"/>
  <c r="X206" i="14"/>
  <c r="V245" i="14"/>
  <c r="AP189" i="14"/>
  <c r="AF211" i="14"/>
  <c r="AL213" i="14"/>
  <c r="X222" i="14"/>
  <c r="AD227" i="14"/>
  <c r="AB236" i="14"/>
  <c r="V238" i="14"/>
  <c r="AB243" i="14"/>
  <c r="X253" i="14"/>
  <c r="V204" i="14"/>
  <c r="X212" i="14"/>
  <c r="Z219" i="14"/>
  <c r="Z222" i="14"/>
  <c r="X241" i="14"/>
  <c r="AD200" i="14"/>
  <c r="AD216" i="14"/>
  <c r="X224" i="14"/>
  <c r="AD232" i="14"/>
  <c r="AB202" i="14"/>
  <c r="AL204" i="14"/>
  <c r="V220" i="14"/>
  <c r="V239" i="14"/>
  <c r="X246" i="14"/>
  <c r="Z211" i="14"/>
  <c r="AD215" i="14"/>
  <c r="X220" i="14"/>
  <c r="Z246" i="14"/>
  <c r="AD247" i="14"/>
  <c r="X216" i="14"/>
  <c r="Z217" i="14"/>
  <c r="AD224" i="14"/>
  <c r="Z233" i="14"/>
  <c r="AP237" i="14"/>
  <c r="Z249" i="14"/>
  <c r="AP253" i="14"/>
  <c r="AH117" i="14" l="1"/>
  <c r="AH111" i="14"/>
  <c r="AH48" i="14"/>
  <c r="AH238" i="14"/>
  <c r="AH59" i="14"/>
  <c r="AH92" i="14"/>
  <c r="AH157" i="14"/>
  <c r="AH114" i="15"/>
  <c r="AH50" i="15"/>
  <c r="AH237" i="15"/>
  <c r="AH191" i="15"/>
  <c r="AH224" i="15"/>
  <c r="AH92" i="15"/>
  <c r="AH43" i="15"/>
  <c r="AH19" i="14"/>
  <c r="AH211" i="14"/>
  <c r="AH90" i="15"/>
  <c r="AH26" i="15"/>
  <c r="AH167" i="15"/>
  <c r="AH39" i="15"/>
  <c r="AH147" i="15"/>
  <c r="AH19" i="15"/>
  <c r="AH65" i="14"/>
  <c r="AH87" i="14"/>
  <c r="AH64" i="14"/>
  <c r="AH90" i="14"/>
  <c r="AH27" i="14"/>
  <c r="AH188" i="14"/>
  <c r="AH159" i="15"/>
  <c r="AH124" i="15"/>
  <c r="AH60" i="15"/>
  <c r="AH204" i="15"/>
  <c r="AH239" i="15"/>
  <c r="AH173" i="14"/>
  <c r="AH241" i="14"/>
  <c r="AH132" i="14"/>
  <c r="AH151" i="15"/>
  <c r="AH23" i="15"/>
  <c r="AH251" i="15"/>
  <c r="AH169" i="14"/>
  <c r="AH66" i="14"/>
  <c r="AH226" i="14"/>
  <c r="AH205" i="14"/>
  <c r="AH130" i="15"/>
  <c r="AH66" i="15"/>
  <c r="AH143" i="15"/>
  <c r="AH44" i="15"/>
  <c r="AH74" i="14"/>
  <c r="AH127" i="14"/>
  <c r="AH88" i="14"/>
  <c r="AH85" i="14"/>
  <c r="AD255" i="15"/>
  <c r="B7" i="17"/>
  <c r="H19" i="18" s="1"/>
  <c r="AH101" i="14"/>
  <c r="AH51" i="14"/>
  <c r="V255" i="14"/>
  <c r="G4" i="18" s="1"/>
  <c r="B7" i="16"/>
  <c r="B6" i="16"/>
  <c r="B4" i="16"/>
  <c r="B8" i="16"/>
  <c r="B3" i="16"/>
  <c r="B9" i="16"/>
  <c r="B10" i="16"/>
  <c r="G22" i="18" s="1"/>
  <c r="AH155" i="15"/>
  <c r="AH215" i="15"/>
  <c r="AH162" i="15"/>
  <c r="X255" i="15"/>
  <c r="B3" i="17"/>
  <c r="H16" i="18" s="1"/>
  <c r="AL255" i="15"/>
  <c r="B5" i="17"/>
  <c r="H18" i="18" s="1"/>
  <c r="AH194" i="15"/>
  <c r="AH256" i="15"/>
  <c r="H10" i="18"/>
  <c r="AH83" i="15"/>
  <c r="AH246" i="14"/>
  <c r="AH138" i="14"/>
  <c r="AP255" i="14"/>
  <c r="AP256" i="14" s="1"/>
  <c r="G11" i="18" s="1"/>
  <c r="B11" i="16"/>
  <c r="G23" i="18" s="1"/>
  <c r="AH72" i="15"/>
  <c r="AH217" i="14"/>
  <c r="AH89" i="14"/>
  <c r="AP255" i="15"/>
  <c r="B11" i="17"/>
  <c r="H23" i="18" s="1"/>
  <c r="AH75" i="15"/>
  <c r="AH231" i="15"/>
  <c r="AH14" i="14"/>
  <c r="AH61" i="14"/>
  <c r="G10" i="18"/>
  <c r="AH216" i="15"/>
  <c r="AH108" i="15"/>
  <c r="AH137" i="14"/>
  <c r="AH174" i="14"/>
  <c r="AH12" i="14"/>
  <c r="AH106" i="15"/>
  <c r="AH47" i="15"/>
  <c r="AH100" i="15"/>
  <c r="AH123" i="15"/>
  <c r="AH211" i="15"/>
  <c r="AH124" i="14"/>
  <c r="AH103" i="15"/>
  <c r="AB256" i="15"/>
  <c r="H7" i="18" s="1"/>
  <c r="AH156" i="15"/>
  <c r="AH247" i="14"/>
  <c r="AH197" i="14"/>
  <c r="AL255" i="14"/>
  <c r="B5" i="16"/>
  <c r="AH227" i="15"/>
  <c r="AH84" i="15"/>
  <c r="AH107" i="15"/>
  <c r="AH126" i="14"/>
  <c r="AH242" i="14"/>
  <c r="AH95" i="14"/>
  <c r="V255" i="15"/>
  <c r="H4" i="18" s="1"/>
  <c r="B6" i="17"/>
  <c r="B4" i="17"/>
  <c r="H17" i="18" s="1"/>
  <c r="B10" i="17"/>
  <c r="H22" i="18" s="1"/>
  <c r="B8" i="17"/>
  <c r="H20" i="18" s="1"/>
  <c r="B9" i="17"/>
  <c r="H21" i="18" s="1"/>
  <c r="AH248" i="15"/>
  <c r="AH224" i="14"/>
  <c r="AH151" i="14"/>
  <c r="AH40" i="14"/>
  <c r="AH250" i="14"/>
  <c r="AH60" i="14"/>
  <c r="AH58" i="15"/>
  <c r="AH119" i="15"/>
  <c r="AH208" i="15"/>
  <c r="AH116" i="15"/>
  <c r="AH238" i="15"/>
  <c r="AH169" i="15"/>
  <c r="AH105" i="15"/>
  <c r="AH41" i="15"/>
  <c r="AH69" i="14"/>
  <c r="AH16" i="15"/>
  <c r="AH32" i="15"/>
  <c r="AH42" i="15"/>
  <c r="AH190" i="14"/>
  <c r="AH175" i="14"/>
  <c r="AH235" i="14"/>
  <c r="AH59" i="15"/>
  <c r="AH247" i="15"/>
  <c r="AH240" i="15"/>
  <c r="AH40" i="15"/>
  <c r="AH73" i="14"/>
  <c r="AH37" i="14"/>
  <c r="AH244" i="15"/>
  <c r="AH115" i="15"/>
  <c r="AH26" i="14"/>
  <c r="AH22" i="14"/>
  <c r="AH82" i="15"/>
  <c r="AH12" i="15"/>
  <c r="AH200" i="14"/>
  <c r="AH110" i="14"/>
  <c r="AH203" i="14"/>
  <c r="AH243" i="15"/>
  <c r="AH207" i="15"/>
  <c r="AH55" i="14"/>
  <c r="AH76" i="14"/>
  <c r="AH10" i="15"/>
  <c r="AH190" i="15"/>
  <c r="AH126" i="15"/>
  <c r="AH62" i="15"/>
  <c r="AH213" i="15"/>
  <c r="AH135" i="14"/>
  <c r="AH62" i="14"/>
  <c r="AH243" i="14"/>
  <c r="AH170" i="14"/>
  <c r="AH96" i="14"/>
  <c r="AH23" i="14"/>
  <c r="AH220" i="14"/>
  <c r="AH147" i="14"/>
  <c r="AH136" i="15"/>
  <c r="AH96" i="15"/>
  <c r="AH56" i="15"/>
  <c r="AH15" i="14"/>
  <c r="AH212" i="14"/>
  <c r="AH149" i="14"/>
  <c r="AH135" i="15"/>
  <c r="AH7" i="15"/>
  <c r="AH253" i="15"/>
  <c r="AH182" i="15"/>
  <c r="AH118" i="15"/>
  <c r="AH54" i="15"/>
  <c r="AH206" i="15"/>
  <c r="AH132" i="15"/>
  <c r="AH4" i="15"/>
  <c r="AH177" i="15"/>
  <c r="AH113" i="15"/>
  <c r="AH49" i="15"/>
  <c r="AH244" i="14"/>
  <c r="AH171" i="14"/>
  <c r="AH196" i="14"/>
  <c r="AH123" i="14"/>
  <c r="AH104" i="15"/>
  <c r="AH64" i="15"/>
  <c r="AH24" i="15"/>
  <c r="AH209" i="14"/>
  <c r="AH162" i="14"/>
  <c r="AH3" i="14"/>
  <c r="AH235" i="15"/>
  <c r="AH191" i="14"/>
  <c r="AH215" i="14"/>
  <c r="AH46" i="14"/>
  <c r="AH213" i="14"/>
  <c r="AH176" i="15"/>
  <c r="AH219" i="15"/>
  <c r="AH11" i="14"/>
  <c r="AH44" i="14"/>
  <c r="AH175" i="15"/>
  <c r="AH242" i="15"/>
  <c r="AH250" i="15"/>
  <c r="AH245" i="14"/>
  <c r="AH144" i="15"/>
  <c r="AH203" i="15"/>
  <c r="AH8" i="15"/>
  <c r="AH228" i="15"/>
  <c r="AH184" i="15"/>
  <c r="AH129" i="14"/>
  <c r="AH120" i="14"/>
  <c r="AH222" i="14"/>
  <c r="AH236" i="15"/>
  <c r="AH173" i="15"/>
  <c r="AH109" i="15"/>
  <c r="AH45" i="15"/>
  <c r="AH145" i="15"/>
  <c r="AH81" i="15"/>
  <c r="AH17" i="15"/>
  <c r="AH163" i="14"/>
  <c r="AH20" i="14"/>
  <c r="AH159" i="14"/>
  <c r="AH13" i="14"/>
  <c r="AH112" i="15"/>
  <c r="AH192" i="15"/>
  <c r="AH152" i="15"/>
  <c r="AH57" i="14"/>
  <c r="AH165" i="15"/>
  <c r="AH101" i="15"/>
  <c r="AH37" i="15"/>
  <c r="AH91" i="14"/>
  <c r="AH18" i="14"/>
  <c r="AH198" i="14"/>
  <c r="AH223" i="14"/>
  <c r="AH150" i="14"/>
  <c r="AH77" i="14"/>
  <c r="AH4" i="14"/>
  <c r="AH80" i="15"/>
  <c r="AH160" i="15"/>
  <c r="AH120" i="15"/>
  <c r="AH114" i="14"/>
  <c r="AH210" i="15"/>
  <c r="AH27" i="15"/>
  <c r="AH252" i="14"/>
  <c r="AH106" i="14"/>
  <c r="AH156" i="14"/>
  <c r="AH10" i="14"/>
  <c r="AH152" i="14"/>
  <c r="AH84" i="14"/>
  <c r="AH48" i="15"/>
  <c r="AH168" i="15"/>
  <c r="AH128" i="15"/>
  <c r="AH88" i="15"/>
  <c r="AH234" i="15"/>
  <c r="AH153" i="14"/>
  <c r="AH184" i="14"/>
  <c r="AH204" i="14"/>
  <c r="AH218" i="15"/>
  <c r="AH174" i="15"/>
  <c r="AH110" i="15"/>
  <c r="AH46" i="15"/>
  <c r="AH225" i="15"/>
  <c r="AH157" i="15"/>
  <c r="AH93" i="15"/>
  <c r="AH29" i="15"/>
  <c r="AH233" i="15"/>
  <c r="AH229" i="15"/>
  <c r="AH161" i="15"/>
  <c r="AH97" i="15"/>
  <c r="AH33" i="15"/>
  <c r="AH222" i="15"/>
  <c r="AH86" i="14"/>
  <c r="AH99" i="14"/>
  <c r="AH179" i="14"/>
  <c r="AH209" i="15"/>
  <c r="AH166" i="15"/>
  <c r="AH102" i="15"/>
  <c r="AH38" i="15"/>
  <c r="AH149" i="15"/>
  <c r="AH85" i="15"/>
  <c r="AH21" i="15"/>
  <c r="AH153" i="15"/>
  <c r="AH89" i="15"/>
  <c r="AH25" i="15"/>
  <c r="AH5" i="14"/>
  <c r="AH128" i="14"/>
  <c r="AH158" i="15"/>
  <c r="AH30" i="15"/>
  <c r="AH141" i="15"/>
  <c r="AH192" i="14"/>
  <c r="AH125" i="14"/>
  <c r="AH16" i="14"/>
  <c r="AH98" i="14"/>
  <c r="AH194" i="14"/>
  <c r="AH58" i="14"/>
  <c r="AH67" i="14"/>
  <c r="AH131" i="14"/>
  <c r="AH164" i="14"/>
  <c r="AH229" i="14"/>
  <c r="AH217" i="15"/>
  <c r="AH150" i="15"/>
  <c r="AH86" i="15"/>
  <c r="AH22" i="15"/>
  <c r="AH197" i="15"/>
  <c r="AH133" i="15"/>
  <c r="AH69" i="15"/>
  <c r="AH5" i="15"/>
  <c r="AH205" i="15"/>
  <c r="AH202" i="15"/>
  <c r="AH137" i="15"/>
  <c r="AH73" i="15"/>
  <c r="AH9" i="15"/>
  <c r="AH45" i="14"/>
  <c r="AH53" i="14"/>
  <c r="AH206" i="14"/>
  <c r="AH47" i="14"/>
  <c r="AH102" i="14"/>
  <c r="AH201" i="14"/>
  <c r="AH9" i="14"/>
  <c r="AH226" i="15"/>
  <c r="AH77" i="15"/>
  <c r="AH214" i="15"/>
  <c r="AH185" i="14"/>
  <c r="AH232" i="14"/>
  <c r="AH54" i="14"/>
  <c r="AH103" i="14"/>
  <c r="AH134" i="14"/>
  <c r="AH82" i="14"/>
  <c r="AH176" i="14"/>
  <c r="AH75" i="14"/>
  <c r="AH172" i="14"/>
  <c r="AH236" i="14"/>
  <c r="AH237" i="14"/>
  <c r="AH254" i="15"/>
  <c r="AH142" i="15"/>
  <c r="AH78" i="15"/>
  <c r="AH14" i="15"/>
  <c r="AH189" i="15"/>
  <c r="AH125" i="15"/>
  <c r="AH61" i="15"/>
  <c r="AH241" i="15"/>
  <c r="AH193" i="15"/>
  <c r="AH129" i="15"/>
  <c r="AH65" i="15"/>
  <c r="AH178" i="14"/>
  <c r="AH29" i="14"/>
  <c r="AH94" i="15"/>
  <c r="AH13" i="15"/>
  <c r="AH113" i="14"/>
  <c r="AH49" i="14"/>
  <c r="AH207" i="14"/>
  <c r="AH248" i="14"/>
  <c r="AH83" i="14"/>
  <c r="AH52" i="14"/>
  <c r="AH245" i="15"/>
  <c r="AH198" i="15"/>
  <c r="AH134" i="15"/>
  <c r="AH70" i="15"/>
  <c r="AH6" i="15"/>
  <c r="AH181" i="15"/>
  <c r="AH117" i="15"/>
  <c r="AH53" i="15"/>
  <c r="AH185" i="15"/>
  <c r="AH121" i="15"/>
  <c r="AH57" i="15"/>
  <c r="AH168" i="14"/>
  <c r="AH121" i="14"/>
  <c r="AH225" i="14"/>
  <c r="AH161" i="14"/>
  <c r="AH25" i="14"/>
  <c r="AH145" i="14"/>
  <c r="AH81" i="14"/>
  <c r="AD256" i="14" l="1"/>
  <c r="G8" i="18" s="1"/>
  <c r="Z256" i="14"/>
  <c r="G6" i="18" s="1"/>
  <c r="AF256" i="15"/>
  <c r="H9" i="18" s="1"/>
  <c r="X256" i="14"/>
  <c r="G5" i="18" s="1"/>
  <c r="X256" i="15"/>
  <c r="H5" i="18" s="1"/>
  <c r="AB256" i="14"/>
  <c r="G7" i="18" s="1"/>
  <c r="AF256" i="14"/>
  <c r="G9" i="18" s="1"/>
  <c r="AP256" i="15"/>
  <c r="H11" i="18" s="1"/>
  <c r="AH256" i="14"/>
  <c r="Z256" i="15"/>
  <c r="H6" i="18" s="1"/>
  <c r="AD256" i="15"/>
  <c r="H8" i="18" s="1"/>
</calcChain>
</file>

<file path=xl/sharedStrings.xml><?xml version="1.0" encoding="utf-8"?>
<sst xmlns="http://schemas.openxmlformats.org/spreadsheetml/2006/main" count="926" uniqueCount="334">
  <si>
    <t>GDP</t>
    <phoneticPr fontId="2" type="noConversion"/>
  </si>
  <si>
    <t>consump</t>
    <phoneticPr fontId="2" type="noConversion"/>
  </si>
  <si>
    <t>invest</t>
    <phoneticPr fontId="2" type="noConversion"/>
  </si>
  <si>
    <t>gov</t>
    <phoneticPr fontId="2" type="noConversion"/>
  </si>
  <si>
    <t>export</t>
    <phoneticPr fontId="2" type="noConversion"/>
  </si>
  <si>
    <t>import</t>
    <phoneticPr fontId="2" type="noConversion"/>
  </si>
  <si>
    <t>trade balance</t>
    <phoneticPr fontId="2" type="noConversion"/>
  </si>
  <si>
    <t>capital</t>
    <phoneticPr fontId="2" type="noConversion"/>
  </si>
  <si>
    <t>labor</t>
  </si>
  <si>
    <t>pop</t>
    <phoneticPr fontId="2" type="noConversion"/>
  </si>
  <si>
    <t>GDP_pc</t>
    <phoneticPr fontId="2" type="noConversion"/>
  </si>
  <si>
    <t>consump_pc</t>
    <phoneticPr fontId="2" type="noConversion"/>
  </si>
  <si>
    <t>invest_pc</t>
    <phoneticPr fontId="2" type="noConversion"/>
  </si>
  <si>
    <t>gov_pc</t>
    <phoneticPr fontId="2" type="noConversion"/>
  </si>
  <si>
    <t>export_pc</t>
    <phoneticPr fontId="2" type="noConversion"/>
  </si>
  <si>
    <t>import_pc</t>
    <phoneticPr fontId="2" type="noConversion"/>
  </si>
  <si>
    <t>trade balance_pc</t>
    <phoneticPr fontId="2" type="noConversion"/>
  </si>
  <si>
    <t>'01-Jan-1960'</t>
  </si>
  <si>
    <t>'01-Apr-1960'</t>
  </si>
  <si>
    <t>'01-Jul-1960'</t>
  </si>
  <si>
    <t>'01-Oct-1960'</t>
  </si>
  <si>
    <t>'01-Jan-1961'</t>
  </si>
  <si>
    <t>'01-Apr-1961'</t>
  </si>
  <si>
    <t>'01-Jul-1961'</t>
  </si>
  <si>
    <t>'01-Oct-1961'</t>
  </si>
  <si>
    <t>'01-Jan-1962'</t>
  </si>
  <si>
    <t>'01-Apr-1962'</t>
  </si>
  <si>
    <t>'01-Jul-1962'</t>
  </si>
  <si>
    <t>'01-Oct-1962'</t>
  </si>
  <si>
    <t>'01-Jan-1963'</t>
  </si>
  <si>
    <t>'01-Apr-1963'</t>
  </si>
  <si>
    <t>'01-Jul-1963'</t>
  </si>
  <si>
    <t>'01-Oct-1963'</t>
  </si>
  <si>
    <t>'01-Jan-1964'</t>
  </si>
  <si>
    <t>'01-Apr-1964'</t>
  </si>
  <si>
    <t>'01-Jul-1964'</t>
  </si>
  <si>
    <t>'01-Oct-1964'</t>
  </si>
  <si>
    <t>'01-Jan-1965'</t>
  </si>
  <si>
    <t>'01-Apr-1965'</t>
  </si>
  <si>
    <t>'01-Jul-1965'</t>
  </si>
  <si>
    <t>'01-Oct-1965'</t>
  </si>
  <si>
    <t>'01-Jan-1966'</t>
  </si>
  <si>
    <t>'01-Apr-1966'</t>
  </si>
  <si>
    <t>'01-Jul-1966'</t>
  </si>
  <si>
    <t>'01-Oct-1966'</t>
  </si>
  <si>
    <t>'01-Jan-1967'</t>
  </si>
  <si>
    <t>'01-Apr-1967'</t>
  </si>
  <si>
    <t>'01-Jul-1967'</t>
  </si>
  <si>
    <t>'01-Oct-1967'</t>
  </si>
  <si>
    <t>'01-Jan-1968'</t>
  </si>
  <si>
    <t>'01-Apr-1968'</t>
  </si>
  <si>
    <t>'01-Jul-1968'</t>
  </si>
  <si>
    <t>'01-Oct-1968'</t>
  </si>
  <si>
    <t>'01-Jan-1969'</t>
  </si>
  <si>
    <t>'01-Apr-1969'</t>
  </si>
  <si>
    <t>'01-Jul-1969'</t>
  </si>
  <si>
    <t>'01-Oct-1969'</t>
  </si>
  <si>
    <t>'01-Jan-1970'</t>
  </si>
  <si>
    <t>'01-Apr-1970'</t>
  </si>
  <si>
    <t>'01-Jul-1970'</t>
  </si>
  <si>
    <t>'01-Oct-1970'</t>
  </si>
  <si>
    <t>'01-Jan-1971'</t>
  </si>
  <si>
    <t>'01-Apr-1971'</t>
  </si>
  <si>
    <t>'01-Jul-1971'</t>
  </si>
  <si>
    <t>'01-Oct-1971'</t>
  </si>
  <si>
    <t>'01-Jan-1972'</t>
  </si>
  <si>
    <t>'01-Apr-1972'</t>
  </si>
  <si>
    <t>'01-Jul-1972'</t>
  </si>
  <si>
    <t>'01-Oct-1972'</t>
  </si>
  <si>
    <t>'01-Jan-1973'</t>
  </si>
  <si>
    <t>'01-Apr-1973'</t>
  </si>
  <si>
    <t>'01-Jul-1973'</t>
  </si>
  <si>
    <t>'01-Oct-1973'</t>
  </si>
  <si>
    <t>'01-Jan-1974'</t>
  </si>
  <si>
    <t>'01-Apr-1974'</t>
  </si>
  <si>
    <t>'01-Jul-1974'</t>
  </si>
  <si>
    <t>'01-Oct-1974'</t>
  </si>
  <si>
    <t>'01-Jan-1975'</t>
  </si>
  <si>
    <t>'01-Apr-1975'</t>
  </si>
  <si>
    <t>'01-Jul-1975'</t>
  </si>
  <si>
    <t>'01-Oct-1975'</t>
  </si>
  <si>
    <t>'01-Jan-1976'</t>
  </si>
  <si>
    <t>'01-Apr-1976'</t>
  </si>
  <si>
    <t>'01-Jul-1976'</t>
  </si>
  <si>
    <t>'01-Oct-1976'</t>
  </si>
  <si>
    <t>'01-Jan-1977'</t>
  </si>
  <si>
    <t>'01-Apr-1977'</t>
  </si>
  <si>
    <t>'01-Jul-1977'</t>
  </si>
  <si>
    <t>'01-Oct-1977'</t>
  </si>
  <si>
    <t>'01-Jan-1978'</t>
  </si>
  <si>
    <t>'01-Apr-1978'</t>
  </si>
  <si>
    <t>'01-Jul-1978'</t>
  </si>
  <si>
    <t>'01-Oct-1978'</t>
  </si>
  <si>
    <t>'01-Jan-1979'</t>
  </si>
  <si>
    <t>'01-Apr-1979'</t>
  </si>
  <si>
    <t>'01-Jul-1979'</t>
  </si>
  <si>
    <t>'01-Oct-1979'</t>
  </si>
  <si>
    <t>'01-Jan-1980'</t>
  </si>
  <si>
    <t>'01-Apr-1980'</t>
  </si>
  <si>
    <t>'01-Jul-1980'</t>
  </si>
  <si>
    <t>'01-Oct-1980'</t>
  </si>
  <si>
    <t>'01-Jan-1981'</t>
  </si>
  <si>
    <t>'01-Apr-1981'</t>
  </si>
  <si>
    <t>'01-Jul-1981'</t>
  </si>
  <si>
    <t>'01-Oct-1981'</t>
  </si>
  <si>
    <t>'01-Jan-1982'</t>
  </si>
  <si>
    <t>'01-Apr-1982'</t>
  </si>
  <si>
    <t>'01-Jul-1982'</t>
  </si>
  <si>
    <t>'01-Oct-1982'</t>
  </si>
  <si>
    <t>'01-Jan-1983'</t>
  </si>
  <si>
    <t>'01-Apr-1983'</t>
  </si>
  <si>
    <t>'01-Jul-1983'</t>
  </si>
  <si>
    <t>'01-Oct-1983'</t>
  </si>
  <si>
    <t>'01-Jan-1984'</t>
  </si>
  <si>
    <t>'01-Apr-1984'</t>
  </si>
  <si>
    <t>'01-Jul-1984'</t>
  </si>
  <si>
    <t>'01-Oct-1984'</t>
  </si>
  <si>
    <t>'01-Jan-1985'</t>
  </si>
  <si>
    <t>'01-Apr-1985'</t>
  </si>
  <si>
    <t>'01-Jul-1985'</t>
  </si>
  <si>
    <t>'01-Oct-1985'</t>
  </si>
  <si>
    <t>'01-Jan-1986'</t>
  </si>
  <si>
    <t>'01-Apr-1986'</t>
  </si>
  <si>
    <t>'01-Jul-1986'</t>
  </si>
  <si>
    <t>'01-Oct-1986'</t>
  </si>
  <si>
    <t>'01-Jan-1987'</t>
  </si>
  <si>
    <t>'01-Apr-1987'</t>
  </si>
  <si>
    <t>'01-Jul-1987'</t>
  </si>
  <si>
    <t>'01-Oct-1987'</t>
  </si>
  <si>
    <t>'01-Jan-1988'</t>
  </si>
  <si>
    <t>'01-Apr-1988'</t>
  </si>
  <si>
    <t>'01-Jul-1988'</t>
  </si>
  <si>
    <t>'01-Oct-1988'</t>
  </si>
  <si>
    <t>'01-Jan-1989'</t>
  </si>
  <si>
    <t>'01-Apr-1989'</t>
  </si>
  <si>
    <t>'01-Jul-1989'</t>
  </si>
  <si>
    <t>'01-Oct-1989'</t>
  </si>
  <si>
    <t>'01-Jan-1990'</t>
  </si>
  <si>
    <t>'01-Apr-1990'</t>
  </si>
  <si>
    <t>'01-Jul-1990'</t>
  </si>
  <si>
    <t>'01-Oct-1990'</t>
  </si>
  <si>
    <t>'01-Jan-1991'</t>
  </si>
  <si>
    <t>'01-Apr-1991'</t>
  </si>
  <si>
    <t>'01-Jul-1991'</t>
  </si>
  <si>
    <t>'01-Oct-1991'</t>
  </si>
  <si>
    <t>'01-Jan-1992'</t>
  </si>
  <si>
    <t>'01-Apr-1992'</t>
  </si>
  <si>
    <t>'01-Jul-1992'</t>
  </si>
  <si>
    <t>'01-Oct-1992'</t>
  </si>
  <si>
    <t>'01-Jan-1993'</t>
  </si>
  <si>
    <t>'01-Apr-1993'</t>
  </si>
  <si>
    <t>'01-Jul-1993'</t>
  </si>
  <si>
    <t>'01-Oct-1993'</t>
  </si>
  <si>
    <t>'01-Jan-1994'</t>
  </si>
  <si>
    <t>'01-Apr-1994'</t>
  </si>
  <si>
    <t>'01-Jul-1994'</t>
  </si>
  <si>
    <t>'01-Oct-1994'</t>
  </si>
  <si>
    <t>'01-Jan-1995'</t>
  </si>
  <si>
    <t>'01-Apr-1995'</t>
  </si>
  <si>
    <t>'01-Jul-1995'</t>
  </si>
  <si>
    <t>'01-Oct-1995'</t>
  </si>
  <si>
    <t>'01-Jan-1996'</t>
  </si>
  <si>
    <t>'01-Apr-1996'</t>
  </si>
  <si>
    <t>'01-Jul-1996'</t>
  </si>
  <si>
    <t>'01-Oct-1996'</t>
  </si>
  <si>
    <t>'01-Jan-1997'</t>
  </si>
  <si>
    <t>'01-Apr-1997'</t>
  </si>
  <si>
    <t>'01-Jul-1997'</t>
  </si>
  <si>
    <t>'01-Oct-1997'</t>
  </si>
  <si>
    <t>'01-Jan-1998'</t>
  </si>
  <si>
    <t>'01-Apr-1998'</t>
  </si>
  <si>
    <t>'01-Jul-1998'</t>
  </si>
  <si>
    <t>'01-Oct-1998'</t>
  </si>
  <si>
    <t>'01-Jan-1999'</t>
  </si>
  <si>
    <t>'01-Apr-1999'</t>
  </si>
  <si>
    <t>'01-Jul-1999'</t>
  </si>
  <si>
    <t>'01-Oct-1999'</t>
  </si>
  <si>
    <t>'01-Jan-2000'</t>
  </si>
  <si>
    <t>'01-Apr-2000'</t>
  </si>
  <si>
    <t>'01-Jul-2000'</t>
  </si>
  <si>
    <t>'01-Oct-2000'</t>
  </si>
  <si>
    <t>'01-Jan-2001'</t>
  </si>
  <si>
    <t>'01-Apr-2001'</t>
  </si>
  <si>
    <t>'01-Jul-2001'</t>
  </si>
  <si>
    <t>'01-Oct-2001'</t>
  </si>
  <si>
    <t>'01-Jan-2002'</t>
  </si>
  <si>
    <t>'01-Apr-2002'</t>
  </si>
  <si>
    <t>'01-Jul-2002'</t>
  </si>
  <si>
    <t>'01-Oct-2002'</t>
  </si>
  <si>
    <t>'01-Jan-2003'</t>
  </si>
  <si>
    <t>'01-Apr-2003'</t>
  </si>
  <si>
    <t>'01-Jul-2003'</t>
  </si>
  <si>
    <t>'01-Oct-2003'</t>
  </si>
  <si>
    <t>'01-Jan-2004'</t>
  </si>
  <si>
    <t>'01-Apr-2004'</t>
  </si>
  <si>
    <t>'01-Jul-2004'</t>
  </si>
  <si>
    <t>'01-Oct-2004'</t>
  </si>
  <si>
    <t>'01-Jan-2005'</t>
  </si>
  <si>
    <t>'01-Apr-2005'</t>
  </si>
  <si>
    <t>'01-Jul-2005'</t>
  </si>
  <si>
    <t>'01-Oct-2005'</t>
  </si>
  <si>
    <t>'01-Jan-2006'</t>
  </si>
  <si>
    <t>'01-Apr-2006'</t>
  </si>
  <si>
    <t>'01-Jul-2006'</t>
  </si>
  <si>
    <t>'01-Oct-2006'</t>
  </si>
  <si>
    <t>'01-Jan-2007'</t>
  </si>
  <si>
    <t>'01-Apr-2007'</t>
  </si>
  <si>
    <t>'01-Jul-2007'</t>
  </si>
  <si>
    <t>'01-Oct-2007'</t>
  </si>
  <si>
    <t>'01-Jan-2008'</t>
  </si>
  <si>
    <t>'01-Apr-2008'</t>
  </si>
  <si>
    <t>'01-Jul-2008'</t>
  </si>
  <si>
    <t>'01-Oct-2008'</t>
  </si>
  <si>
    <t>'01-Jan-2009'</t>
  </si>
  <si>
    <t>'01-Apr-2009'</t>
  </si>
  <si>
    <t>'01-Jul-2009'</t>
  </si>
  <si>
    <t>'01-Oct-2009'</t>
  </si>
  <si>
    <t>'01-Jan-2010'</t>
  </si>
  <si>
    <t>'01-Apr-2010'</t>
  </si>
  <si>
    <t>'01-Jul-2010'</t>
  </si>
  <si>
    <t>'01-Oct-2010'</t>
  </si>
  <si>
    <t>'01-Jan-2011'</t>
  </si>
  <si>
    <t>'01-Apr-2011'</t>
  </si>
  <si>
    <t>'01-Jul-2011'</t>
  </si>
  <si>
    <t>'01-Oct-2011'</t>
  </si>
  <si>
    <t>'01-Jan-2012'</t>
  </si>
  <si>
    <t>'01-Apr-2012'</t>
  </si>
  <si>
    <t>'01-Jul-2012'</t>
  </si>
  <si>
    <t>'01-Oct-2012'</t>
  </si>
  <si>
    <t>'01-Jan-2013'</t>
  </si>
  <si>
    <t>'01-Apr-2013'</t>
  </si>
  <si>
    <t>'01-Jul-2013'</t>
  </si>
  <si>
    <t>'01-Oct-2013'</t>
  </si>
  <si>
    <t>'01-Jan-2014'</t>
  </si>
  <si>
    <t>'01-Apr-2014'</t>
  </si>
  <si>
    <t>'01-Jul-2014'</t>
  </si>
  <si>
    <t>'01-Oct-2014'</t>
  </si>
  <si>
    <t>'01-Jan-2015'</t>
  </si>
  <si>
    <t>'01-Apr-2015'</t>
  </si>
  <si>
    <t>'01-Jul-2015'</t>
  </si>
  <si>
    <t>'01-Oct-2015'</t>
  </si>
  <si>
    <t>'01-Jan-2016'</t>
  </si>
  <si>
    <t>'01-Apr-2016'</t>
  </si>
  <si>
    <t>'01-Jul-2016'</t>
  </si>
  <si>
    <t>'01-Oct-2016'</t>
  </si>
  <si>
    <t>'01-Jan-2017'</t>
  </si>
  <si>
    <t>'01-Apr-2017'</t>
  </si>
  <si>
    <t>'01-Jul-2017'</t>
  </si>
  <si>
    <t>'01-Oct-2017'</t>
  </si>
  <si>
    <t>'01-Jan-2018'</t>
  </si>
  <si>
    <t>'01-Apr-2018'</t>
  </si>
  <si>
    <t>'01-Jul-2018'</t>
  </si>
  <si>
    <t>'01-Oct-2018'</t>
  </si>
  <si>
    <t>'01-Jan-2019'</t>
  </si>
  <si>
    <t>'01-Apr-2019'</t>
  </si>
  <si>
    <t>'01-Jul-2019'</t>
  </si>
  <si>
    <t>'01-Oct-2019'</t>
  </si>
  <si>
    <t>'01-Jan-2020'</t>
  </si>
  <si>
    <t>'01-Apr-2020'</t>
  </si>
  <si>
    <t>'01-Jul-2020'</t>
  </si>
  <si>
    <t>'01-Oct-2020'</t>
  </si>
  <si>
    <t>'01-Jan-2021'</t>
  </si>
  <si>
    <t>'01-Apr-2021'</t>
  </si>
  <si>
    <t>'01-Jul-2021'</t>
  </si>
  <si>
    <t>'01-Oct-2021'</t>
  </si>
  <si>
    <t>'01-Jan-2022'</t>
  </si>
  <si>
    <t>'01-Apr-2022'</t>
  </si>
  <si>
    <t>'01-Jul-2022'</t>
  </si>
  <si>
    <t>'01-Oct-2022'</t>
  </si>
  <si>
    <t>'01-Jan-2023'</t>
  </si>
  <si>
    <t>Year</t>
    <phoneticPr fontId="2" type="noConversion"/>
  </si>
  <si>
    <t>period</t>
    <phoneticPr fontId="2" type="noConversion"/>
  </si>
  <si>
    <t>lgGDP</t>
    <phoneticPr fontId="2" type="noConversion"/>
  </si>
  <si>
    <t>lgconsump</t>
    <phoneticPr fontId="2" type="noConversion"/>
  </si>
  <si>
    <t>lginvest</t>
    <phoneticPr fontId="2" type="noConversion"/>
  </si>
  <si>
    <t>g/y</t>
    <phoneticPr fontId="2" type="noConversion"/>
  </si>
  <si>
    <t>lggov</t>
    <phoneticPr fontId="2" type="noConversion"/>
  </si>
  <si>
    <t>lgexport</t>
    <phoneticPr fontId="2" type="noConversion"/>
  </si>
  <si>
    <t>lgimport</t>
    <phoneticPr fontId="2" type="noConversion"/>
  </si>
  <si>
    <t>y_detrend</t>
    <phoneticPr fontId="2" type="noConversion"/>
  </si>
  <si>
    <t>tb/y</t>
    <phoneticPr fontId="2" type="noConversion"/>
  </si>
  <si>
    <t>GDP_trend</t>
    <phoneticPr fontId="2" type="noConversion"/>
  </si>
  <si>
    <t>GDP_dvn</t>
    <phoneticPr fontId="2" type="noConversion"/>
  </si>
  <si>
    <t>consump_trend</t>
    <phoneticPr fontId="2" type="noConversion"/>
  </si>
  <si>
    <t>consump_dvn</t>
    <phoneticPr fontId="2" type="noConversion"/>
  </si>
  <si>
    <t>invest_trend</t>
    <phoneticPr fontId="2" type="noConversion"/>
  </si>
  <si>
    <t>invest_dvn</t>
    <phoneticPr fontId="2" type="noConversion"/>
  </si>
  <si>
    <t>gov_trend</t>
    <phoneticPr fontId="2" type="noConversion"/>
  </si>
  <si>
    <t>gov_dvn</t>
    <phoneticPr fontId="2" type="noConversion"/>
  </si>
  <si>
    <t>export_trend</t>
    <phoneticPr fontId="2" type="noConversion"/>
  </si>
  <si>
    <t>export_dvn</t>
    <phoneticPr fontId="2" type="noConversion"/>
  </si>
  <si>
    <t>import_trend</t>
    <phoneticPr fontId="2" type="noConversion"/>
  </si>
  <si>
    <t>import_dvn</t>
    <phoneticPr fontId="2" type="noConversion"/>
  </si>
  <si>
    <t>tby_trend</t>
    <phoneticPr fontId="2" type="noConversion"/>
  </si>
  <si>
    <t>tby_dvn</t>
    <phoneticPr fontId="2" type="noConversion"/>
  </si>
  <si>
    <t>tb_trend</t>
    <phoneticPr fontId="2" type="noConversion"/>
  </si>
  <si>
    <t>tb_dvn</t>
    <phoneticPr fontId="2" type="noConversion"/>
  </si>
  <si>
    <t>g/y_trend</t>
    <phoneticPr fontId="2" type="noConversion"/>
  </si>
  <si>
    <t>g/y_dev</t>
    <phoneticPr fontId="2" type="noConversion"/>
  </si>
  <si>
    <t>solow_residual</t>
    <phoneticPr fontId="2" type="noConversion"/>
  </si>
  <si>
    <t>trend</t>
    <phoneticPr fontId="2" type="noConversion"/>
  </si>
  <si>
    <t>deviation from trend</t>
    <phoneticPr fontId="2" type="noConversion"/>
  </si>
  <si>
    <t>correlation</t>
    <phoneticPr fontId="2" type="noConversion"/>
  </si>
  <si>
    <t>y</t>
    <phoneticPr fontId="2" type="noConversion"/>
  </si>
  <si>
    <t>c</t>
    <phoneticPr fontId="2" type="noConversion"/>
  </si>
  <si>
    <t>i</t>
    <phoneticPr fontId="2" type="noConversion"/>
  </si>
  <si>
    <t>g</t>
    <phoneticPr fontId="2" type="noConversion"/>
  </si>
  <si>
    <t>x</t>
    <phoneticPr fontId="2" type="noConversion"/>
  </si>
  <si>
    <t>m</t>
    <phoneticPr fontId="2" type="noConversion"/>
  </si>
  <si>
    <t>tb</t>
    <phoneticPr fontId="2" type="noConversion"/>
  </si>
  <si>
    <t>solow res</t>
    <phoneticPr fontId="2" type="noConversion"/>
  </si>
  <si>
    <t>Std deviation</t>
    <phoneticPr fontId="2" type="noConversion"/>
  </si>
  <si>
    <t>Textbook</t>
    <phoneticPr fontId="2" type="noConversion"/>
  </si>
  <si>
    <t>my result</t>
    <phoneticPr fontId="2" type="noConversion"/>
  </si>
  <si>
    <t>STEPS</t>
    <phoneticPr fontId="2" type="noConversion"/>
  </si>
  <si>
    <t>Annual (US)</t>
    <phoneticPr fontId="2" type="noConversion"/>
  </si>
  <si>
    <t>Quarter (Rich)-Quadratic</t>
    <phoneticPr fontId="2" type="noConversion"/>
  </si>
  <si>
    <t>Quarter (Rich)-HP</t>
    <phoneticPr fontId="2" type="noConversion"/>
  </si>
  <si>
    <t>HP</t>
    <phoneticPr fontId="2" type="noConversion"/>
  </si>
  <si>
    <t>HP_per_capita</t>
    <phoneticPr fontId="2" type="noConversion"/>
  </si>
  <si>
    <t>get data</t>
    <phoneticPr fontId="2" type="noConversion"/>
  </si>
  <si>
    <t>Take logs</t>
    <phoneticPr fontId="2" type="noConversion"/>
  </si>
  <si>
    <t>std(c)/std(y)</t>
    <phoneticPr fontId="2" type="noConversion"/>
  </si>
  <si>
    <t>detrend</t>
    <phoneticPr fontId="2" type="noConversion"/>
  </si>
  <si>
    <t>std(i)/std(y)</t>
    <phoneticPr fontId="2" type="noConversion"/>
  </si>
  <si>
    <t>percentage deviation from trend</t>
    <phoneticPr fontId="2" type="noConversion"/>
  </si>
  <si>
    <t>std(g)/std(y)</t>
    <phoneticPr fontId="2" type="noConversion"/>
  </si>
  <si>
    <t>std(x)/std(y)</t>
    <phoneticPr fontId="2" type="noConversion"/>
  </si>
  <si>
    <t>std(m)/std(y)</t>
    <phoneticPr fontId="2" type="noConversion"/>
  </si>
  <si>
    <t>std(tb/y)</t>
    <phoneticPr fontId="2" type="noConversion"/>
  </si>
  <si>
    <t>std(solow residual)/std(y)</t>
    <phoneticPr fontId="2" type="noConversion"/>
  </si>
  <si>
    <t>N/A</t>
    <phoneticPr fontId="2" type="noConversion"/>
  </si>
  <si>
    <t>Correlation with y</t>
    <phoneticPr fontId="2" type="noConversion"/>
  </si>
  <si>
    <t>solow residual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</si>
</sst>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2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  <font>
      <sz val="10"/>
      <name val="Arial"/>
      <family val="2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theme="2"/>
      <name val="宋体"/>
      <family val="2"/>
      <scheme val="minor"/>
    </font>
    <font>
      <u/>
      <sz val="11"/>
      <color theme="10"/>
      <name val="宋体"/>
      <family val="2"/>
      <scheme val="minor"/>
    </font>
    <font>
      <sz val="11"/>
      <color theme="2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5" fillId="0" borderId="0"/>
    <xf numFmtId="0" fontId="9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1"/>
    <xf numFmtId="0" fontId="3" fillId="0" borderId="0" xfId="1" applyFont="1"/>
    <xf numFmtId="0" fontId="4" fillId="0" borderId="0" xfId="1" applyFont="1"/>
    <xf numFmtId="1" fontId="5" fillId="0" borderId="0" xfId="2" applyNumberFormat="1"/>
    <xf numFmtId="0" fontId="6" fillId="0" borderId="0" xfId="1" applyFont="1" applyAlignment="1">
      <alignment horizontal="center"/>
    </xf>
    <xf numFmtId="0" fontId="6" fillId="0" borderId="0" xfId="1" applyFont="1"/>
    <xf numFmtId="0" fontId="1" fillId="0" borderId="0" xfId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/>
    <xf numFmtId="0" fontId="3" fillId="0" borderId="0" xfId="1" applyFont="1" applyAlignment="1">
      <alignment horizontal="center"/>
    </xf>
    <xf numFmtId="0" fontId="8" fillId="0" borderId="0" xfId="1" applyFont="1"/>
    <xf numFmtId="0" fontId="9" fillId="0" borderId="0" xfId="3"/>
    <xf numFmtId="176" fontId="1" fillId="0" borderId="0" xfId="1" applyNumberFormat="1"/>
    <xf numFmtId="0" fontId="10" fillId="0" borderId="0" xfId="1" applyFont="1"/>
    <xf numFmtId="0" fontId="11" fillId="0" borderId="0" xfId="1" applyFont="1" applyAlignment="1">
      <alignment horizontal="center"/>
    </xf>
    <xf numFmtId="176" fontId="1" fillId="0" borderId="0" xfId="1" applyNumberFormat="1" applyAlignment="1">
      <alignment horizontal="center"/>
    </xf>
    <xf numFmtId="176" fontId="4" fillId="0" borderId="0" xfId="1" applyNumberFormat="1" applyFont="1" applyAlignment="1">
      <alignment horizontal="center"/>
    </xf>
  </cellXfs>
  <cellStyles count="4">
    <cellStyle name="Hyperlink" xfId="3" builtinId="8"/>
    <cellStyle name="Normal" xfId="0" builtinId="0"/>
    <cellStyle name="Normal 2" xfId="1" xr:uid="{EE19374B-2481-4F35-9539-7068D4EC1937}"/>
    <cellStyle name="Normal 2 2" xfId="2" xr:uid="{90580C8B-D1F4-41AB-9BC6-5BBC741F2151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HBS\module%204\macro%20analysis\Homework\wr_hp_filter\HPFilte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  <sheetName val="HPFilter"/>
    </sheetNames>
    <definedNames>
      <definedName name="HP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B3439-9FAC-4C54-B040-A40845E9312C}">
  <dimension ref="A1:T254"/>
  <sheetViews>
    <sheetView workbookViewId="0"/>
  </sheetViews>
  <sheetFormatPr defaultRowHeight="14" x14ac:dyDescent="0.25"/>
  <cols>
    <col min="1" max="16384" width="8.7265625" style="1"/>
  </cols>
  <sheetData>
    <row r="1" spans="1:20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7</v>
      </c>
      <c r="T1" s="1" t="s">
        <v>8</v>
      </c>
    </row>
    <row r="2" spans="1:20" x14ac:dyDescent="0.25">
      <c r="A2" s="1" t="s">
        <v>17</v>
      </c>
      <c r="B2" s="1">
        <v>3277.8470000000002</v>
      </c>
      <c r="C2" s="1">
        <v>1998.8109999999999</v>
      </c>
      <c r="D2" s="1">
        <v>390.21</v>
      </c>
      <c r="E2" s="1">
        <v>1062.3119999999999</v>
      </c>
      <c r="F2" s="1">
        <v>108.999</v>
      </c>
      <c r="G2" s="1">
        <v>138.60599999999999</v>
      </c>
      <c r="H2" s="1">
        <v>-29.606999999999999</v>
      </c>
      <c r="I2" s="1">
        <v>15.4329579492377</v>
      </c>
      <c r="J2" s="1">
        <v>54413.666666666701</v>
      </c>
      <c r="K2" s="1">
        <v>179319</v>
      </c>
      <c r="L2" s="1">
        <v>18279.4182434656</v>
      </c>
      <c r="M2" s="1">
        <v>11146.677150776</v>
      </c>
      <c r="N2" s="1">
        <v>2176.0661168085899</v>
      </c>
      <c r="O2" s="1">
        <v>5924.1463537048503</v>
      </c>
      <c r="P2" s="1">
        <v>607.84969802419198</v>
      </c>
      <c r="Q2" s="1">
        <v>772.95768992689</v>
      </c>
      <c r="R2" s="1">
        <v>-165.10799190269901</v>
      </c>
    </row>
    <row r="3" spans="1:20" x14ac:dyDescent="0.25">
      <c r="A3" s="1" t="s">
        <v>18</v>
      </c>
      <c r="B3" s="1">
        <v>3260.1770000000001</v>
      </c>
      <c r="C3" s="1">
        <v>2024.0250000000001</v>
      </c>
      <c r="D3" s="1">
        <v>353.84100000000001</v>
      </c>
      <c r="E3" s="1">
        <v>1074.24</v>
      </c>
      <c r="F3" s="1">
        <v>112.126</v>
      </c>
      <c r="G3" s="1">
        <v>139.636</v>
      </c>
      <c r="H3" s="1">
        <v>-27.51</v>
      </c>
      <c r="I3" s="1">
        <v>15.177790442599299</v>
      </c>
      <c r="J3" s="1">
        <v>54545.333333333299</v>
      </c>
      <c r="K3" s="1">
        <v>180401</v>
      </c>
      <c r="L3" s="1">
        <v>18071.834413334698</v>
      </c>
      <c r="M3" s="1">
        <v>11219.5885832118</v>
      </c>
      <c r="N3" s="1">
        <v>1961.4137393916899</v>
      </c>
      <c r="O3" s="1">
        <v>5954.73417553118</v>
      </c>
      <c r="P3" s="1">
        <v>621.53757462541796</v>
      </c>
      <c r="Q3" s="1">
        <v>774.03118607989995</v>
      </c>
      <c r="R3" s="1">
        <v>-152.49361145448199</v>
      </c>
    </row>
    <row r="4" spans="1:20" x14ac:dyDescent="0.25">
      <c r="A4" s="1" t="s">
        <v>19</v>
      </c>
      <c r="B4" s="1">
        <v>3276.1329999999998</v>
      </c>
      <c r="C4" s="1">
        <v>2015.934</v>
      </c>
      <c r="D4" s="1">
        <v>352.94200000000001</v>
      </c>
      <c r="E4" s="1">
        <v>1100.511</v>
      </c>
      <c r="F4" s="1">
        <v>114.57</v>
      </c>
      <c r="G4" s="1">
        <v>135.52099999999999</v>
      </c>
      <c r="H4" s="1">
        <v>-20.951000000000001</v>
      </c>
      <c r="I4" s="1">
        <v>15.0745459617445</v>
      </c>
      <c r="J4" s="1">
        <v>54268.333333333299</v>
      </c>
      <c r="K4" s="1">
        <v>181301</v>
      </c>
      <c r="L4" s="1">
        <v>18070.1319904468</v>
      </c>
      <c r="M4" s="1">
        <v>11119.265751429901</v>
      </c>
      <c r="N4" s="1">
        <v>1946.7184406043</v>
      </c>
      <c r="O4" s="1">
        <v>6070.0768335530402</v>
      </c>
      <c r="P4" s="1">
        <v>631.93253208752299</v>
      </c>
      <c r="Q4" s="1">
        <v>747.49174025515595</v>
      </c>
      <c r="R4" s="1">
        <v>-115.559208167633</v>
      </c>
    </row>
    <row r="5" spans="1:20" x14ac:dyDescent="0.25">
      <c r="A5" s="1" t="s">
        <v>20</v>
      </c>
      <c r="B5" s="1">
        <v>3234.087</v>
      </c>
      <c r="C5" s="1">
        <v>2018.5450000000001</v>
      </c>
      <c r="D5" s="1">
        <v>313.84300000000002</v>
      </c>
      <c r="E5" s="1">
        <v>1108.1420000000001</v>
      </c>
      <c r="F5" s="1">
        <v>115.18</v>
      </c>
      <c r="G5" s="1">
        <v>129.12799999999999</v>
      </c>
      <c r="H5" s="1">
        <v>-13.948</v>
      </c>
      <c r="I5" s="1">
        <v>15.016634544422701</v>
      </c>
      <c r="J5" s="1">
        <v>53948.333333333299</v>
      </c>
      <c r="K5" s="1">
        <v>182019</v>
      </c>
      <c r="L5" s="1">
        <v>17767.853905361499</v>
      </c>
      <c r="M5" s="1">
        <v>11089.748872370499</v>
      </c>
      <c r="N5" s="1">
        <v>1724.2320856613901</v>
      </c>
      <c r="O5" s="1">
        <v>6088.0567413292001</v>
      </c>
      <c r="P5" s="1">
        <v>632.79108224965501</v>
      </c>
      <c r="Q5" s="1">
        <v>709.42044511836696</v>
      </c>
      <c r="R5" s="1">
        <v>-76.629362868711397</v>
      </c>
    </row>
    <row r="6" spans="1:20" x14ac:dyDescent="0.25">
      <c r="A6" s="1" t="s">
        <v>21</v>
      </c>
      <c r="B6" s="1">
        <v>3255.9140000000002</v>
      </c>
      <c r="C6" s="1">
        <v>2017.7950000000001</v>
      </c>
      <c r="D6" s="1">
        <v>321.988</v>
      </c>
      <c r="E6" s="1">
        <v>1124.596</v>
      </c>
      <c r="F6" s="1">
        <v>114.38800000000001</v>
      </c>
      <c r="G6" s="1">
        <v>128.50299999999999</v>
      </c>
      <c r="H6" s="1">
        <v>-14.115</v>
      </c>
      <c r="I6" s="1">
        <v>15.2434301156948</v>
      </c>
      <c r="J6" s="1">
        <v>53633</v>
      </c>
      <c r="K6" s="1">
        <v>182634</v>
      </c>
      <c r="L6" s="1">
        <v>17827.534851123</v>
      </c>
      <c r="M6" s="1">
        <v>11048.2987833591</v>
      </c>
      <c r="N6" s="1">
        <v>1763.0233143883399</v>
      </c>
      <c r="O6" s="1">
        <v>6157.64863059452</v>
      </c>
      <c r="P6" s="1">
        <v>626.32368562261104</v>
      </c>
      <c r="Q6" s="1">
        <v>703.60940460155302</v>
      </c>
      <c r="R6" s="1">
        <v>-77.285718978941404</v>
      </c>
    </row>
    <row r="7" spans="1:20" x14ac:dyDescent="0.25">
      <c r="A7" s="1" t="s">
        <v>22</v>
      </c>
      <c r="B7" s="1">
        <v>3311.181</v>
      </c>
      <c r="C7" s="1">
        <v>2047.8230000000001</v>
      </c>
      <c r="D7" s="1">
        <v>344.54899999999998</v>
      </c>
      <c r="E7" s="1">
        <v>1127.4110000000001</v>
      </c>
      <c r="F7" s="1">
        <v>109.06399999999999</v>
      </c>
      <c r="G7" s="1">
        <v>130.07300000000001</v>
      </c>
      <c r="H7" s="1">
        <v>-21.009</v>
      </c>
      <c r="I7" s="1">
        <v>15.183072842949899</v>
      </c>
      <c r="J7" s="1">
        <v>53796.666666666701</v>
      </c>
      <c r="K7" s="1">
        <v>183337</v>
      </c>
      <c r="L7" s="1">
        <v>18060.626060206101</v>
      </c>
      <c r="M7" s="1">
        <v>11169.720241958799</v>
      </c>
      <c r="N7" s="1">
        <v>1879.3205954062701</v>
      </c>
      <c r="O7" s="1">
        <v>6149.3915576233903</v>
      </c>
      <c r="P7" s="1">
        <v>594.88264780158897</v>
      </c>
      <c r="Q7" s="1">
        <v>709.474901411063</v>
      </c>
      <c r="R7" s="1">
        <v>-114.592253609473</v>
      </c>
    </row>
    <row r="8" spans="1:20" x14ac:dyDescent="0.25">
      <c r="A8" s="1" t="s">
        <v>23</v>
      </c>
      <c r="B8" s="1">
        <v>3374.7420000000002</v>
      </c>
      <c r="C8" s="1">
        <v>2057.7820000000002</v>
      </c>
      <c r="D8" s="1">
        <v>371.33499999999998</v>
      </c>
      <c r="E8" s="1">
        <v>1151.491</v>
      </c>
      <c r="F8" s="1">
        <v>113.99299999999999</v>
      </c>
      <c r="G8" s="1">
        <v>138.68799999999999</v>
      </c>
      <c r="H8" s="1">
        <v>-24.695</v>
      </c>
      <c r="I8" s="1">
        <v>15.616032299479301</v>
      </c>
      <c r="J8" s="1">
        <v>54269.666666666701</v>
      </c>
      <c r="K8" s="1">
        <v>184103</v>
      </c>
      <c r="L8" s="1">
        <v>18330.727907747299</v>
      </c>
      <c r="M8" s="1">
        <v>11177.340945014501</v>
      </c>
      <c r="N8" s="1">
        <v>2016.9959207617501</v>
      </c>
      <c r="O8" s="1">
        <v>6254.6020434213497</v>
      </c>
      <c r="P8" s="1">
        <v>619.18056739977101</v>
      </c>
      <c r="Q8" s="1">
        <v>753.31743643503899</v>
      </c>
      <c r="R8" s="1">
        <v>-134.13686903526801</v>
      </c>
    </row>
    <row r="9" spans="1:20" x14ac:dyDescent="0.25">
      <c r="A9" s="1" t="s">
        <v>24</v>
      </c>
      <c r="B9" s="1">
        <v>3440.924</v>
      </c>
      <c r="C9" s="1">
        <v>2099.1729999999998</v>
      </c>
      <c r="D9" s="1">
        <v>377.47899999999998</v>
      </c>
      <c r="E9" s="1">
        <v>1176.7370000000001</v>
      </c>
      <c r="F9" s="1">
        <v>115.852</v>
      </c>
      <c r="G9" s="1">
        <v>141.98599999999999</v>
      </c>
      <c r="H9" s="1">
        <v>-26.134</v>
      </c>
      <c r="I9" s="1">
        <v>16.1872315177371</v>
      </c>
      <c r="J9" s="1">
        <v>54712</v>
      </c>
      <c r="K9" s="1">
        <v>184894</v>
      </c>
      <c r="L9" s="1">
        <v>18610.252360812101</v>
      </c>
      <c r="M9" s="1">
        <v>11353.386264562399</v>
      </c>
      <c r="N9" s="1">
        <v>2041.59680681904</v>
      </c>
      <c r="O9" s="1">
        <v>6364.3871623741197</v>
      </c>
      <c r="P9" s="1">
        <v>626.58604389542097</v>
      </c>
      <c r="Q9" s="1">
        <v>767.93189611344906</v>
      </c>
      <c r="R9" s="1">
        <v>-141.345852218028</v>
      </c>
    </row>
    <row r="10" spans="1:20" x14ac:dyDescent="0.25">
      <c r="A10" s="1" t="s">
        <v>25</v>
      </c>
      <c r="B10" s="1">
        <v>3502.2979999999998</v>
      </c>
      <c r="C10" s="1">
        <v>2121.4090000000001</v>
      </c>
      <c r="D10" s="1">
        <v>397.83100000000002</v>
      </c>
      <c r="E10" s="1">
        <v>1199.4449999999999</v>
      </c>
      <c r="F10" s="1">
        <v>115.17</v>
      </c>
      <c r="G10" s="1">
        <v>146.30799999999999</v>
      </c>
      <c r="H10" s="1">
        <v>-31.138000000000002</v>
      </c>
      <c r="I10" s="1">
        <v>16.467851084964899</v>
      </c>
      <c r="J10" s="1">
        <v>55118</v>
      </c>
      <c r="K10" s="1">
        <v>185553</v>
      </c>
      <c r="L10" s="1">
        <v>18874.9198342253</v>
      </c>
      <c r="M10" s="1">
        <v>11432.900572882099</v>
      </c>
      <c r="N10" s="1">
        <v>2144.0289297397499</v>
      </c>
      <c r="O10" s="1">
        <v>6464.1638777060998</v>
      </c>
      <c r="P10" s="1">
        <v>620.68519506556095</v>
      </c>
      <c r="Q10" s="1">
        <v>788.49708708563105</v>
      </c>
      <c r="R10" s="1">
        <v>-167.81189202006999</v>
      </c>
    </row>
    <row r="11" spans="1:20" x14ac:dyDescent="0.25">
      <c r="A11" s="1" t="s">
        <v>26</v>
      </c>
      <c r="B11" s="1">
        <v>3533.9470000000001</v>
      </c>
      <c r="C11" s="1">
        <v>2147.489</v>
      </c>
      <c r="D11" s="1">
        <v>394.69400000000002</v>
      </c>
      <c r="E11" s="1">
        <v>1205.5039999999999</v>
      </c>
      <c r="F11" s="1">
        <v>121.789</v>
      </c>
      <c r="G11" s="1">
        <v>149.5</v>
      </c>
      <c r="H11" s="1">
        <v>-27.710999999999999</v>
      </c>
      <c r="I11" s="1">
        <v>16.740728319735901</v>
      </c>
      <c r="J11" s="1">
        <v>55624.666666666701</v>
      </c>
      <c r="K11" s="1">
        <v>186203</v>
      </c>
      <c r="L11" s="1">
        <v>18979.001412436999</v>
      </c>
      <c r="M11" s="1">
        <v>11533.0526361015</v>
      </c>
      <c r="N11" s="1">
        <v>2119.69731959206</v>
      </c>
      <c r="O11" s="1">
        <v>6474.1384403044003</v>
      </c>
      <c r="P11" s="1">
        <v>654.06572396792797</v>
      </c>
      <c r="Q11" s="1">
        <v>802.88717152784898</v>
      </c>
      <c r="R11" s="1">
        <v>-148.82144755992101</v>
      </c>
    </row>
    <row r="12" spans="1:20" x14ac:dyDescent="0.25">
      <c r="A12" s="1" t="s">
        <v>27</v>
      </c>
      <c r="B12" s="1">
        <v>3577.3620000000001</v>
      </c>
      <c r="C12" s="1">
        <v>2164.7959999999998</v>
      </c>
      <c r="D12" s="1">
        <v>401.40100000000001</v>
      </c>
      <c r="E12" s="1">
        <v>1233.3320000000001</v>
      </c>
      <c r="F12" s="1">
        <v>121.57599999999999</v>
      </c>
      <c r="G12" s="1">
        <v>151.39500000000001</v>
      </c>
      <c r="H12" s="1">
        <v>-29.818999999999999</v>
      </c>
      <c r="I12" s="1">
        <v>16.962294326153799</v>
      </c>
      <c r="J12" s="1">
        <v>55854</v>
      </c>
      <c r="K12" s="1">
        <v>186926</v>
      </c>
      <c r="L12" s="1">
        <v>19137.8513422424</v>
      </c>
      <c r="M12" s="1">
        <v>11581.0320661652</v>
      </c>
      <c r="N12" s="1">
        <v>2147.37917678654</v>
      </c>
      <c r="O12" s="1">
        <v>6597.9692498635804</v>
      </c>
      <c r="P12" s="1">
        <v>650.39641355402705</v>
      </c>
      <c r="Q12" s="1">
        <v>809.91943335865506</v>
      </c>
      <c r="R12" s="1">
        <v>-159.523019804629</v>
      </c>
    </row>
    <row r="13" spans="1:20" x14ac:dyDescent="0.25">
      <c r="A13" s="1" t="s">
        <v>28</v>
      </c>
      <c r="B13" s="1">
        <v>3589.1280000000002</v>
      </c>
      <c r="C13" s="1">
        <v>2195.4270000000001</v>
      </c>
      <c r="D13" s="1">
        <v>389.65699999999998</v>
      </c>
      <c r="E13" s="1">
        <v>1241.8510000000001</v>
      </c>
      <c r="F13" s="1">
        <v>117.64400000000001</v>
      </c>
      <c r="G13" s="1">
        <v>153.24600000000001</v>
      </c>
      <c r="H13" s="1">
        <v>-35.601999999999997</v>
      </c>
      <c r="I13" s="1">
        <v>16.858562849092301</v>
      </c>
      <c r="J13" s="1">
        <v>56041.666666666701</v>
      </c>
      <c r="K13" s="1">
        <v>187680</v>
      </c>
      <c r="L13" s="1">
        <v>19123.6572890026</v>
      </c>
      <c r="M13" s="1">
        <v>11697.7141943734</v>
      </c>
      <c r="N13" s="1">
        <v>2076.1775362318799</v>
      </c>
      <c r="O13" s="1">
        <v>6616.8531543052004</v>
      </c>
      <c r="P13" s="1">
        <v>626.832907075874</v>
      </c>
      <c r="Q13" s="1">
        <v>816.52813299232696</v>
      </c>
      <c r="R13" s="1">
        <v>-189.69522591645401</v>
      </c>
    </row>
    <row r="14" spans="1:20" x14ac:dyDescent="0.25">
      <c r="A14" s="1" t="s">
        <v>29</v>
      </c>
      <c r="B14" s="1">
        <v>3628.306</v>
      </c>
      <c r="C14" s="1">
        <v>2210.8049999999998</v>
      </c>
      <c r="D14" s="1">
        <v>410.15800000000002</v>
      </c>
      <c r="E14" s="1">
        <v>1225.0050000000001</v>
      </c>
      <c r="F14" s="1">
        <v>119.43</v>
      </c>
      <c r="G14" s="1">
        <v>149.69900000000001</v>
      </c>
      <c r="H14" s="1">
        <v>-30.268999999999998</v>
      </c>
      <c r="I14" s="1">
        <v>16.904226251528399</v>
      </c>
      <c r="J14" s="1">
        <v>56221.666666666701</v>
      </c>
      <c r="K14" s="1">
        <v>188299</v>
      </c>
      <c r="L14" s="1">
        <v>19268.8543221154</v>
      </c>
      <c r="M14" s="1">
        <v>11740.9279921826</v>
      </c>
      <c r="N14" s="1">
        <v>2178.2271812383501</v>
      </c>
      <c r="O14" s="1">
        <v>6505.6373108726002</v>
      </c>
      <c r="P14" s="1">
        <v>634.25721857258895</v>
      </c>
      <c r="Q14" s="1">
        <v>795.00687735994404</v>
      </c>
      <c r="R14" s="1">
        <v>-160.74965878735401</v>
      </c>
    </row>
    <row r="15" spans="1:20" x14ac:dyDescent="0.25">
      <c r="A15" s="1" t="s">
        <v>30</v>
      </c>
      <c r="B15" s="1">
        <v>3669.02</v>
      </c>
      <c r="C15" s="1">
        <v>2231.6669999999999</v>
      </c>
      <c r="D15" s="1">
        <v>416.68299999999999</v>
      </c>
      <c r="E15" s="1">
        <v>1225.904</v>
      </c>
      <c r="F15" s="1">
        <v>128.977</v>
      </c>
      <c r="G15" s="1">
        <v>153.22300000000001</v>
      </c>
      <c r="H15" s="1">
        <v>-24.245999999999999</v>
      </c>
      <c r="I15" s="1">
        <v>17.421735421177399</v>
      </c>
      <c r="J15" s="1">
        <v>56618.333333333299</v>
      </c>
      <c r="K15" s="1">
        <v>188906</v>
      </c>
      <c r="L15" s="1">
        <v>19422.464082665501</v>
      </c>
      <c r="M15" s="1">
        <v>11813.637470488</v>
      </c>
      <c r="N15" s="1">
        <v>2205.7690068076199</v>
      </c>
      <c r="O15" s="1">
        <v>6489.4921283601398</v>
      </c>
      <c r="P15" s="1">
        <v>682.75756196203395</v>
      </c>
      <c r="Q15" s="1">
        <v>811.10711147343102</v>
      </c>
      <c r="R15" s="1">
        <v>-128.34954951139699</v>
      </c>
    </row>
    <row r="16" spans="1:20" x14ac:dyDescent="0.25">
      <c r="A16" s="1" t="s">
        <v>31</v>
      </c>
      <c r="B16" s="1">
        <v>3749.681</v>
      </c>
      <c r="C16" s="1">
        <v>2261.942</v>
      </c>
      <c r="D16" s="1">
        <v>429.512</v>
      </c>
      <c r="E16" s="1">
        <v>1280.2950000000001</v>
      </c>
      <c r="F16" s="1">
        <v>128.33099999999999</v>
      </c>
      <c r="G16" s="1">
        <v>157.114</v>
      </c>
      <c r="H16" s="1">
        <v>-28.783000000000001</v>
      </c>
      <c r="I16" s="1">
        <v>18.049738527440802</v>
      </c>
      <c r="J16" s="1">
        <v>56927.333333333299</v>
      </c>
      <c r="K16" s="1">
        <v>189631</v>
      </c>
      <c r="L16" s="1">
        <v>19773.565503530499</v>
      </c>
      <c r="M16" s="1">
        <v>11928.1235662945</v>
      </c>
      <c r="N16" s="1">
        <v>2264.9883194203499</v>
      </c>
      <c r="O16" s="1">
        <v>6751.5068738761101</v>
      </c>
      <c r="P16" s="1">
        <v>676.74061730413302</v>
      </c>
      <c r="Q16" s="1">
        <v>828.52487198822996</v>
      </c>
      <c r="R16" s="1">
        <v>-151.78425468409699</v>
      </c>
    </row>
    <row r="17" spans="1:18" x14ac:dyDescent="0.25">
      <c r="A17" s="1" t="s">
        <v>32</v>
      </c>
      <c r="B17" s="1">
        <v>3774.2640000000001</v>
      </c>
      <c r="C17" s="1">
        <v>2280.79</v>
      </c>
      <c r="D17" s="1">
        <v>434.72699999999998</v>
      </c>
      <c r="E17" s="1">
        <v>1267.0450000000001</v>
      </c>
      <c r="F17" s="1">
        <v>133.34700000000001</v>
      </c>
      <c r="G17" s="1">
        <v>156.59800000000001</v>
      </c>
      <c r="H17" s="1">
        <v>-23.251000000000001</v>
      </c>
      <c r="I17" s="1">
        <v>18.3018190943937</v>
      </c>
      <c r="J17" s="1">
        <v>57299.666666666701</v>
      </c>
      <c r="K17" s="1">
        <v>190362</v>
      </c>
      <c r="L17" s="1">
        <v>19826.7721499039</v>
      </c>
      <c r="M17" s="1">
        <v>11981.3303075194</v>
      </c>
      <c r="N17" s="1">
        <v>2283.6858196488802</v>
      </c>
      <c r="O17" s="1">
        <v>6655.9765079164999</v>
      </c>
      <c r="P17" s="1">
        <v>700.49169477101498</v>
      </c>
      <c r="Q17" s="1">
        <v>822.63266828463702</v>
      </c>
      <c r="R17" s="1">
        <v>-122.14097351362101</v>
      </c>
    </row>
    <row r="18" spans="1:18" x14ac:dyDescent="0.25">
      <c r="A18" s="1" t="s">
        <v>33</v>
      </c>
      <c r="B18" s="1">
        <v>3853.835</v>
      </c>
      <c r="C18" s="1">
        <v>2325.5540000000001</v>
      </c>
      <c r="D18" s="1">
        <v>450.99700000000001</v>
      </c>
      <c r="E18" s="1">
        <v>1270.9970000000001</v>
      </c>
      <c r="F18" s="1">
        <v>140.09100000000001</v>
      </c>
      <c r="G18" s="1">
        <v>156.45099999999999</v>
      </c>
      <c r="H18" s="1">
        <v>-16.36</v>
      </c>
      <c r="I18" s="1">
        <v>18.8516950219697</v>
      </c>
      <c r="J18" s="1">
        <v>57712.333333333299</v>
      </c>
      <c r="K18" s="1">
        <v>190954</v>
      </c>
      <c r="L18" s="1">
        <v>20182.007184976501</v>
      </c>
      <c r="M18" s="1">
        <v>12178.6084606764</v>
      </c>
      <c r="N18" s="1">
        <v>2361.8096504917398</v>
      </c>
      <c r="O18" s="1">
        <v>6656.0375797312399</v>
      </c>
      <c r="P18" s="1">
        <v>733.637420530599</v>
      </c>
      <c r="Q18" s="1">
        <v>819.31250458225497</v>
      </c>
      <c r="R18" s="1">
        <v>-85.675084051656299</v>
      </c>
    </row>
    <row r="19" spans="1:18" x14ac:dyDescent="0.25">
      <c r="A19" s="1" t="s">
        <v>34</v>
      </c>
      <c r="B19" s="1">
        <v>3895.7930000000001</v>
      </c>
      <c r="C19" s="1">
        <v>2366.6909999999998</v>
      </c>
      <c r="D19" s="1">
        <v>449.37299999999999</v>
      </c>
      <c r="E19" s="1">
        <v>1282.412</v>
      </c>
      <c r="F19" s="1">
        <v>139.51900000000001</v>
      </c>
      <c r="G19" s="1">
        <v>159.97300000000001</v>
      </c>
      <c r="H19" s="1">
        <v>-20.454000000000001</v>
      </c>
      <c r="I19" s="1">
        <v>18.844699955820001</v>
      </c>
      <c r="J19" s="1">
        <v>58076.666666666701</v>
      </c>
      <c r="K19" s="1">
        <v>191560</v>
      </c>
      <c r="L19" s="1">
        <v>20337.194612653999</v>
      </c>
      <c r="M19" s="1">
        <v>12354.8287742744</v>
      </c>
      <c r="N19" s="1">
        <v>2345.8603048653199</v>
      </c>
      <c r="O19" s="1">
        <v>6694.5708916266403</v>
      </c>
      <c r="P19" s="1">
        <v>728.33054917519303</v>
      </c>
      <c r="Q19" s="1">
        <v>835.10649404886203</v>
      </c>
      <c r="R19" s="1">
        <v>-106.775944873669</v>
      </c>
    </row>
    <row r="20" spans="1:18" x14ac:dyDescent="0.25">
      <c r="A20" s="1" t="s">
        <v>35</v>
      </c>
      <c r="B20" s="1">
        <v>3956.6570000000002</v>
      </c>
      <c r="C20" s="1">
        <v>2410.4079999999999</v>
      </c>
      <c r="D20" s="1">
        <v>459.86099999999999</v>
      </c>
      <c r="E20" s="1">
        <v>1283.9290000000001</v>
      </c>
      <c r="F20" s="1">
        <v>143.887</v>
      </c>
      <c r="G20" s="1">
        <v>164.26599999999999</v>
      </c>
      <c r="H20" s="1">
        <v>-20.379000000000001</v>
      </c>
      <c r="I20" s="1">
        <v>19.0848660114663</v>
      </c>
      <c r="J20" s="1">
        <v>58644.666666666701</v>
      </c>
      <c r="K20" s="1">
        <v>192256</v>
      </c>
      <c r="L20" s="1">
        <v>20580.1483438748</v>
      </c>
      <c r="M20" s="1">
        <v>12537.491677763001</v>
      </c>
      <c r="N20" s="1">
        <v>2391.92014813582</v>
      </c>
      <c r="O20" s="1">
        <v>6678.2259071238404</v>
      </c>
      <c r="P20" s="1">
        <v>748.41357356857498</v>
      </c>
      <c r="Q20" s="1">
        <v>854.412866178429</v>
      </c>
      <c r="R20" s="1">
        <v>-105.999292609853</v>
      </c>
    </row>
    <row r="21" spans="1:18" x14ac:dyDescent="0.25">
      <c r="A21" s="1" t="s">
        <v>36</v>
      </c>
      <c r="B21" s="1">
        <v>3968.8780000000002</v>
      </c>
      <c r="C21" s="1">
        <v>2417.288</v>
      </c>
      <c r="D21" s="1">
        <v>464.22899999999998</v>
      </c>
      <c r="E21" s="1">
        <v>1283.386</v>
      </c>
      <c r="F21" s="1">
        <v>146.78399999999999</v>
      </c>
      <c r="G21" s="1">
        <v>168.709</v>
      </c>
      <c r="H21" s="1">
        <v>-21.925000000000001</v>
      </c>
      <c r="I21" s="1">
        <v>19.202791976248701</v>
      </c>
      <c r="J21" s="1">
        <v>59144</v>
      </c>
      <c r="K21" s="1">
        <v>192938</v>
      </c>
      <c r="L21" s="1">
        <v>20570.742932962901</v>
      </c>
      <c r="M21" s="1">
        <v>12528.8330966424</v>
      </c>
      <c r="N21" s="1">
        <v>2406.1045517212801</v>
      </c>
      <c r="O21" s="1">
        <v>6651.8052431350998</v>
      </c>
      <c r="P21" s="1">
        <v>760.78325679752095</v>
      </c>
      <c r="Q21" s="1">
        <v>874.42079839119299</v>
      </c>
      <c r="R21" s="1">
        <v>-113.63754159367301</v>
      </c>
    </row>
    <row r="22" spans="1:18" x14ac:dyDescent="0.25">
      <c r="A22" s="1" t="s">
        <v>37</v>
      </c>
      <c r="B22" s="1">
        <v>4064.915</v>
      </c>
      <c r="C22" s="1">
        <v>2471.1959999999999</v>
      </c>
      <c r="D22" s="1">
        <v>508.49099999999999</v>
      </c>
      <c r="E22" s="1">
        <v>1281.9100000000001</v>
      </c>
      <c r="F22" s="1">
        <v>129.69999999999999</v>
      </c>
      <c r="G22" s="1">
        <v>162.63499999999999</v>
      </c>
      <c r="H22" s="1">
        <v>-32.935000000000002</v>
      </c>
      <c r="I22" s="1">
        <v>19.7423790164415</v>
      </c>
      <c r="J22" s="1">
        <v>59795</v>
      </c>
      <c r="K22" s="1">
        <v>193467</v>
      </c>
      <c r="L22" s="1">
        <v>21010.895915065601</v>
      </c>
      <c r="M22" s="1">
        <v>12773.217137806399</v>
      </c>
      <c r="N22" s="1">
        <v>2628.3087038099502</v>
      </c>
      <c r="O22" s="1">
        <v>6625.9878945763403</v>
      </c>
      <c r="P22" s="1">
        <v>670.39856926504297</v>
      </c>
      <c r="Q22" s="1">
        <v>840.63432006492098</v>
      </c>
      <c r="R22" s="1">
        <v>-170.23575079987799</v>
      </c>
    </row>
    <row r="23" spans="1:18" x14ac:dyDescent="0.25">
      <c r="A23" s="1" t="s">
        <v>38</v>
      </c>
      <c r="B23" s="1">
        <v>4116.2669999999998</v>
      </c>
      <c r="C23" s="1">
        <v>2498.4499999999998</v>
      </c>
      <c r="D23" s="1">
        <v>509.827</v>
      </c>
      <c r="E23" s="1">
        <v>1297.0740000000001</v>
      </c>
      <c r="F23" s="1">
        <v>151.411</v>
      </c>
      <c r="G23" s="1">
        <v>181.828</v>
      </c>
      <c r="H23" s="1">
        <v>-30.417000000000002</v>
      </c>
      <c r="I23" s="1">
        <v>20.201016422369701</v>
      </c>
      <c r="J23" s="1">
        <v>60480</v>
      </c>
      <c r="K23" s="1">
        <v>193994</v>
      </c>
      <c r="L23" s="1">
        <v>21218.5273771354</v>
      </c>
      <c r="M23" s="1">
        <v>12879.006567213401</v>
      </c>
      <c r="N23" s="1">
        <v>2628.0555068713502</v>
      </c>
      <c r="O23" s="1">
        <v>6686.1552419147001</v>
      </c>
      <c r="P23" s="1">
        <v>780.49321113024098</v>
      </c>
      <c r="Q23" s="1">
        <v>937.28672020784097</v>
      </c>
      <c r="R23" s="1">
        <v>-156.79350907759999</v>
      </c>
    </row>
    <row r="24" spans="1:18" x14ac:dyDescent="0.25">
      <c r="A24" s="1" t="s">
        <v>39</v>
      </c>
      <c r="B24" s="1">
        <v>4207.7820000000002</v>
      </c>
      <c r="C24" s="1">
        <v>2541.38</v>
      </c>
      <c r="D24" s="1">
        <v>527.57799999999997</v>
      </c>
      <c r="E24" s="1">
        <v>1340.1089999999999</v>
      </c>
      <c r="F24" s="1">
        <v>148.04599999999999</v>
      </c>
      <c r="G24" s="1">
        <v>182.57400000000001</v>
      </c>
      <c r="H24" s="1">
        <v>-34.527999999999999</v>
      </c>
      <c r="I24" s="1">
        <v>20.843885616370802</v>
      </c>
      <c r="J24" s="1">
        <v>61227.666666666701</v>
      </c>
      <c r="K24" s="1">
        <v>194647</v>
      </c>
      <c r="L24" s="1">
        <v>21617.502453158799</v>
      </c>
      <c r="M24" s="1">
        <v>13056.353295966501</v>
      </c>
      <c r="N24" s="1">
        <v>2710.4347870760898</v>
      </c>
      <c r="O24" s="1">
        <v>6884.8171304977704</v>
      </c>
      <c r="P24" s="1">
        <v>760.58711410913099</v>
      </c>
      <c r="Q24" s="1">
        <v>937.97489814895698</v>
      </c>
      <c r="R24" s="1">
        <v>-177.38778403982599</v>
      </c>
    </row>
    <row r="25" spans="1:18" x14ac:dyDescent="0.25">
      <c r="A25" s="1" t="s">
        <v>40</v>
      </c>
      <c r="B25" s="1">
        <v>4304.7309999999998</v>
      </c>
      <c r="C25" s="1">
        <v>2612.826</v>
      </c>
      <c r="D25" s="1">
        <v>531.072</v>
      </c>
      <c r="E25" s="1">
        <v>1365.498</v>
      </c>
      <c r="F25" s="1">
        <v>157.095</v>
      </c>
      <c r="G25" s="1">
        <v>191.482</v>
      </c>
      <c r="H25" s="1">
        <v>-34.387</v>
      </c>
      <c r="I25" s="1">
        <v>21.196816676420301</v>
      </c>
      <c r="J25" s="1">
        <v>62012.333333333299</v>
      </c>
      <c r="K25" s="1">
        <v>195279</v>
      </c>
      <c r="L25" s="1">
        <v>22044.003707515902</v>
      </c>
      <c r="M25" s="1">
        <v>13379.964051434101</v>
      </c>
      <c r="N25" s="1">
        <v>2719.55509809042</v>
      </c>
      <c r="O25" s="1">
        <v>6992.5491220254098</v>
      </c>
      <c r="P25" s="1">
        <v>804.46438173075398</v>
      </c>
      <c r="Q25" s="1">
        <v>980.55602496940298</v>
      </c>
      <c r="R25" s="1">
        <v>-176.091643238648</v>
      </c>
    </row>
    <row r="26" spans="1:18" x14ac:dyDescent="0.25">
      <c r="A26" s="1" t="s">
        <v>41</v>
      </c>
      <c r="B26" s="1">
        <v>4409.518</v>
      </c>
      <c r="C26" s="1">
        <v>2651.3969999999999</v>
      </c>
      <c r="D26" s="1">
        <v>573.50199999999995</v>
      </c>
      <c r="E26" s="1">
        <v>1390.9469999999999</v>
      </c>
      <c r="F26" s="1">
        <v>153.22399999999999</v>
      </c>
      <c r="G26" s="1">
        <v>196.417</v>
      </c>
      <c r="H26" s="1">
        <v>-43.192999999999998</v>
      </c>
      <c r="I26" s="1">
        <v>22.053438577695001</v>
      </c>
      <c r="J26" s="1">
        <v>62839</v>
      </c>
      <c r="K26" s="1">
        <v>195763</v>
      </c>
      <c r="L26" s="1">
        <v>22524.777409418501</v>
      </c>
      <c r="M26" s="1">
        <v>13543.9127925093</v>
      </c>
      <c r="N26" s="1">
        <v>2929.5730040916801</v>
      </c>
      <c r="O26" s="1">
        <v>7105.25993165205</v>
      </c>
      <c r="P26" s="1">
        <v>782.70153195445505</v>
      </c>
      <c r="Q26" s="1">
        <v>1003.34077430362</v>
      </c>
      <c r="R26" s="1">
        <v>-220.63924234916701</v>
      </c>
    </row>
    <row r="27" spans="1:18" x14ac:dyDescent="0.25">
      <c r="A27" s="1" t="s">
        <v>42</v>
      </c>
      <c r="B27" s="1">
        <v>4424.5810000000001</v>
      </c>
      <c r="C27" s="1">
        <v>2658.1909999999998</v>
      </c>
      <c r="D27" s="1">
        <v>565.01199999999994</v>
      </c>
      <c r="E27" s="1">
        <v>1417.2260000000001</v>
      </c>
      <c r="F27" s="1">
        <v>157.828</v>
      </c>
      <c r="G27" s="1">
        <v>201.30199999999999</v>
      </c>
      <c r="H27" s="1">
        <v>-43.473999999999997</v>
      </c>
      <c r="I27" s="1">
        <v>21.673373424096301</v>
      </c>
      <c r="J27" s="1">
        <v>63753.333333333299</v>
      </c>
      <c r="K27" s="1">
        <v>196277</v>
      </c>
      <c r="L27" s="1">
        <v>22542.534275539201</v>
      </c>
      <c r="M27" s="1">
        <v>13543.059044105999</v>
      </c>
      <c r="N27" s="1">
        <v>2878.6459952006599</v>
      </c>
      <c r="O27" s="1">
        <v>7220.5403587786705</v>
      </c>
      <c r="P27" s="1">
        <v>804.10847934296896</v>
      </c>
      <c r="Q27" s="1">
        <v>1025.6015732867299</v>
      </c>
      <c r="R27" s="1">
        <v>-221.493093943763</v>
      </c>
    </row>
    <row r="28" spans="1:18" x14ac:dyDescent="0.25">
      <c r="A28" s="1" t="s">
        <v>43</v>
      </c>
      <c r="B28" s="1">
        <v>4462.0529999999999</v>
      </c>
      <c r="C28" s="1">
        <v>2688.5459999999998</v>
      </c>
      <c r="D28" s="1">
        <v>560.84400000000005</v>
      </c>
      <c r="E28" s="1">
        <v>1455.85</v>
      </c>
      <c r="F28" s="1">
        <v>155.94200000000001</v>
      </c>
      <c r="G28" s="1">
        <v>212.59299999999999</v>
      </c>
      <c r="H28" s="1">
        <v>-56.651000000000003</v>
      </c>
      <c r="I28" s="1">
        <v>21.929594467613001</v>
      </c>
      <c r="J28" s="1">
        <v>64483.666666666701</v>
      </c>
      <c r="K28" s="1">
        <v>196877</v>
      </c>
      <c r="L28" s="1">
        <v>22664.16595133</v>
      </c>
      <c r="M28" s="1">
        <v>13655.9679393733</v>
      </c>
      <c r="N28" s="1">
        <v>2848.7024893715402</v>
      </c>
      <c r="O28" s="1">
        <v>7394.7185298435097</v>
      </c>
      <c r="P28" s="1">
        <v>792.07830269660803</v>
      </c>
      <c r="Q28" s="1">
        <v>1079.8264906515201</v>
      </c>
      <c r="R28" s="1">
        <v>-287.74818795491598</v>
      </c>
    </row>
    <row r="29" spans="1:18" x14ac:dyDescent="0.25">
      <c r="A29" s="1" t="s">
        <v>44</v>
      </c>
      <c r="B29" s="1">
        <v>4498.66</v>
      </c>
      <c r="C29" s="1">
        <v>2699.7469999999998</v>
      </c>
      <c r="D29" s="1">
        <v>564.13099999999997</v>
      </c>
      <c r="E29" s="1">
        <v>1480.9849999999999</v>
      </c>
      <c r="F29" s="1">
        <v>159.81899999999999</v>
      </c>
      <c r="G29" s="1">
        <v>214.98699999999999</v>
      </c>
      <c r="H29" s="1">
        <v>-55.167999999999999</v>
      </c>
      <c r="I29" s="1">
        <v>21.613450238347699</v>
      </c>
      <c r="J29" s="1">
        <v>65024</v>
      </c>
      <c r="K29" s="1">
        <v>197481</v>
      </c>
      <c r="L29" s="1">
        <v>22780.216830986301</v>
      </c>
      <c r="M29" s="1">
        <v>13670.9202404282</v>
      </c>
      <c r="N29" s="1">
        <v>2856.6343091234098</v>
      </c>
      <c r="O29" s="1">
        <v>7499.3796871597797</v>
      </c>
      <c r="P29" s="1">
        <v>809.28798213498999</v>
      </c>
      <c r="Q29" s="1">
        <v>1088.6465027015299</v>
      </c>
      <c r="R29" s="1">
        <v>-279.35852056653601</v>
      </c>
    </row>
    <row r="30" spans="1:18" x14ac:dyDescent="0.25">
      <c r="A30" s="1" t="s">
        <v>45</v>
      </c>
      <c r="B30" s="1">
        <v>4538.4979999999996</v>
      </c>
      <c r="C30" s="1">
        <v>2715.3029999999999</v>
      </c>
      <c r="D30" s="1">
        <v>550.28599999999994</v>
      </c>
      <c r="E30" s="1">
        <v>1543.56</v>
      </c>
      <c r="F30" s="1">
        <v>161.78200000000001</v>
      </c>
      <c r="G30" s="1">
        <v>218.34299999999999</v>
      </c>
      <c r="H30" s="1">
        <v>-56.561</v>
      </c>
      <c r="I30" s="1">
        <v>21.418730140123099</v>
      </c>
      <c r="J30" s="1">
        <v>65455.333333333299</v>
      </c>
      <c r="K30" s="1">
        <v>197967</v>
      </c>
      <c r="L30" s="1">
        <v>22925.5279920391</v>
      </c>
      <c r="M30" s="1">
        <v>13715.937504735601</v>
      </c>
      <c r="N30" s="1">
        <v>2779.6855031394098</v>
      </c>
      <c r="O30" s="1">
        <v>7797.0570852717901</v>
      </c>
      <c r="P30" s="1">
        <v>817.21701091596105</v>
      </c>
      <c r="Q30" s="1">
        <v>1102.9262452833</v>
      </c>
      <c r="R30" s="1">
        <v>-285.70923436734398</v>
      </c>
    </row>
    <row r="31" spans="1:18" x14ac:dyDescent="0.25">
      <c r="A31" s="1" t="s">
        <v>46</v>
      </c>
      <c r="B31" s="1">
        <v>4541.28</v>
      </c>
      <c r="C31" s="1">
        <v>2752.4259999999999</v>
      </c>
      <c r="D31" s="1">
        <v>530.37800000000004</v>
      </c>
      <c r="E31" s="1">
        <v>1537.155</v>
      </c>
      <c r="F31" s="1">
        <v>159.631</v>
      </c>
      <c r="G31" s="1">
        <v>216.608</v>
      </c>
      <c r="H31" s="1">
        <v>-56.976999999999997</v>
      </c>
      <c r="I31" s="1">
        <v>21.6023117671958</v>
      </c>
      <c r="J31" s="1">
        <v>65612</v>
      </c>
      <c r="K31" s="1">
        <v>198455</v>
      </c>
      <c r="L31" s="1">
        <v>22883.172507621399</v>
      </c>
      <c r="M31" s="1">
        <v>13869.270111612201</v>
      </c>
      <c r="N31" s="1">
        <v>2672.5353354664799</v>
      </c>
      <c r="O31" s="1">
        <v>7745.6098359829703</v>
      </c>
      <c r="P31" s="1">
        <v>804.36874858280203</v>
      </c>
      <c r="Q31" s="1">
        <v>1091.4716182509901</v>
      </c>
      <c r="R31" s="1">
        <v>-287.102869668187</v>
      </c>
    </row>
    <row r="32" spans="1:18" x14ac:dyDescent="0.25">
      <c r="A32" s="1" t="s">
        <v>47</v>
      </c>
      <c r="B32" s="1">
        <v>4584.2460000000001</v>
      </c>
      <c r="C32" s="1">
        <v>2766.518</v>
      </c>
      <c r="D32" s="1">
        <v>545.92999999999995</v>
      </c>
      <c r="E32" s="1">
        <v>1554.2370000000001</v>
      </c>
      <c r="F32" s="1">
        <v>158.35</v>
      </c>
      <c r="G32" s="1">
        <v>219.452</v>
      </c>
      <c r="H32" s="1">
        <v>-61.101999999999997</v>
      </c>
      <c r="I32" s="1">
        <v>21.846183141496599</v>
      </c>
      <c r="J32" s="1">
        <v>66065</v>
      </c>
      <c r="K32" s="1">
        <v>199012</v>
      </c>
      <c r="L32" s="1">
        <v>23035.023013687602</v>
      </c>
      <c r="M32" s="1">
        <v>13901.262235443101</v>
      </c>
      <c r="N32" s="1">
        <v>2743.2014149900501</v>
      </c>
      <c r="O32" s="1">
        <v>7809.7652402870199</v>
      </c>
      <c r="P32" s="1">
        <v>795.68066247261504</v>
      </c>
      <c r="Q32" s="1">
        <v>1102.7073744296799</v>
      </c>
      <c r="R32" s="1">
        <v>-307.02671195706802</v>
      </c>
    </row>
    <row r="33" spans="1:18" x14ac:dyDescent="0.25">
      <c r="A33" s="1" t="s">
        <v>48</v>
      </c>
      <c r="B33" s="1">
        <v>4618.8119999999999</v>
      </c>
      <c r="C33" s="1">
        <v>2783.4470000000001</v>
      </c>
      <c r="D33" s="1">
        <v>557.70600000000002</v>
      </c>
      <c r="E33" s="1">
        <v>1566.046</v>
      </c>
      <c r="F33" s="1">
        <v>161.33699999999999</v>
      </c>
      <c r="G33" s="1">
        <v>231.02600000000001</v>
      </c>
      <c r="H33" s="1">
        <v>-69.688999999999993</v>
      </c>
      <c r="I33" s="1">
        <v>22.310043636235299</v>
      </c>
      <c r="J33" s="1">
        <v>66609.333333333299</v>
      </c>
      <c r="K33" s="1">
        <v>199572</v>
      </c>
      <c r="L33" s="1">
        <v>23143.587276772301</v>
      </c>
      <c r="M33" s="1">
        <v>13947.0817549556</v>
      </c>
      <c r="N33" s="1">
        <v>2794.5102519391498</v>
      </c>
      <c r="O33" s="1">
        <v>7847.0226284248301</v>
      </c>
      <c r="P33" s="1">
        <v>808.41500811737103</v>
      </c>
      <c r="Q33" s="1">
        <v>1157.6072795783</v>
      </c>
      <c r="R33" s="1">
        <v>-349.19227146092601</v>
      </c>
    </row>
    <row r="34" spans="1:18" x14ac:dyDescent="0.25">
      <c r="A34" s="1" t="s">
        <v>49</v>
      </c>
      <c r="B34" s="1">
        <v>4713.0129999999999</v>
      </c>
      <c r="C34" s="1">
        <v>2850.1529999999998</v>
      </c>
      <c r="D34" s="1">
        <v>568.88699999999994</v>
      </c>
      <c r="E34" s="1">
        <v>1594.047</v>
      </c>
      <c r="F34" s="1">
        <v>165.86799999999999</v>
      </c>
      <c r="G34" s="1">
        <v>244.637</v>
      </c>
      <c r="H34" s="1">
        <v>-78.769000000000005</v>
      </c>
      <c r="I34" s="1">
        <v>22.617386562812801</v>
      </c>
      <c r="J34" s="1">
        <v>67104.666666666701</v>
      </c>
      <c r="K34" s="1">
        <v>199995</v>
      </c>
      <c r="L34" s="1">
        <v>23565.654141353501</v>
      </c>
      <c r="M34" s="1">
        <v>14251.121278032</v>
      </c>
      <c r="N34" s="1">
        <v>2844.5061126528199</v>
      </c>
      <c r="O34" s="1">
        <v>7970.4342608565203</v>
      </c>
      <c r="P34" s="1">
        <v>829.36073401835097</v>
      </c>
      <c r="Q34" s="1">
        <v>1223.21558038951</v>
      </c>
      <c r="R34" s="1">
        <v>-393.854846371159</v>
      </c>
    </row>
    <row r="35" spans="1:18" x14ac:dyDescent="0.25">
      <c r="A35" s="1" t="s">
        <v>50</v>
      </c>
      <c r="B35" s="1">
        <v>4791.7579999999998</v>
      </c>
      <c r="C35" s="1">
        <v>2893.5529999999999</v>
      </c>
      <c r="D35" s="1">
        <v>590.64700000000005</v>
      </c>
      <c r="E35" s="1">
        <v>1602.3150000000001</v>
      </c>
      <c r="F35" s="1">
        <v>168.643</v>
      </c>
      <c r="G35" s="1">
        <v>248.369</v>
      </c>
      <c r="H35" s="1">
        <v>-79.725999999999999</v>
      </c>
      <c r="I35" s="1">
        <v>22.5953956233711</v>
      </c>
      <c r="J35" s="1">
        <v>67704.333333333299</v>
      </c>
      <c r="K35" s="1">
        <v>200452</v>
      </c>
      <c r="L35" s="1">
        <v>23904.765230578902</v>
      </c>
      <c r="M35" s="1">
        <v>14435.1415800291</v>
      </c>
      <c r="N35" s="1">
        <v>2946.57573883024</v>
      </c>
      <c r="O35" s="1">
        <v>7993.5096681499799</v>
      </c>
      <c r="P35" s="1">
        <v>841.31363119350306</v>
      </c>
      <c r="Q35" s="1">
        <v>1239.0447588450099</v>
      </c>
      <c r="R35" s="1">
        <v>-397.73112765150802</v>
      </c>
    </row>
    <row r="36" spans="1:18" x14ac:dyDescent="0.25">
      <c r="A36" s="1" t="s">
        <v>51</v>
      </c>
      <c r="B36" s="1">
        <v>4828.8919999999998</v>
      </c>
      <c r="C36" s="1">
        <v>2947.7840000000001</v>
      </c>
      <c r="D36" s="1">
        <v>574.53899999999999</v>
      </c>
      <c r="E36" s="1">
        <v>1607.115</v>
      </c>
      <c r="F36" s="1">
        <v>180.63499999999999</v>
      </c>
      <c r="G36" s="1">
        <v>263.29599999999999</v>
      </c>
      <c r="H36" s="1">
        <v>-82.661000000000001</v>
      </c>
      <c r="I36" s="1">
        <v>22.806872372827598</v>
      </c>
      <c r="J36" s="1">
        <v>68313.333333333299</v>
      </c>
      <c r="K36" s="1">
        <v>200997</v>
      </c>
      <c r="L36" s="1">
        <v>24024.696886023201</v>
      </c>
      <c r="M36" s="1">
        <v>14665.810932501499</v>
      </c>
      <c r="N36" s="1">
        <v>2858.44564844251</v>
      </c>
      <c r="O36" s="1">
        <v>7995.7163539754301</v>
      </c>
      <c r="P36" s="1">
        <v>898.69500539809098</v>
      </c>
      <c r="Q36" s="1">
        <v>1309.9498997497501</v>
      </c>
      <c r="R36" s="1">
        <v>-411.25489435165701</v>
      </c>
    </row>
    <row r="37" spans="1:18" x14ac:dyDescent="0.25">
      <c r="A37" s="1" t="s">
        <v>52</v>
      </c>
      <c r="B37" s="1">
        <v>4847.8850000000002</v>
      </c>
      <c r="C37" s="1">
        <v>2961.0810000000001</v>
      </c>
      <c r="D37" s="1">
        <v>580.78899999999999</v>
      </c>
      <c r="E37" s="1">
        <v>1608.5730000000001</v>
      </c>
      <c r="F37" s="1">
        <v>176.62100000000001</v>
      </c>
      <c r="G37" s="1">
        <v>261.077</v>
      </c>
      <c r="H37" s="1">
        <v>-84.456000000000003</v>
      </c>
      <c r="I37" s="1">
        <v>23.0756015630392</v>
      </c>
      <c r="J37" s="1">
        <v>68984.333333333299</v>
      </c>
      <c r="K37" s="1">
        <v>201538</v>
      </c>
      <c r="L37" s="1">
        <v>24054.4463078923</v>
      </c>
      <c r="M37" s="1">
        <v>14692.4202879854</v>
      </c>
      <c r="N37" s="1">
        <v>2881.7840804215598</v>
      </c>
      <c r="O37" s="1">
        <v>7981.4873621848001</v>
      </c>
      <c r="P37" s="1">
        <v>876.36574740247499</v>
      </c>
      <c r="Q37" s="1">
        <v>1295.4231956256399</v>
      </c>
      <c r="R37" s="1">
        <v>-419.05744822316399</v>
      </c>
    </row>
    <row r="38" spans="1:18" x14ac:dyDescent="0.25">
      <c r="A38" s="1" t="s">
        <v>53</v>
      </c>
      <c r="B38" s="1">
        <v>4923.76</v>
      </c>
      <c r="C38" s="1">
        <v>2993.913</v>
      </c>
      <c r="D38" s="1">
        <v>614.98900000000003</v>
      </c>
      <c r="E38" s="1">
        <v>1612.2190000000001</v>
      </c>
      <c r="F38" s="1">
        <v>156.09</v>
      </c>
      <c r="G38" s="1">
        <v>236.452</v>
      </c>
      <c r="H38" s="1">
        <v>-80.361999999999995</v>
      </c>
      <c r="I38" s="1">
        <v>23.769103585125102</v>
      </c>
      <c r="J38" s="1">
        <v>69681</v>
      </c>
      <c r="K38" s="1">
        <v>201955</v>
      </c>
      <c r="L38" s="1">
        <v>24380.480800178299</v>
      </c>
      <c r="M38" s="1">
        <v>14824.654007080801</v>
      </c>
      <c r="N38" s="1">
        <v>3045.1783813225702</v>
      </c>
      <c r="O38" s="1">
        <v>7983.0605828031003</v>
      </c>
      <c r="P38" s="1">
        <v>772.89495184570796</v>
      </c>
      <c r="Q38" s="1">
        <v>1170.8152806318201</v>
      </c>
      <c r="R38" s="1">
        <v>-397.92032878611599</v>
      </c>
    </row>
    <row r="39" spans="1:18" x14ac:dyDescent="0.25">
      <c r="A39" s="1" t="s">
        <v>54</v>
      </c>
      <c r="B39" s="1">
        <v>4938.7280000000001</v>
      </c>
      <c r="C39" s="1">
        <v>3013.2269999999999</v>
      </c>
      <c r="D39" s="1">
        <v>611.36599999999999</v>
      </c>
      <c r="E39" s="1">
        <v>1607.192</v>
      </c>
      <c r="F39" s="1">
        <v>190.297</v>
      </c>
      <c r="G39" s="1">
        <v>283.101</v>
      </c>
      <c r="H39" s="1">
        <v>-92.804000000000002</v>
      </c>
      <c r="I39" s="1">
        <v>23.476761479480999</v>
      </c>
      <c r="J39" s="1">
        <v>70345.333333333299</v>
      </c>
      <c r="K39" s="1">
        <v>202419</v>
      </c>
      <c r="L39" s="1">
        <v>24398.539662778701</v>
      </c>
      <c r="M39" s="1">
        <v>14886.087768440701</v>
      </c>
      <c r="N39" s="1">
        <v>3020.29947781582</v>
      </c>
      <c r="O39" s="1">
        <v>7939.9265879191198</v>
      </c>
      <c r="P39" s="1">
        <v>940.11431733187101</v>
      </c>
      <c r="Q39" s="1">
        <v>1398.58906525573</v>
      </c>
      <c r="R39" s="1">
        <v>-458.474747923861</v>
      </c>
    </row>
    <row r="40" spans="1:18" x14ac:dyDescent="0.25">
      <c r="A40" s="1" t="s">
        <v>55</v>
      </c>
      <c r="B40" s="1">
        <v>4971.3490000000002</v>
      </c>
      <c r="C40" s="1">
        <v>3027.9180000000001</v>
      </c>
      <c r="D40" s="1">
        <v>623.77800000000002</v>
      </c>
      <c r="E40" s="1">
        <v>1610.451</v>
      </c>
      <c r="F40" s="1">
        <v>187.11199999999999</v>
      </c>
      <c r="G40" s="1">
        <v>279.43299999999999</v>
      </c>
      <c r="H40" s="1">
        <v>-92.320999999999998</v>
      </c>
      <c r="I40" s="1">
        <v>23.762310804082301</v>
      </c>
      <c r="J40" s="1">
        <v>70883.666666666701</v>
      </c>
      <c r="K40" s="1">
        <v>202986</v>
      </c>
      <c r="L40" s="1">
        <v>24491.092981782</v>
      </c>
      <c r="M40" s="1">
        <v>14916.880967160299</v>
      </c>
      <c r="N40" s="1">
        <v>3073.00996127812</v>
      </c>
      <c r="O40" s="1">
        <v>7933.8033164848803</v>
      </c>
      <c r="P40" s="1">
        <v>921.79756239346602</v>
      </c>
      <c r="Q40" s="1">
        <v>1376.61218015036</v>
      </c>
      <c r="R40" s="1">
        <v>-454.81461775689002</v>
      </c>
    </row>
    <row r="41" spans="1:18" x14ac:dyDescent="0.25">
      <c r="A41" s="1" t="s">
        <v>56</v>
      </c>
      <c r="B41" s="1">
        <v>4947.1040000000003</v>
      </c>
      <c r="C41" s="1">
        <v>3052.1179999999999</v>
      </c>
      <c r="D41" s="1">
        <v>593.65899999999999</v>
      </c>
      <c r="E41" s="1">
        <v>1588.788</v>
      </c>
      <c r="F41" s="1">
        <v>192.00700000000001</v>
      </c>
      <c r="G41" s="1">
        <v>276.363</v>
      </c>
      <c r="H41" s="1">
        <v>-84.355999999999995</v>
      </c>
      <c r="I41" s="1">
        <v>22.849900786890402</v>
      </c>
      <c r="J41" s="1">
        <v>71149.333333333299</v>
      </c>
      <c r="K41" s="1">
        <v>203584</v>
      </c>
      <c r="L41" s="1">
        <v>24300.0628733103</v>
      </c>
      <c r="M41" s="1">
        <v>14991.9345331657</v>
      </c>
      <c r="N41" s="1">
        <v>2916.0395708896599</v>
      </c>
      <c r="O41" s="1">
        <v>7804.0906947500798</v>
      </c>
      <c r="P41" s="1">
        <v>943.13403803835297</v>
      </c>
      <c r="Q41" s="1">
        <v>1357.4888006916101</v>
      </c>
      <c r="R41" s="1">
        <v>-414.354762653254</v>
      </c>
    </row>
    <row r="42" spans="1:18" x14ac:dyDescent="0.25">
      <c r="A42" s="1" t="s">
        <v>57</v>
      </c>
      <c r="B42" s="1">
        <v>4939.759</v>
      </c>
      <c r="C42" s="1">
        <v>3071.056</v>
      </c>
      <c r="D42" s="1">
        <v>575.95299999999997</v>
      </c>
      <c r="E42" s="1">
        <v>1581.1469999999999</v>
      </c>
      <c r="F42" s="1">
        <v>194.54</v>
      </c>
      <c r="G42" s="1">
        <v>275.45800000000003</v>
      </c>
      <c r="H42" s="1">
        <v>-80.918000000000006</v>
      </c>
      <c r="I42" s="1">
        <v>22.923935055463101</v>
      </c>
      <c r="J42" s="1">
        <v>71310.666666666701</v>
      </c>
      <c r="K42" s="1">
        <v>204086</v>
      </c>
      <c r="L42" s="1">
        <v>24204.3011279559</v>
      </c>
      <c r="M42" s="1">
        <v>15047.852375959201</v>
      </c>
      <c r="N42" s="1">
        <v>2822.1093068608302</v>
      </c>
      <c r="O42" s="1">
        <v>7747.4545044735996</v>
      </c>
      <c r="P42" s="1">
        <v>953.22560097213898</v>
      </c>
      <c r="Q42" s="1">
        <v>1349.7153160922401</v>
      </c>
      <c r="R42" s="1">
        <v>-396.489715120097</v>
      </c>
    </row>
    <row r="43" spans="1:18" x14ac:dyDescent="0.25">
      <c r="A43" s="1" t="s">
        <v>58</v>
      </c>
      <c r="B43" s="1">
        <v>4946.7700000000004</v>
      </c>
      <c r="C43" s="1">
        <v>3084.9679999999998</v>
      </c>
      <c r="D43" s="1">
        <v>577.20500000000004</v>
      </c>
      <c r="E43" s="1">
        <v>1562.7639999999999</v>
      </c>
      <c r="F43" s="1">
        <v>202.078</v>
      </c>
      <c r="G43" s="1">
        <v>280.90199999999999</v>
      </c>
      <c r="H43" s="1">
        <v>-78.823999999999998</v>
      </c>
      <c r="I43" s="1">
        <v>22.3954658254798</v>
      </c>
      <c r="J43" s="1">
        <v>71167</v>
      </c>
      <c r="K43" s="1">
        <v>204721</v>
      </c>
      <c r="L43" s="1">
        <v>24163.471260886799</v>
      </c>
      <c r="M43" s="1">
        <v>15069.133112870701</v>
      </c>
      <c r="N43" s="1">
        <v>2819.4713781194901</v>
      </c>
      <c r="O43" s="1">
        <v>7633.6282061928196</v>
      </c>
      <c r="P43" s="1">
        <v>987.08974653308599</v>
      </c>
      <c r="Q43" s="1">
        <v>1372.12108186263</v>
      </c>
      <c r="R43" s="1">
        <v>-385.03133532954598</v>
      </c>
    </row>
    <row r="44" spans="1:18" x14ac:dyDescent="0.25">
      <c r="A44" s="1" t="s">
        <v>59</v>
      </c>
      <c r="B44" s="1">
        <v>4992.357</v>
      </c>
      <c r="C44" s="1">
        <v>3112.0140000000001</v>
      </c>
      <c r="D44" s="1">
        <v>586.59799999999996</v>
      </c>
      <c r="E44" s="1">
        <v>1569.37</v>
      </c>
      <c r="F44" s="1">
        <v>202.887</v>
      </c>
      <c r="G44" s="1">
        <v>280.25799999999998</v>
      </c>
      <c r="H44" s="1">
        <v>-77.370999999999995</v>
      </c>
      <c r="I44" s="1">
        <v>22.782330574592699</v>
      </c>
      <c r="J44" s="1">
        <v>70978</v>
      </c>
      <c r="K44" s="1">
        <v>205419</v>
      </c>
      <c r="L44" s="1">
        <v>24303.2874271611</v>
      </c>
      <c r="M44" s="1">
        <v>15149.5918099105</v>
      </c>
      <c r="N44" s="1">
        <v>2855.6170558711701</v>
      </c>
      <c r="O44" s="1">
        <v>7639.8483100394797</v>
      </c>
      <c r="P44" s="1">
        <v>987.67397368305797</v>
      </c>
      <c r="Q44" s="1">
        <v>1364.3236506846999</v>
      </c>
      <c r="R44" s="1">
        <v>-376.64967700164101</v>
      </c>
    </row>
    <row r="45" spans="1:18" x14ac:dyDescent="0.25">
      <c r="A45" s="1" t="s">
        <v>60</v>
      </c>
      <c r="B45" s="1">
        <v>4938.857</v>
      </c>
      <c r="C45" s="1">
        <v>3103.5650000000001</v>
      </c>
      <c r="D45" s="1">
        <v>555.45399999999995</v>
      </c>
      <c r="E45" s="1">
        <v>1570.1010000000001</v>
      </c>
      <c r="F45" s="1">
        <v>203.30799999999999</v>
      </c>
      <c r="G45" s="1">
        <v>284.60399999999998</v>
      </c>
      <c r="H45" s="1">
        <v>-81.296000000000006</v>
      </c>
      <c r="I45" s="1">
        <v>22.767872409914101</v>
      </c>
      <c r="J45" s="1">
        <v>70574</v>
      </c>
      <c r="K45" s="1">
        <v>206130</v>
      </c>
      <c r="L45" s="1">
        <v>23959.9136467278</v>
      </c>
      <c r="M45" s="1">
        <v>15056.347935768699</v>
      </c>
      <c r="N45" s="1">
        <v>2694.6781157522</v>
      </c>
      <c r="O45" s="1">
        <v>7617.04264299229</v>
      </c>
      <c r="P45" s="1">
        <v>986.30961044001401</v>
      </c>
      <c r="Q45" s="1">
        <v>1380.7014990539999</v>
      </c>
      <c r="R45" s="1">
        <v>-394.391888613981</v>
      </c>
    </row>
    <row r="46" spans="1:18" x14ac:dyDescent="0.25">
      <c r="A46" s="1" t="s">
        <v>61</v>
      </c>
      <c r="B46" s="1">
        <v>5072.9960000000001</v>
      </c>
      <c r="C46" s="1">
        <v>3163.1390000000001</v>
      </c>
      <c r="D46" s="1">
        <v>620.21199999999999</v>
      </c>
      <c r="E46" s="1">
        <v>1547.1389999999999</v>
      </c>
      <c r="F46" s="1">
        <v>205.16399999999999</v>
      </c>
      <c r="G46" s="1">
        <v>281.24900000000002</v>
      </c>
      <c r="H46" s="1">
        <v>-76.084999999999994</v>
      </c>
      <c r="I46" s="1">
        <v>22.7261032814732</v>
      </c>
      <c r="J46" s="1">
        <v>70844</v>
      </c>
      <c r="K46" s="1">
        <v>206763</v>
      </c>
      <c r="L46" s="1">
        <v>24535.318214574199</v>
      </c>
      <c r="M46" s="1">
        <v>15298.3802711317</v>
      </c>
      <c r="N46" s="1">
        <v>2999.6275929445801</v>
      </c>
      <c r="O46" s="1">
        <v>7482.6685625571299</v>
      </c>
      <c r="P46" s="1">
        <v>992.26650803093401</v>
      </c>
      <c r="Q46" s="1">
        <v>1360.24820688421</v>
      </c>
      <c r="R46" s="1">
        <v>-367.98169885327701</v>
      </c>
    </row>
    <row r="47" spans="1:18" x14ac:dyDescent="0.25">
      <c r="A47" s="1" t="s">
        <v>62</v>
      </c>
      <c r="B47" s="1">
        <v>5100.4470000000001</v>
      </c>
      <c r="C47" s="1">
        <v>3192.21</v>
      </c>
      <c r="D47" s="1">
        <v>637.81100000000004</v>
      </c>
      <c r="E47" s="1">
        <v>1543.5840000000001</v>
      </c>
      <c r="F47" s="1">
        <v>203.64699999999999</v>
      </c>
      <c r="G47" s="1">
        <v>302.46600000000001</v>
      </c>
      <c r="H47" s="1">
        <v>-98.819000000000003</v>
      </c>
      <c r="I47" s="1">
        <v>23.4040122685551</v>
      </c>
      <c r="J47" s="1">
        <v>71179</v>
      </c>
      <c r="K47" s="1">
        <v>207362</v>
      </c>
      <c r="L47" s="1">
        <v>24596.825840800098</v>
      </c>
      <c r="M47" s="1">
        <v>15394.3827702279</v>
      </c>
      <c r="N47" s="1">
        <v>3075.8335664200799</v>
      </c>
      <c r="O47" s="1">
        <v>7443.9096845130698</v>
      </c>
      <c r="P47" s="1">
        <v>982.08447063589301</v>
      </c>
      <c r="Q47" s="1">
        <v>1458.63755172114</v>
      </c>
      <c r="R47" s="1">
        <v>-476.55308108525202</v>
      </c>
    </row>
    <row r="48" spans="1:18" x14ac:dyDescent="0.25">
      <c r="A48" s="1" t="s">
        <v>63</v>
      </c>
      <c r="B48" s="1">
        <v>5142.4219999999996</v>
      </c>
      <c r="C48" s="1">
        <v>3217.6610000000001</v>
      </c>
      <c r="D48" s="1">
        <v>645.54899999999998</v>
      </c>
      <c r="E48" s="1">
        <v>1542.778</v>
      </c>
      <c r="F48" s="1">
        <v>213.827</v>
      </c>
      <c r="G48" s="1">
        <v>309.15199999999999</v>
      </c>
      <c r="H48" s="1">
        <v>-95.325000000000003</v>
      </c>
      <c r="I48" s="1">
        <v>23.775641385423398</v>
      </c>
      <c r="J48" s="1">
        <v>71434</v>
      </c>
      <c r="K48" s="1">
        <v>208000</v>
      </c>
      <c r="L48" s="1">
        <v>24723.182692307699</v>
      </c>
      <c r="M48" s="1">
        <v>15469.524038461501</v>
      </c>
      <c r="N48" s="1">
        <v>3103.6009615384601</v>
      </c>
      <c r="O48" s="1">
        <v>7417.2019230769201</v>
      </c>
      <c r="P48" s="1">
        <v>1028.0144230769199</v>
      </c>
      <c r="Q48" s="1">
        <v>1486.3076923076901</v>
      </c>
      <c r="R48" s="1">
        <v>-458.293269230769</v>
      </c>
    </row>
    <row r="49" spans="1:18" x14ac:dyDescent="0.25">
      <c r="A49" s="1" t="s">
        <v>64</v>
      </c>
      <c r="B49" s="1">
        <v>5154.5469999999996</v>
      </c>
      <c r="C49" s="1">
        <v>3271.05</v>
      </c>
      <c r="D49" s="1">
        <v>628.16499999999996</v>
      </c>
      <c r="E49" s="1">
        <v>1531.9359999999999</v>
      </c>
      <c r="F49" s="1">
        <v>194.08799999999999</v>
      </c>
      <c r="G49" s="1">
        <v>288.197</v>
      </c>
      <c r="H49" s="1">
        <v>-94.108999999999995</v>
      </c>
      <c r="I49" s="1">
        <v>24.117689634491299</v>
      </c>
      <c r="J49" s="1">
        <v>71866</v>
      </c>
      <c r="K49" s="1">
        <v>208642</v>
      </c>
      <c r="L49" s="1">
        <v>24705.222342577199</v>
      </c>
      <c r="M49" s="1">
        <v>15677.8117541051</v>
      </c>
      <c r="N49" s="1">
        <v>3010.7313005051701</v>
      </c>
      <c r="O49" s="1">
        <v>7342.4142790042297</v>
      </c>
      <c r="P49" s="1">
        <v>930.24415026696397</v>
      </c>
      <c r="Q49" s="1">
        <v>1381.2990673018901</v>
      </c>
      <c r="R49" s="1">
        <v>-451.054917034921</v>
      </c>
    </row>
    <row r="50" spans="1:18" x14ac:dyDescent="0.25">
      <c r="A50" s="1" t="s">
        <v>65</v>
      </c>
      <c r="B50" s="1">
        <v>5249.3370000000004</v>
      </c>
      <c r="C50" s="1">
        <v>3314.2220000000002</v>
      </c>
      <c r="D50" s="1">
        <v>669.55799999999999</v>
      </c>
      <c r="E50" s="1">
        <v>1540.394</v>
      </c>
      <c r="F50" s="1">
        <v>216.149</v>
      </c>
      <c r="G50" s="1">
        <v>330.31700000000001</v>
      </c>
      <c r="H50" s="1">
        <v>-114.16800000000001</v>
      </c>
      <c r="I50" s="1">
        <v>24.868629083547798</v>
      </c>
      <c r="J50" s="1">
        <v>72677.666666666701</v>
      </c>
      <c r="K50" s="1">
        <v>209142</v>
      </c>
      <c r="L50" s="1">
        <v>25099.391800786099</v>
      </c>
      <c r="M50" s="1">
        <v>15846.754836426901</v>
      </c>
      <c r="N50" s="1">
        <v>3201.45164529363</v>
      </c>
      <c r="O50" s="1">
        <v>7365.3020435876097</v>
      </c>
      <c r="P50" s="1">
        <v>1033.5035526101899</v>
      </c>
      <c r="Q50" s="1">
        <v>1579.3910357556099</v>
      </c>
      <c r="R50" s="1">
        <v>-545.88748314542295</v>
      </c>
    </row>
    <row r="51" spans="1:18" x14ac:dyDescent="0.25">
      <c r="A51" s="1" t="s">
        <v>66</v>
      </c>
      <c r="B51" s="1">
        <v>5368.4849999999997</v>
      </c>
      <c r="C51" s="1">
        <v>3377.3139999999999</v>
      </c>
      <c r="D51" s="1">
        <v>707.58900000000006</v>
      </c>
      <c r="E51" s="1">
        <v>1546.5930000000001</v>
      </c>
      <c r="F51" s="1">
        <v>209.84200000000001</v>
      </c>
      <c r="G51" s="1">
        <v>318.58100000000002</v>
      </c>
      <c r="H51" s="1">
        <v>-108.739</v>
      </c>
      <c r="I51" s="1">
        <v>25.272579613730301</v>
      </c>
      <c r="J51" s="1">
        <v>73463</v>
      </c>
      <c r="K51" s="1">
        <v>209637</v>
      </c>
      <c r="L51" s="1">
        <v>25608.4803732166</v>
      </c>
      <c r="M51" s="1">
        <v>16110.2954154085</v>
      </c>
      <c r="N51" s="1">
        <v>3375.3058858884601</v>
      </c>
      <c r="O51" s="1">
        <v>7377.4810744286597</v>
      </c>
      <c r="P51" s="1">
        <v>1000.97788081302</v>
      </c>
      <c r="Q51" s="1">
        <v>1519.6792550933301</v>
      </c>
      <c r="R51" s="1">
        <v>-518.70137428030398</v>
      </c>
    </row>
    <row r="52" spans="1:18" x14ac:dyDescent="0.25">
      <c r="A52" s="1" t="s">
        <v>67</v>
      </c>
      <c r="B52" s="1">
        <v>5419.1840000000002</v>
      </c>
      <c r="C52" s="1">
        <v>3429.3620000000001</v>
      </c>
      <c r="D52" s="1">
        <v>717.63800000000003</v>
      </c>
      <c r="E52" s="1">
        <v>1517.1389999999999</v>
      </c>
      <c r="F52" s="1">
        <v>222.49299999999999</v>
      </c>
      <c r="G52" s="1">
        <v>325.21199999999999</v>
      </c>
      <c r="H52" s="1">
        <v>-102.71899999999999</v>
      </c>
      <c r="I52" s="1">
        <v>25.250390578860699</v>
      </c>
      <c r="J52" s="1">
        <v>74038</v>
      </c>
      <c r="K52" s="1">
        <v>210181</v>
      </c>
      <c r="L52" s="1">
        <v>25783.415246858702</v>
      </c>
      <c r="M52" s="1">
        <v>16316.232199865801</v>
      </c>
      <c r="N52" s="1">
        <v>3414.3809383340999</v>
      </c>
      <c r="O52" s="1">
        <v>7218.2499845371403</v>
      </c>
      <c r="P52" s="1">
        <v>1058.5780827001499</v>
      </c>
      <c r="Q52" s="1">
        <v>1547.29495054263</v>
      </c>
      <c r="R52" s="1">
        <v>-488.71686784247902</v>
      </c>
    </row>
    <row r="53" spans="1:18" x14ac:dyDescent="0.25">
      <c r="A53" s="1" t="s">
        <v>68</v>
      </c>
      <c r="B53" s="1">
        <v>5509.9260000000004</v>
      </c>
      <c r="C53" s="1">
        <v>3509.8380000000002</v>
      </c>
      <c r="D53" s="1">
        <v>722.13800000000003</v>
      </c>
      <c r="E53" s="1">
        <v>1529.691</v>
      </c>
      <c r="F53" s="1">
        <v>231.90199999999999</v>
      </c>
      <c r="G53" s="1">
        <v>339.86200000000002</v>
      </c>
      <c r="H53" s="1">
        <v>-107.96</v>
      </c>
      <c r="I53" s="1">
        <v>26.467780414258598</v>
      </c>
      <c r="J53" s="1">
        <v>74971.666666666701</v>
      </c>
      <c r="K53" s="1">
        <v>210737</v>
      </c>
      <c r="L53" s="1">
        <v>26145.982907605201</v>
      </c>
      <c r="M53" s="1">
        <v>16655.062945756999</v>
      </c>
      <c r="N53" s="1">
        <v>3426.7262037516002</v>
      </c>
      <c r="O53" s="1">
        <v>7258.7680378860896</v>
      </c>
      <c r="P53" s="1">
        <v>1100.43324143364</v>
      </c>
      <c r="Q53" s="1">
        <v>1612.7305598921901</v>
      </c>
      <c r="R53" s="1">
        <v>-512.29731845855304</v>
      </c>
    </row>
    <row r="54" spans="1:18" x14ac:dyDescent="0.25">
      <c r="A54" s="1" t="s">
        <v>69</v>
      </c>
      <c r="B54" s="1">
        <v>5646.2860000000001</v>
      </c>
      <c r="C54" s="1">
        <v>3573.9180000000001</v>
      </c>
      <c r="D54" s="1">
        <v>764.45799999999997</v>
      </c>
      <c r="E54" s="1">
        <v>1542.8610000000001</v>
      </c>
      <c r="F54" s="1">
        <v>248.86699999999999</v>
      </c>
      <c r="G54" s="1">
        <v>355.56599999999997</v>
      </c>
      <c r="H54" s="1">
        <v>-106.699</v>
      </c>
      <c r="I54" s="1">
        <v>27.6594492832198</v>
      </c>
      <c r="J54" s="1">
        <v>75971.666666666701</v>
      </c>
      <c r="K54" s="1">
        <v>211192</v>
      </c>
      <c r="L54" s="1">
        <v>26735.321413689901</v>
      </c>
      <c r="M54" s="1">
        <v>16922.601234895301</v>
      </c>
      <c r="N54" s="1">
        <v>3619.7299140118898</v>
      </c>
      <c r="O54" s="1">
        <v>7305.4897912799697</v>
      </c>
      <c r="P54" s="1">
        <v>1178.3921739459799</v>
      </c>
      <c r="Q54" s="1">
        <v>1683.6149096556701</v>
      </c>
      <c r="R54" s="1">
        <v>-505.22273570968599</v>
      </c>
    </row>
    <row r="55" spans="1:18" x14ac:dyDescent="0.25">
      <c r="A55" s="1" t="s">
        <v>70</v>
      </c>
      <c r="B55" s="1">
        <v>5707.7550000000001</v>
      </c>
      <c r="C55" s="1">
        <v>3572.3069999999998</v>
      </c>
      <c r="D55" s="1">
        <v>797.04399999999998</v>
      </c>
      <c r="E55" s="1">
        <v>1531.9880000000001</v>
      </c>
      <c r="F55" s="1">
        <v>260.85599999999999</v>
      </c>
      <c r="G55" s="1">
        <v>345.31799999999998</v>
      </c>
      <c r="H55" s="1">
        <v>-84.462000000000003</v>
      </c>
      <c r="I55" s="1">
        <v>27.679579271588501</v>
      </c>
      <c r="J55" s="1">
        <v>76663.333333333299</v>
      </c>
      <c r="K55" s="1">
        <v>211663</v>
      </c>
      <c r="L55" s="1">
        <v>26966.238785238798</v>
      </c>
      <c r="M55" s="1">
        <v>16877.333308136</v>
      </c>
      <c r="N55" s="1">
        <v>3765.6274360658199</v>
      </c>
      <c r="O55" s="1">
        <v>7237.8639629977797</v>
      </c>
      <c r="P55" s="1">
        <v>1232.4119000486601</v>
      </c>
      <c r="Q55" s="1">
        <v>1631.4518834184501</v>
      </c>
      <c r="R55" s="1">
        <v>-399.039983369791</v>
      </c>
    </row>
    <row r="56" spans="1:18" x14ac:dyDescent="0.25">
      <c r="A56" s="1" t="s">
        <v>71</v>
      </c>
      <c r="B56" s="1">
        <v>5677.7380000000003</v>
      </c>
      <c r="C56" s="1">
        <v>3584.8809999999999</v>
      </c>
      <c r="D56" s="1">
        <v>768.14300000000003</v>
      </c>
      <c r="E56" s="1">
        <v>1513.9649999999999</v>
      </c>
      <c r="F56" s="1">
        <v>261.73500000000001</v>
      </c>
      <c r="G56" s="1">
        <v>335.77800000000002</v>
      </c>
      <c r="H56" s="1">
        <v>-74.043000000000006</v>
      </c>
      <c r="I56" s="1">
        <v>27.422029942836701</v>
      </c>
      <c r="J56" s="1">
        <v>77119</v>
      </c>
      <c r="K56" s="1">
        <v>212191</v>
      </c>
      <c r="L56" s="1">
        <v>26757.675867496699</v>
      </c>
      <c r="M56" s="1">
        <v>16894.5949639711</v>
      </c>
      <c r="N56" s="1">
        <v>3620.0545734738998</v>
      </c>
      <c r="O56" s="1">
        <v>7134.9161840040297</v>
      </c>
      <c r="P56" s="1">
        <v>1233.48775395752</v>
      </c>
      <c r="Q56" s="1">
        <v>1582.43280817754</v>
      </c>
      <c r="R56" s="1">
        <v>-348.94505422001902</v>
      </c>
    </row>
    <row r="57" spans="1:18" x14ac:dyDescent="0.25">
      <c r="A57" s="1" t="s">
        <v>72</v>
      </c>
      <c r="B57" s="1">
        <v>5731.6319999999996</v>
      </c>
      <c r="C57" s="1">
        <v>3574.1880000000001</v>
      </c>
      <c r="D57" s="1">
        <v>795.50400000000002</v>
      </c>
      <c r="E57" s="1">
        <v>1525.325</v>
      </c>
      <c r="F57" s="1">
        <v>274.61</v>
      </c>
      <c r="G57" s="1">
        <v>338.28399999999999</v>
      </c>
      <c r="H57" s="1">
        <v>-63.673999999999999</v>
      </c>
      <c r="I57" s="1">
        <v>27.290530476625701</v>
      </c>
      <c r="J57" s="1">
        <v>77852.666666666701</v>
      </c>
      <c r="K57" s="1">
        <v>212708</v>
      </c>
      <c r="L57" s="1">
        <v>26946.0104932584</v>
      </c>
      <c r="M57" s="1">
        <v>16803.260808244198</v>
      </c>
      <c r="N57" s="1">
        <v>3739.88754536736</v>
      </c>
      <c r="O57" s="1">
        <v>7170.9808751904002</v>
      </c>
      <c r="P57" s="1">
        <v>1291.01867348666</v>
      </c>
      <c r="Q57" s="1">
        <v>1590.3680162476301</v>
      </c>
      <c r="R57" s="1">
        <v>-299.349342760968</v>
      </c>
    </row>
    <row r="58" spans="1:18" x14ac:dyDescent="0.25">
      <c r="A58" s="1" t="s">
        <v>73</v>
      </c>
      <c r="B58" s="1">
        <v>5682.3530000000001</v>
      </c>
      <c r="C58" s="1">
        <v>3542.2109999999998</v>
      </c>
      <c r="D58" s="1">
        <v>750.07600000000002</v>
      </c>
      <c r="E58" s="1">
        <v>1552.8779999999999</v>
      </c>
      <c r="F58" s="1">
        <v>278.17099999999999</v>
      </c>
      <c r="G58" s="1">
        <v>326.81</v>
      </c>
      <c r="H58" s="1">
        <v>-48.639000000000003</v>
      </c>
      <c r="I58" s="1">
        <v>26.9592044259741</v>
      </c>
      <c r="J58" s="1">
        <v>78216.666666666701</v>
      </c>
      <c r="K58" s="1">
        <v>213144</v>
      </c>
      <c r="L58" s="1">
        <v>26659.6901625192</v>
      </c>
      <c r="M58" s="1">
        <v>16618.863303681999</v>
      </c>
      <c r="N58" s="1">
        <v>3519.1044552039898</v>
      </c>
      <c r="O58" s="1">
        <v>7285.5815786510502</v>
      </c>
      <c r="P58" s="1">
        <v>1305.0848252824401</v>
      </c>
      <c r="Q58" s="1">
        <v>1533.2826633637401</v>
      </c>
      <c r="R58" s="1">
        <v>-228.19783808129699</v>
      </c>
    </row>
    <row r="59" spans="1:18" x14ac:dyDescent="0.25">
      <c r="A59" s="1" t="s">
        <v>74</v>
      </c>
      <c r="B59" s="1">
        <v>5695.8590000000004</v>
      </c>
      <c r="C59" s="1">
        <v>3554.9659999999999</v>
      </c>
      <c r="D59" s="1">
        <v>747.08199999999999</v>
      </c>
      <c r="E59" s="1">
        <v>1560.6569999999999</v>
      </c>
      <c r="F59" s="1">
        <v>291.73500000000001</v>
      </c>
      <c r="G59" s="1">
        <v>344.12299999999999</v>
      </c>
      <c r="H59" s="1">
        <v>-52.387999999999998</v>
      </c>
      <c r="I59" s="1">
        <v>26.870921212649598</v>
      </c>
      <c r="J59" s="1">
        <v>78511.666666666701</v>
      </c>
      <c r="K59" s="1">
        <v>213602</v>
      </c>
      <c r="L59" s="1">
        <v>26665.7568749356</v>
      </c>
      <c r="M59" s="1">
        <v>16642.9434181328</v>
      </c>
      <c r="N59" s="1">
        <v>3497.54215784496</v>
      </c>
      <c r="O59" s="1">
        <v>7306.3782174324197</v>
      </c>
      <c r="P59" s="1">
        <v>1365.78777352272</v>
      </c>
      <c r="Q59" s="1">
        <v>1611.0476493665799</v>
      </c>
      <c r="R59" s="1">
        <v>-245.25987584385899</v>
      </c>
    </row>
    <row r="60" spans="1:18" x14ac:dyDescent="0.25">
      <c r="A60" s="1" t="s">
        <v>75</v>
      </c>
      <c r="B60" s="1">
        <v>5642.0249999999996</v>
      </c>
      <c r="C60" s="1">
        <v>3570.2359999999999</v>
      </c>
      <c r="D60" s="1">
        <v>708.36199999999997</v>
      </c>
      <c r="E60" s="1">
        <v>1563.7660000000001</v>
      </c>
      <c r="F60" s="1">
        <v>276.01799999999997</v>
      </c>
      <c r="G60" s="1">
        <v>338.10899999999998</v>
      </c>
      <c r="H60" s="1">
        <v>-62.091000000000001</v>
      </c>
      <c r="I60" s="1">
        <v>26.357475771864699</v>
      </c>
      <c r="J60" s="1">
        <v>78621.666666666701</v>
      </c>
      <c r="K60" s="1">
        <v>214147</v>
      </c>
      <c r="L60" s="1">
        <v>26346.5049708845</v>
      </c>
      <c r="M60" s="1">
        <v>16671.893605794201</v>
      </c>
      <c r="N60" s="1">
        <v>3307.8306023432501</v>
      </c>
      <c r="O60" s="1">
        <v>7302.30168996064</v>
      </c>
      <c r="P60" s="1">
        <v>1288.9183598182599</v>
      </c>
      <c r="Q60" s="1">
        <v>1578.8640513292301</v>
      </c>
      <c r="R60" s="1">
        <v>-289.94569151097102</v>
      </c>
    </row>
    <row r="61" spans="1:18" x14ac:dyDescent="0.25">
      <c r="A61" s="1" t="s">
        <v>76</v>
      </c>
      <c r="B61" s="1">
        <v>5620.1260000000002</v>
      </c>
      <c r="C61" s="1">
        <v>3518.05</v>
      </c>
      <c r="D61" s="1">
        <v>712.66099999999994</v>
      </c>
      <c r="E61" s="1">
        <v>1571.26</v>
      </c>
      <c r="F61" s="1">
        <v>283.22800000000001</v>
      </c>
      <c r="G61" s="1">
        <v>334.75400000000002</v>
      </c>
      <c r="H61" s="1">
        <v>-51.526000000000003</v>
      </c>
      <c r="I61" s="1">
        <v>25.067513248745801</v>
      </c>
      <c r="J61" s="1">
        <v>78182.333333333299</v>
      </c>
      <c r="K61" s="1">
        <v>214700</v>
      </c>
      <c r="L61" s="1">
        <v>26176.646483465302</v>
      </c>
      <c r="M61" s="1">
        <v>16385.887284583099</v>
      </c>
      <c r="N61" s="1">
        <v>3319.33395435491</v>
      </c>
      <c r="O61" s="1">
        <v>7318.3977643223097</v>
      </c>
      <c r="P61" s="1">
        <v>1319.1802515137399</v>
      </c>
      <c r="Q61" s="1">
        <v>1559.17093619003</v>
      </c>
      <c r="R61" s="1">
        <v>-239.990684676293</v>
      </c>
    </row>
    <row r="62" spans="1:18" x14ac:dyDescent="0.25">
      <c r="A62" s="1" t="s">
        <v>77</v>
      </c>
      <c r="B62" s="1">
        <v>5551.7129999999997</v>
      </c>
      <c r="C62" s="1">
        <v>3547.5569999999998</v>
      </c>
      <c r="D62" s="1">
        <v>597.86599999999999</v>
      </c>
      <c r="E62" s="1">
        <v>1588.3720000000001</v>
      </c>
      <c r="F62" s="1">
        <v>285.20400000000001</v>
      </c>
      <c r="G62" s="1">
        <v>301.16399999999999</v>
      </c>
      <c r="H62" s="1">
        <v>-15.96</v>
      </c>
      <c r="I62" s="1">
        <v>24.036569792013001</v>
      </c>
      <c r="J62" s="1">
        <v>76953</v>
      </c>
      <c r="K62" s="1">
        <v>215135</v>
      </c>
      <c r="L62" s="1">
        <v>25805.717340274699</v>
      </c>
      <c r="M62" s="1">
        <v>16489.910986125</v>
      </c>
      <c r="N62" s="1">
        <v>2779.0271225044698</v>
      </c>
      <c r="O62" s="1">
        <v>7383.1408185557902</v>
      </c>
      <c r="P62" s="1">
        <v>1325.6978176493801</v>
      </c>
      <c r="Q62" s="1">
        <v>1399.88379389686</v>
      </c>
      <c r="R62" s="1">
        <v>-74.185976247472396</v>
      </c>
    </row>
    <row r="63" spans="1:18" x14ac:dyDescent="0.25">
      <c r="A63" s="1" t="s">
        <v>78</v>
      </c>
      <c r="B63" s="1">
        <v>5591.3819999999996</v>
      </c>
      <c r="C63" s="1">
        <v>3605.9090000000001</v>
      </c>
      <c r="D63" s="1">
        <v>580.06700000000001</v>
      </c>
      <c r="E63" s="1">
        <v>1574.9480000000001</v>
      </c>
      <c r="F63" s="1">
        <v>276.88900000000001</v>
      </c>
      <c r="G63" s="1">
        <v>277.065</v>
      </c>
      <c r="H63" s="1">
        <v>-0.175999999999988</v>
      </c>
      <c r="I63" s="1">
        <v>23.345907033333699</v>
      </c>
      <c r="J63" s="1">
        <v>76535</v>
      </c>
      <c r="K63" s="1">
        <v>215652</v>
      </c>
      <c r="L63" s="1">
        <v>25927.800345000302</v>
      </c>
      <c r="M63" s="1">
        <v>16720.962476582601</v>
      </c>
      <c r="N63" s="1">
        <v>2689.8289837330499</v>
      </c>
      <c r="O63" s="1">
        <v>7303.1921799936899</v>
      </c>
      <c r="P63" s="1">
        <v>1283.962124163</v>
      </c>
      <c r="Q63" s="1">
        <v>1284.77825385343</v>
      </c>
      <c r="R63" s="1">
        <v>-0.81612969042711303</v>
      </c>
    </row>
    <row r="64" spans="1:18" x14ac:dyDescent="0.25">
      <c r="A64" s="1" t="s">
        <v>79</v>
      </c>
      <c r="B64" s="1">
        <v>5687.0870000000004</v>
      </c>
      <c r="C64" s="1">
        <v>3657.1579999999999</v>
      </c>
      <c r="D64" s="1">
        <v>625.03700000000003</v>
      </c>
      <c r="E64" s="1">
        <v>1604.3689999999999</v>
      </c>
      <c r="F64" s="1">
        <v>272.21800000000002</v>
      </c>
      <c r="G64" s="1">
        <v>300.09800000000001</v>
      </c>
      <c r="H64" s="1">
        <v>-27.88</v>
      </c>
      <c r="I64" s="1">
        <v>24.258414864671799</v>
      </c>
      <c r="J64" s="1">
        <v>77050.333333333299</v>
      </c>
      <c r="K64" s="1">
        <v>216289</v>
      </c>
      <c r="L64" s="1">
        <v>26293.926182099</v>
      </c>
      <c r="M64" s="1">
        <v>16908.663871024401</v>
      </c>
      <c r="N64" s="1">
        <v>2889.82333821877</v>
      </c>
      <c r="O64" s="1">
        <v>7417.70963849294</v>
      </c>
      <c r="P64" s="1">
        <v>1258.58457896611</v>
      </c>
      <c r="Q64" s="1">
        <v>1387.4861874621499</v>
      </c>
      <c r="R64" s="1">
        <v>-128.90160849604001</v>
      </c>
    </row>
    <row r="65" spans="1:18" x14ac:dyDescent="0.25">
      <c r="A65" s="1" t="s">
        <v>80</v>
      </c>
      <c r="B65" s="1">
        <v>5763.665</v>
      </c>
      <c r="C65" s="1">
        <v>3696.4850000000001</v>
      </c>
      <c r="D65" s="1">
        <v>642.48400000000004</v>
      </c>
      <c r="E65" s="1">
        <v>1618.424</v>
      </c>
      <c r="F65" s="1">
        <v>287.60899999999998</v>
      </c>
      <c r="G65" s="1">
        <v>316.11700000000002</v>
      </c>
      <c r="H65" s="1">
        <v>-28.507999999999999</v>
      </c>
      <c r="I65" s="1">
        <v>24.874394163548601</v>
      </c>
      <c r="J65" s="1">
        <v>77747.333333333299</v>
      </c>
      <c r="K65" s="1">
        <v>216848</v>
      </c>
      <c r="L65" s="1">
        <v>26579.2859514499</v>
      </c>
      <c r="M65" s="1">
        <v>17046.4334464694</v>
      </c>
      <c r="N65" s="1">
        <v>2962.83110750387</v>
      </c>
      <c r="O65" s="1">
        <v>7463.4029366191999</v>
      </c>
      <c r="P65" s="1">
        <v>1326.31612927027</v>
      </c>
      <c r="Q65" s="1">
        <v>1457.78148749354</v>
      </c>
      <c r="R65" s="1">
        <v>-131.46535822327201</v>
      </c>
    </row>
    <row r="66" spans="1:18" x14ac:dyDescent="0.25">
      <c r="A66" s="1" t="s">
        <v>81</v>
      </c>
      <c r="B66" s="1">
        <v>5893.2759999999998</v>
      </c>
      <c r="C66" s="1">
        <v>3770.3910000000001</v>
      </c>
      <c r="D66" s="1">
        <v>704.47500000000002</v>
      </c>
      <c r="E66" s="1">
        <v>1620.97</v>
      </c>
      <c r="F66" s="1">
        <v>285.62400000000002</v>
      </c>
      <c r="G66" s="1">
        <v>335.92099999999999</v>
      </c>
      <c r="H66" s="1">
        <v>-50.296999999999997</v>
      </c>
      <c r="I66" s="1">
        <v>25.832890732568298</v>
      </c>
      <c r="J66" s="1">
        <v>78789</v>
      </c>
      <c r="K66" s="1">
        <v>217314</v>
      </c>
      <c r="L66" s="1">
        <v>27118.713014347901</v>
      </c>
      <c r="M66" s="1">
        <v>17349.9682487092</v>
      </c>
      <c r="N66" s="1">
        <v>3241.7377619481499</v>
      </c>
      <c r="O66" s="1">
        <v>7459.1144611023701</v>
      </c>
      <c r="P66" s="1">
        <v>1314.3377785140401</v>
      </c>
      <c r="Q66" s="1">
        <v>1545.78628160174</v>
      </c>
      <c r="R66" s="1">
        <v>-231.44850308769799</v>
      </c>
    </row>
    <row r="67" spans="1:18" x14ac:dyDescent="0.25">
      <c r="A67" s="1" t="s">
        <v>82</v>
      </c>
      <c r="B67" s="1">
        <v>5936.5150000000003</v>
      </c>
      <c r="C67" s="1">
        <v>3805.0810000000001</v>
      </c>
      <c r="D67" s="1">
        <v>732.35799999999995</v>
      </c>
      <c r="E67" s="1">
        <v>1602.934</v>
      </c>
      <c r="F67" s="1">
        <v>288.50299999999999</v>
      </c>
      <c r="G67" s="1">
        <v>350.47</v>
      </c>
      <c r="H67" s="1">
        <v>-61.966999999999999</v>
      </c>
      <c r="I67" s="1">
        <v>25.764596350144998</v>
      </c>
      <c r="J67" s="1">
        <v>79326.666666666701</v>
      </c>
      <c r="K67" s="1">
        <v>217776</v>
      </c>
      <c r="L67" s="1">
        <v>27259.730181470899</v>
      </c>
      <c r="M67" s="1">
        <v>17472.453346557901</v>
      </c>
      <c r="N67" s="1">
        <v>3362.8958195577102</v>
      </c>
      <c r="O67" s="1">
        <v>7360.4713099698802</v>
      </c>
      <c r="P67" s="1">
        <v>1324.76948791419</v>
      </c>
      <c r="Q67" s="1">
        <v>1609.3141576665901</v>
      </c>
      <c r="R67" s="1">
        <v>-284.54466975240598</v>
      </c>
    </row>
    <row r="68" spans="1:18" x14ac:dyDescent="0.25">
      <c r="A68" s="1" t="s">
        <v>83</v>
      </c>
      <c r="B68" s="1">
        <v>5969.0889999999999</v>
      </c>
      <c r="C68" s="1">
        <v>3845.1439999999998</v>
      </c>
      <c r="D68" s="1">
        <v>734.91</v>
      </c>
      <c r="E68" s="1">
        <v>1598.2429999999999</v>
      </c>
      <c r="F68" s="1">
        <v>296.88600000000002</v>
      </c>
      <c r="G68" s="1">
        <v>364.76799999999997</v>
      </c>
      <c r="H68" s="1">
        <v>-67.882000000000005</v>
      </c>
      <c r="I68" s="1">
        <v>25.901741708246799</v>
      </c>
      <c r="J68" s="1">
        <v>79714.333333333299</v>
      </c>
      <c r="K68" s="1">
        <v>218338</v>
      </c>
      <c r="L68" s="1">
        <v>27338.754591504901</v>
      </c>
      <c r="M68" s="1">
        <v>17610.970147202999</v>
      </c>
      <c r="N68" s="1">
        <v>3365.9280564995602</v>
      </c>
      <c r="O68" s="1">
        <v>7320.0404876842304</v>
      </c>
      <c r="P68" s="1">
        <v>1359.7541426595501</v>
      </c>
      <c r="Q68" s="1">
        <v>1670.65742106276</v>
      </c>
      <c r="R68" s="1">
        <v>-310.90327840320901</v>
      </c>
    </row>
    <row r="69" spans="1:18" x14ac:dyDescent="0.25">
      <c r="A69" s="1" t="s">
        <v>84</v>
      </c>
      <c r="B69" s="1">
        <v>6012.3559999999998</v>
      </c>
      <c r="C69" s="1">
        <v>3895.0340000000001</v>
      </c>
      <c r="D69" s="1">
        <v>740.40800000000002</v>
      </c>
      <c r="E69" s="1">
        <v>1597.2639999999999</v>
      </c>
      <c r="F69" s="1">
        <v>299.89800000000002</v>
      </c>
      <c r="G69" s="1">
        <v>376.84100000000001</v>
      </c>
      <c r="H69" s="1">
        <v>-76.942999999999998</v>
      </c>
      <c r="I69" s="1">
        <v>26.825656395983799</v>
      </c>
      <c r="J69" s="1">
        <v>80199.666666666701</v>
      </c>
      <c r="K69" s="1">
        <v>218917</v>
      </c>
      <c r="L69" s="1">
        <v>27464.089129670199</v>
      </c>
      <c r="M69" s="1">
        <v>17792.286574363799</v>
      </c>
      <c r="N69" s="1">
        <v>3382.1402632047798</v>
      </c>
      <c r="O69" s="1">
        <v>7296.2081519479998</v>
      </c>
      <c r="P69" s="1">
        <v>1369.9164523540901</v>
      </c>
      <c r="Q69" s="1">
        <v>1721.38755784156</v>
      </c>
      <c r="R69" s="1">
        <v>-351.47110548746798</v>
      </c>
    </row>
    <row r="70" spans="1:18" x14ac:dyDescent="0.25">
      <c r="A70" s="1" t="s">
        <v>85</v>
      </c>
      <c r="B70" s="1">
        <v>6083.3909999999996</v>
      </c>
      <c r="C70" s="1">
        <v>3940.944</v>
      </c>
      <c r="D70" s="1">
        <v>774.71100000000001</v>
      </c>
      <c r="E70" s="1">
        <v>1610.8420000000001</v>
      </c>
      <c r="F70" s="1">
        <v>295.072</v>
      </c>
      <c r="G70" s="1">
        <v>394.68</v>
      </c>
      <c r="H70" s="1">
        <v>-99.608000000000004</v>
      </c>
      <c r="I70" s="1">
        <v>27.7607770339072</v>
      </c>
      <c r="J70" s="1">
        <v>81023</v>
      </c>
      <c r="K70" s="1">
        <v>219427</v>
      </c>
      <c r="L70" s="1">
        <v>27723.985653543099</v>
      </c>
      <c r="M70" s="1">
        <v>17960.159870936601</v>
      </c>
      <c r="N70" s="1">
        <v>3530.6092686861698</v>
      </c>
      <c r="O70" s="1">
        <v>7341.1293961089596</v>
      </c>
      <c r="P70" s="1">
        <v>1344.73879695753</v>
      </c>
      <c r="Q70" s="1">
        <v>1798.6847562059399</v>
      </c>
      <c r="R70" s="1">
        <v>-453.94595924840598</v>
      </c>
    </row>
    <row r="71" spans="1:18" x14ac:dyDescent="0.25">
      <c r="A71" s="1" t="s">
        <v>86</v>
      </c>
      <c r="B71" s="1">
        <v>6201.6589999999997</v>
      </c>
      <c r="C71" s="1">
        <v>3962.3139999999999</v>
      </c>
      <c r="D71" s="1">
        <v>830.25099999999998</v>
      </c>
      <c r="E71" s="1">
        <v>1625.58</v>
      </c>
      <c r="F71" s="1">
        <v>303.024</v>
      </c>
      <c r="G71" s="1">
        <v>398.31900000000002</v>
      </c>
      <c r="H71" s="1">
        <v>-95.295000000000002</v>
      </c>
      <c r="I71" s="1">
        <v>29.1338860297768</v>
      </c>
      <c r="J71" s="1">
        <v>82101.333333333299</v>
      </c>
      <c r="K71" s="1">
        <v>219956</v>
      </c>
      <c r="L71" s="1">
        <v>28194.998090527199</v>
      </c>
      <c r="M71" s="1">
        <v>18014.121006019399</v>
      </c>
      <c r="N71" s="1">
        <v>3774.6231064394701</v>
      </c>
      <c r="O71" s="1">
        <v>7390.4780956191198</v>
      </c>
      <c r="P71" s="1">
        <v>1377.6573496517501</v>
      </c>
      <c r="Q71" s="1">
        <v>1810.9030897088501</v>
      </c>
      <c r="R71" s="1">
        <v>-433.24574005710201</v>
      </c>
    </row>
    <row r="72" spans="1:18" x14ac:dyDescent="0.25">
      <c r="A72" s="1" t="s">
        <v>87</v>
      </c>
      <c r="B72" s="1">
        <v>6313.5590000000002</v>
      </c>
      <c r="C72" s="1">
        <v>3999.779</v>
      </c>
      <c r="D72" s="1">
        <v>872.26400000000001</v>
      </c>
      <c r="E72" s="1">
        <v>1632.1079999999999</v>
      </c>
      <c r="F72" s="1">
        <v>305.375</v>
      </c>
      <c r="G72" s="1">
        <v>392.76799999999997</v>
      </c>
      <c r="H72" s="1">
        <v>-87.393000000000001</v>
      </c>
      <c r="I72" s="1">
        <v>29.302672107003001</v>
      </c>
      <c r="J72" s="1">
        <v>83147</v>
      </c>
      <c r="K72" s="1">
        <v>220573</v>
      </c>
      <c r="L72" s="1">
        <v>28623.444392559399</v>
      </c>
      <c r="M72" s="1">
        <v>18133.583892860901</v>
      </c>
      <c r="N72" s="1">
        <v>3954.5365933273802</v>
      </c>
      <c r="O72" s="1">
        <v>7399.4006519383602</v>
      </c>
      <c r="P72" s="1">
        <v>1384.4622868619499</v>
      </c>
      <c r="Q72" s="1">
        <v>1780.6712516944499</v>
      </c>
      <c r="R72" s="1">
        <v>-396.20896483250402</v>
      </c>
    </row>
    <row r="73" spans="1:18" x14ac:dyDescent="0.25">
      <c r="A73" s="1" t="s">
        <v>88</v>
      </c>
      <c r="B73" s="1">
        <v>6313.6970000000001</v>
      </c>
      <c r="C73" s="1">
        <v>4059.9180000000001</v>
      </c>
      <c r="D73" s="1">
        <v>850.38300000000004</v>
      </c>
      <c r="E73" s="1">
        <v>1628.2159999999999</v>
      </c>
      <c r="F73" s="1">
        <v>295.584</v>
      </c>
      <c r="G73" s="1">
        <v>398.34199999999998</v>
      </c>
      <c r="H73" s="1">
        <v>-102.758</v>
      </c>
      <c r="I73" s="1">
        <v>29.609740041397799</v>
      </c>
      <c r="J73" s="1">
        <v>84127.666666666701</v>
      </c>
      <c r="K73" s="1">
        <v>221201</v>
      </c>
      <c r="L73" s="1">
        <v>28542.8049601946</v>
      </c>
      <c r="M73" s="1">
        <v>18353.9766999245</v>
      </c>
      <c r="N73" s="1">
        <v>3844.3903960651201</v>
      </c>
      <c r="O73" s="1">
        <v>7360.7985497353102</v>
      </c>
      <c r="P73" s="1">
        <v>1336.2688233778299</v>
      </c>
      <c r="Q73" s="1">
        <v>1800.8146436950999</v>
      </c>
      <c r="R73" s="1">
        <v>-464.54582031726801</v>
      </c>
    </row>
    <row r="74" spans="1:18" x14ac:dyDescent="0.25">
      <c r="A74" s="1" t="s">
        <v>89</v>
      </c>
      <c r="B74" s="1">
        <v>6333.848</v>
      </c>
      <c r="C74" s="1">
        <v>4082.7260000000001</v>
      </c>
      <c r="D74" s="1">
        <v>866.95699999999999</v>
      </c>
      <c r="E74" s="1">
        <v>1628.6310000000001</v>
      </c>
      <c r="F74" s="1">
        <v>302.56299999999999</v>
      </c>
      <c r="G74" s="1">
        <v>425.07</v>
      </c>
      <c r="H74" s="1">
        <v>-122.50700000000001</v>
      </c>
      <c r="I74" s="1">
        <v>29.745292154809999</v>
      </c>
      <c r="J74" s="1">
        <v>85000.666666666701</v>
      </c>
      <c r="K74" s="1">
        <v>221719</v>
      </c>
      <c r="L74" s="1">
        <v>28567.005985053202</v>
      </c>
      <c r="M74" s="1">
        <v>18413.965424704202</v>
      </c>
      <c r="N74" s="1">
        <v>3910.16105971974</v>
      </c>
      <c r="O74" s="1">
        <v>7345.47332434298</v>
      </c>
      <c r="P74" s="1">
        <v>1364.62369034679</v>
      </c>
      <c r="Q74" s="1">
        <v>1917.15640066932</v>
      </c>
      <c r="R74" s="1">
        <v>-552.53271032252496</v>
      </c>
    </row>
    <row r="75" spans="1:18" x14ac:dyDescent="0.25">
      <c r="A75" s="1" t="s">
        <v>90</v>
      </c>
      <c r="B75" s="1">
        <v>6578.6049999999996</v>
      </c>
      <c r="C75" s="1">
        <v>4170.01</v>
      </c>
      <c r="D75" s="1">
        <v>923.26599999999996</v>
      </c>
      <c r="E75" s="1">
        <v>1669.4770000000001</v>
      </c>
      <c r="F75" s="1">
        <v>334.10599999999999</v>
      </c>
      <c r="G75" s="1">
        <v>426.41899999999998</v>
      </c>
      <c r="H75" s="1">
        <v>-92.313000000000002</v>
      </c>
      <c r="I75" s="1">
        <v>32.217154088288503</v>
      </c>
      <c r="J75" s="1">
        <v>86540.333333333299</v>
      </c>
      <c r="K75" s="1">
        <v>222281</v>
      </c>
      <c r="L75" s="1">
        <v>29595.894385934898</v>
      </c>
      <c r="M75" s="1">
        <v>18760.082958057599</v>
      </c>
      <c r="N75" s="1">
        <v>4153.5983732302802</v>
      </c>
      <c r="O75" s="1">
        <v>7510.6599304483998</v>
      </c>
      <c r="P75" s="1">
        <v>1503.0794354893101</v>
      </c>
      <c r="Q75" s="1">
        <v>1918.3780889954601</v>
      </c>
      <c r="R75" s="1">
        <v>-415.29865350614801</v>
      </c>
    </row>
    <row r="76" spans="1:18" x14ac:dyDescent="0.25">
      <c r="A76" s="1" t="s">
        <v>91</v>
      </c>
      <c r="B76" s="1">
        <v>6644.7539999999999</v>
      </c>
      <c r="C76" s="1">
        <v>4187.5200000000004</v>
      </c>
      <c r="D76" s="1">
        <v>950.16600000000005</v>
      </c>
      <c r="E76" s="1">
        <v>1684.9</v>
      </c>
      <c r="F76" s="1">
        <v>337.77199999999999</v>
      </c>
      <c r="G76" s="1">
        <v>431.99299999999999</v>
      </c>
      <c r="H76" s="1">
        <v>-94.221000000000004</v>
      </c>
      <c r="I76" s="1">
        <v>33.1426387758275</v>
      </c>
      <c r="J76" s="1">
        <v>87436</v>
      </c>
      <c r="K76" s="1">
        <v>222933</v>
      </c>
      <c r="L76" s="1">
        <v>29806.058322455599</v>
      </c>
      <c r="M76" s="1">
        <v>18783.760143182</v>
      </c>
      <c r="N76" s="1">
        <v>4262.11462636756</v>
      </c>
      <c r="O76" s="1">
        <v>7557.8761331879996</v>
      </c>
      <c r="P76" s="1">
        <v>1515.1278635285</v>
      </c>
      <c r="Q76" s="1">
        <v>1937.7705409248499</v>
      </c>
      <c r="R76" s="1">
        <v>-422.64267739634801</v>
      </c>
    </row>
    <row r="77" spans="1:18" x14ac:dyDescent="0.25">
      <c r="A77" s="1" t="s">
        <v>92</v>
      </c>
      <c r="B77" s="1">
        <v>6734.0690000000004</v>
      </c>
      <c r="C77" s="1">
        <v>4221.3100000000004</v>
      </c>
      <c r="D77" s="1">
        <v>972.13900000000001</v>
      </c>
      <c r="E77" s="1">
        <v>1700.067</v>
      </c>
      <c r="F77" s="1">
        <v>351.178</v>
      </c>
      <c r="G77" s="1">
        <v>437.92399999999998</v>
      </c>
      <c r="H77" s="1">
        <v>-86.745999999999995</v>
      </c>
      <c r="I77" s="1">
        <v>33.884840551631797</v>
      </c>
      <c r="J77" s="1">
        <v>88339.333333333299</v>
      </c>
      <c r="K77" s="1">
        <v>223583</v>
      </c>
      <c r="L77" s="1">
        <v>30118.877553302402</v>
      </c>
      <c r="M77" s="1">
        <v>18880.281595649001</v>
      </c>
      <c r="N77" s="1">
        <v>4348.0005188229898</v>
      </c>
      <c r="O77" s="1">
        <v>7603.7399981215003</v>
      </c>
      <c r="P77" s="1">
        <v>1570.6829231202701</v>
      </c>
      <c r="Q77" s="1">
        <v>1958.6641202595899</v>
      </c>
      <c r="R77" s="1">
        <v>-387.98119713931698</v>
      </c>
    </row>
    <row r="78" spans="1:18" x14ac:dyDescent="0.25">
      <c r="A78" s="1" t="s">
        <v>93</v>
      </c>
      <c r="B78" s="1">
        <v>6746.1760000000004</v>
      </c>
      <c r="C78" s="1">
        <v>4243.1729999999998</v>
      </c>
      <c r="D78" s="1">
        <v>973.75400000000002</v>
      </c>
      <c r="E78" s="1">
        <v>1683.258</v>
      </c>
      <c r="F78" s="1">
        <v>351.45299999999997</v>
      </c>
      <c r="G78" s="1">
        <v>436.73399999999998</v>
      </c>
      <c r="H78" s="1">
        <v>-85.281000000000006</v>
      </c>
      <c r="I78" s="1">
        <v>33.6910510199898</v>
      </c>
      <c r="J78" s="1">
        <v>89114</v>
      </c>
      <c r="K78" s="1">
        <v>224152</v>
      </c>
      <c r="L78" s="1">
        <v>30096.4345622613</v>
      </c>
      <c r="M78" s="1">
        <v>18929.8913237446</v>
      </c>
      <c r="N78" s="1">
        <v>4344.1682429779803</v>
      </c>
      <c r="O78" s="1">
        <v>7509.4489453585102</v>
      </c>
      <c r="P78" s="1">
        <v>1567.92265962383</v>
      </c>
      <c r="Q78" s="1">
        <v>1948.3832399443199</v>
      </c>
      <c r="R78" s="1">
        <v>-380.460580320497</v>
      </c>
    </row>
    <row r="79" spans="1:18" x14ac:dyDescent="0.25">
      <c r="A79" s="1" t="s">
        <v>94</v>
      </c>
      <c r="B79" s="1">
        <v>6753.3890000000001</v>
      </c>
      <c r="C79" s="1">
        <v>4240.4189999999999</v>
      </c>
      <c r="D79" s="1">
        <v>972.87699999999995</v>
      </c>
      <c r="E79" s="1">
        <v>1699.6590000000001</v>
      </c>
      <c r="F79" s="1">
        <v>352.36900000000003</v>
      </c>
      <c r="G79" s="1">
        <v>439.09199999999998</v>
      </c>
      <c r="H79" s="1">
        <v>-86.722999999999999</v>
      </c>
      <c r="I79" s="1">
        <v>33.736310641976601</v>
      </c>
      <c r="J79" s="1">
        <v>89771.333333333299</v>
      </c>
      <c r="K79" s="1">
        <v>224737</v>
      </c>
      <c r="L79" s="1">
        <v>30050.187552561401</v>
      </c>
      <c r="M79" s="1">
        <v>18868.3616849918</v>
      </c>
      <c r="N79" s="1">
        <v>4328.9578485073698</v>
      </c>
      <c r="O79" s="1">
        <v>7562.8801665947303</v>
      </c>
      <c r="P79" s="1">
        <v>1567.9171653977801</v>
      </c>
      <c r="Q79" s="1">
        <v>1953.8037795289599</v>
      </c>
      <c r="R79" s="1">
        <v>-385.88661413118399</v>
      </c>
    </row>
    <row r="80" spans="1:18" x14ac:dyDescent="0.25">
      <c r="A80" s="1" t="s">
        <v>95</v>
      </c>
      <c r="B80" s="1">
        <v>6803.558</v>
      </c>
      <c r="C80" s="1">
        <v>4281.6819999999998</v>
      </c>
      <c r="D80" s="1">
        <v>956.49300000000005</v>
      </c>
      <c r="E80" s="1">
        <v>1704.624</v>
      </c>
      <c r="F80" s="1">
        <v>365.05</v>
      </c>
      <c r="G80" s="1">
        <v>432.38600000000002</v>
      </c>
      <c r="H80" s="1">
        <v>-67.335999999999999</v>
      </c>
      <c r="I80" s="1">
        <v>34.6193543871304</v>
      </c>
      <c r="J80" s="1">
        <v>90281.333333333299</v>
      </c>
      <c r="K80" s="1">
        <v>225418</v>
      </c>
      <c r="L80" s="1">
        <v>30181.9641732249</v>
      </c>
      <c r="M80" s="1">
        <v>18994.410384263902</v>
      </c>
      <c r="N80" s="1">
        <v>4243.1970827529303</v>
      </c>
      <c r="O80" s="1">
        <v>7562.0580432795996</v>
      </c>
      <c r="P80" s="1">
        <v>1619.4358924309499</v>
      </c>
      <c r="Q80" s="1">
        <v>1918.15205529283</v>
      </c>
      <c r="R80" s="1">
        <v>-298.71616286188299</v>
      </c>
    </row>
    <row r="81" spans="1:18" x14ac:dyDescent="0.25">
      <c r="A81" s="1" t="s">
        <v>96</v>
      </c>
      <c r="B81" s="1">
        <v>6820.5720000000001</v>
      </c>
      <c r="C81" s="1">
        <v>4292.335</v>
      </c>
      <c r="D81" s="1">
        <v>939.52599999999995</v>
      </c>
      <c r="E81" s="1">
        <v>1715.85</v>
      </c>
      <c r="F81" s="1">
        <v>388.01900000000001</v>
      </c>
      <c r="G81" s="1">
        <v>441.81599999999997</v>
      </c>
      <c r="H81" s="1">
        <v>-53.796999999999997</v>
      </c>
      <c r="I81" s="1">
        <v>34.330031479646799</v>
      </c>
      <c r="J81" s="1">
        <v>90575.333333333299</v>
      </c>
      <c r="K81" s="1">
        <v>226117</v>
      </c>
      <c r="L81" s="1">
        <v>30163.906296297901</v>
      </c>
      <c r="M81" s="1">
        <v>18982.805361825998</v>
      </c>
      <c r="N81" s="1">
        <v>4155.0436278563802</v>
      </c>
      <c r="O81" s="1">
        <v>7588.3281663917396</v>
      </c>
      <c r="P81" s="1">
        <v>1716.00985330603</v>
      </c>
      <c r="Q81" s="1">
        <v>1953.9265070737699</v>
      </c>
      <c r="R81" s="1">
        <v>-237.91665376774</v>
      </c>
    </row>
    <row r="82" spans="1:18" x14ac:dyDescent="0.25">
      <c r="A82" s="1" t="s">
        <v>97</v>
      </c>
      <c r="B82" s="1">
        <v>6842.0240000000003</v>
      </c>
      <c r="C82" s="1">
        <v>4286.2</v>
      </c>
      <c r="D82" s="1">
        <v>933.101</v>
      </c>
      <c r="E82" s="1">
        <v>1741.0340000000001</v>
      </c>
      <c r="F82" s="1">
        <v>398.84800000000001</v>
      </c>
      <c r="G82" s="1">
        <v>442.11700000000002</v>
      </c>
      <c r="H82" s="1">
        <v>-43.268999999999998</v>
      </c>
      <c r="I82" s="1">
        <v>34.147850491231701</v>
      </c>
      <c r="J82" s="1">
        <v>90892.333333333299</v>
      </c>
      <c r="K82" s="1">
        <v>226754</v>
      </c>
      <c r="L82" s="1">
        <v>30173.774222284901</v>
      </c>
      <c r="M82" s="1">
        <v>18902.422890004102</v>
      </c>
      <c r="N82" s="1">
        <v>4115.0365594432697</v>
      </c>
      <c r="O82" s="1">
        <v>7678.07403618018</v>
      </c>
      <c r="P82" s="1">
        <v>1758.9458179348501</v>
      </c>
      <c r="Q82" s="1">
        <v>1949.76494350706</v>
      </c>
      <c r="R82" s="1">
        <v>-190.81912557220599</v>
      </c>
    </row>
    <row r="83" spans="1:18" x14ac:dyDescent="0.25">
      <c r="A83" s="1" t="s">
        <v>98</v>
      </c>
      <c r="B83" s="1">
        <v>6701.0460000000003</v>
      </c>
      <c r="C83" s="1">
        <v>4189.6710000000003</v>
      </c>
      <c r="D83" s="1">
        <v>853.76</v>
      </c>
      <c r="E83" s="1">
        <v>1744.4559999999999</v>
      </c>
      <c r="F83" s="1">
        <v>406.36700000000002</v>
      </c>
      <c r="G83" s="1">
        <v>410.012</v>
      </c>
      <c r="H83" s="1">
        <v>-3.64499999999998</v>
      </c>
      <c r="I83" s="1">
        <v>31.419046445131599</v>
      </c>
      <c r="J83" s="1">
        <v>90456.666666666701</v>
      </c>
      <c r="K83" s="1">
        <v>227389</v>
      </c>
      <c r="L83" s="1">
        <v>29469.525790605501</v>
      </c>
      <c r="M83" s="1">
        <v>18425.1261054844</v>
      </c>
      <c r="N83" s="1">
        <v>3754.6231348042302</v>
      </c>
      <c r="O83" s="1">
        <v>7671.6815677099603</v>
      </c>
      <c r="P83" s="1">
        <v>1787.1005193742899</v>
      </c>
      <c r="Q83" s="1">
        <v>1803.1303185290401</v>
      </c>
      <c r="R83" s="1">
        <v>-16.0297991547524</v>
      </c>
    </row>
    <row r="84" spans="1:18" x14ac:dyDescent="0.25">
      <c r="A84" s="1" t="s">
        <v>99</v>
      </c>
      <c r="B84" s="1">
        <v>6693.0820000000003</v>
      </c>
      <c r="C84" s="1">
        <v>4235.6289999999999</v>
      </c>
      <c r="D84" s="1">
        <v>797.41099999999994</v>
      </c>
      <c r="E84" s="1">
        <v>1720.713</v>
      </c>
      <c r="F84" s="1">
        <v>405.50099999999998</v>
      </c>
      <c r="G84" s="1">
        <v>380.50700000000001</v>
      </c>
      <c r="H84" s="1">
        <v>24.994</v>
      </c>
      <c r="I84" s="1">
        <v>31.425635147509301</v>
      </c>
      <c r="J84" s="1">
        <v>90050.666666666701</v>
      </c>
      <c r="K84" s="1">
        <v>228070</v>
      </c>
      <c r="L84" s="1">
        <v>29346.6128820099</v>
      </c>
      <c r="M84" s="1">
        <v>18571.6183627834</v>
      </c>
      <c r="N84" s="1">
        <v>3496.3432279563299</v>
      </c>
      <c r="O84" s="1">
        <v>7544.67049590038</v>
      </c>
      <c r="P84" s="1">
        <v>1777.9672907440699</v>
      </c>
      <c r="Q84" s="1">
        <v>1668.3781295216399</v>
      </c>
      <c r="R84" s="1">
        <v>109.589161222432</v>
      </c>
    </row>
    <row r="85" spans="1:18" x14ac:dyDescent="0.25">
      <c r="A85" s="1" t="s">
        <v>100</v>
      </c>
      <c r="B85" s="1">
        <v>6817.9030000000002</v>
      </c>
      <c r="C85" s="1">
        <v>4292.8559999999998</v>
      </c>
      <c r="D85" s="1">
        <v>871.73299999999995</v>
      </c>
      <c r="E85" s="1">
        <v>1720.3340000000001</v>
      </c>
      <c r="F85" s="1">
        <v>403.04500000000002</v>
      </c>
      <c r="G85" s="1">
        <v>400.911</v>
      </c>
      <c r="H85" s="1">
        <v>2.1340000000000101</v>
      </c>
      <c r="I85" s="1">
        <v>32.515798129254797</v>
      </c>
      <c r="J85" s="1">
        <v>90726.666666666701</v>
      </c>
      <c r="K85" s="1">
        <v>228689</v>
      </c>
      <c r="L85" s="1">
        <v>29812.990567976602</v>
      </c>
      <c r="M85" s="1">
        <v>18771.589363720999</v>
      </c>
      <c r="N85" s="1">
        <v>3811.87114378042</v>
      </c>
      <c r="O85" s="1">
        <v>7522.5918168342196</v>
      </c>
      <c r="P85" s="1">
        <v>1762.41533261329</v>
      </c>
      <c r="Q85" s="1">
        <v>1753.0838824779501</v>
      </c>
      <c r="R85" s="1">
        <v>9.3314501353367003</v>
      </c>
    </row>
    <row r="86" spans="1:18" x14ac:dyDescent="0.25">
      <c r="A86" s="1" t="s">
        <v>101</v>
      </c>
      <c r="B86" s="1">
        <v>6951.4949999999999</v>
      </c>
      <c r="C86" s="1">
        <v>4307.2370000000001</v>
      </c>
      <c r="D86" s="1">
        <v>952.41800000000001</v>
      </c>
      <c r="E86" s="1">
        <v>1743.3430000000001</v>
      </c>
      <c r="F86" s="1">
        <v>410.625</v>
      </c>
      <c r="G86" s="1">
        <v>418.02199999999999</v>
      </c>
      <c r="H86" s="1">
        <v>-7.3969999999999896</v>
      </c>
      <c r="I86" s="1">
        <v>32.8943422259076</v>
      </c>
      <c r="J86" s="1">
        <v>91116</v>
      </c>
      <c r="K86" s="1">
        <v>229155</v>
      </c>
      <c r="L86" s="1">
        <v>30335.3407082542</v>
      </c>
      <c r="M86" s="1">
        <v>18796.172896074699</v>
      </c>
      <c r="N86" s="1">
        <v>4156.2174074316499</v>
      </c>
      <c r="O86" s="1">
        <v>7607.7022102943401</v>
      </c>
      <c r="P86" s="1">
        <v>1791.9094062970501</v>
      </c>
      <c r="Q86" s="1">
        <v>1824.18886779691</v>
      </c>
      <c r="R86" s="1">
        <v>-32.279461499858101</v>
      </c>
    </row>
    <row r="87" spans="1:18" x14ac:dyDescent="0.25">
      <c r="A87" s="1" t="s">
        <v>102</v>
      </c>
      <c r="B87" s="1">
        <v>6899.98</v>
      </c>
      <c r="C87" s="1">
        <v>4307.55</v>
      </c>
      <c r="D87" s="1">
        <v>912.94500000000005</v>
      </c>
      <c r="E87" s="1">
        <v>1746.6949999999999</v>
      </c>
      <c r="F87" s="1">
        <v>412.84500000000003</v>
      </c>
      <c r="G87" s="1">
        <v>418.63900000000001</v>
      </c>
      <c r="H87" s="1">
        <v>-5.7939999999999801</v>
      </c>
      <c r="I87" s="1">
        <v>32.847003416591299</v>
      </c>
      <c r="J87" s="1">
        <v>91356.333333333299</v>
      </c>
      <c r="K87" s="1">
        <v>229674</v>
      </c>
      <c r="L87" s="1">
        <v>30042.495014673001</v>
      </c>
      <c r="M87" s="1">
        <v>18755.061521983302</v>
      </c>
      <c r="N87" s="1">
        <v>3974.9601609237402</v>
      </c>
      <c r="O87" s="1">
        <v>7605.1054973571199</v>
      </c>
      <c r="P87" s="1">
        <v>1797.5260586744701</v>
      </c>
      <c r="Q87" s="1">
        <v>1822.7531196391401</v>
      </c>
      <c r="R87" s="1">
        <v>-25.227060964671601</v>
      </c>
    </row>
    <row r="88" spans="1:18" x14ac:dyDescent="0.25">
      <c r="A88" s="1" t="s">
        <v>103</v>
      </c>
      <c r="B88" s="1">
        <v>6982.6090000000004</v>
      </c>
      <c r="C88" s="1">
        <v>4327.4759999999997</v>
      </c>
      <c r="D88" s="1">
        <v>964.40099999999995</v>
      </c>
      <c r="E88" s="1">
        <v>1740.68</v>
      </c>
      <c r="F88" s="1">
        <v>404.05</v>
      </c>
      <c r="G88" s="1">
        <v>413.84699999999998</v>
      </c>
      <c r="H88" s="1">
        <v>-9.7969999999999704</v>
      </c>
      <c r="I88" s="1">
        <v>32.734386297426099</v>
      </c>
      <c r="J88" s="1">
        <v>91547.666666666701</v>
      </c>
      <c r="K88" s="1">
        <v>230301</v>
      </c>
      <c r="L88" s="1">
        <v>30319.490579719601</v>
      </c>
      <c r="M88" s="1">
        <v>18790.5219690753</v>
      </c>
      <c r="N88" s="1">
        <v>4187.56757460888</v>
      </c>
      <c r="O88" s="1">
        <v>7558.2824217002999</v>
      </c>
      <c r="P88" s="1">
        <v>1754.44309837995</v>
      </c>
      <c r="Q88" s="1">
        <v>1796.98307866661</v>
      </c>
      <c r="R88" s="1">
        <v>-42.539980286668197</v>
      </c>
    </row>
    <row r="89" spans="1:18" x14ac:dyDescent="0.25">
      <c r="A89" s="1" t="s">
        <v>104</v>
      </c>
      <c r="B89" s="1">
        <v>6906.5290000000005</v>
      </c>
      <c r="C89" s="1">
        <v>4297.875</v>
      </c>
      <c r="D89" s="1">
        <v>930.44</v>
      </c>
      <c r="E89" s="1">
        <v>1762.8040000000001</v>
      </c>
      <c r="F89" s="1">
        <v>405.90499999999997</v>
      </c>
      <c r="G89" s="1">
        <v>425.69600000000003</v>
      </c>
      <c r="H89" s="1">
        <v>-19.7910000000001</v>
      </c>
      <c r="I89" s="1">
        <v>32.747277323129097</v>
      </c>
      <c r="J89" s="1">
        <v>91148.666666666701</v>
      </c>
      <c r="K89" s="1">
        <v>230903</v>
      </c>
      <c r="L89" s="1">
        <v>29910.953950360101</v>
      </c>
      <c r="M89" s="1">
        <v>18613.3354698726</v>
      </c>
      <c r="N89" s="1">
        <v>4029.5708587588701</v>
      </c>
      <c r="O89" s="1">
        <v>7634.3919308107697</v>
      </c>
      <c r="P89" s="1">
        <v>1757.9026690861499</v>
      </c>
      <c r="Q89" s="1">
        <v>1843.61398509331</v>
      </c>
      <c r="R89" s="1">
        <v>-85.711316007154807</v>
      </c>
    </row>
    <row r="90" spans="1:18" x14ac:dyDescent="0.25">
      <c r="A90" s="1" t="s">
        <v>105</v>
      </c>
      <c r="B90" s="1">
        <v>6799.2330000000002</v>
      </c>
      <c r="C90" s="1">
        <v>4329.5330000000004</v>
      </c>
      <c r="D90" s="1">
        <v>842.42899999999997</v>
      </c>
      <c r="E90" s="1">
        <v>1760.84</v>
      </c>
      <c r="F90" s="1">
        <v>388.28899999999999</v>
      </c>
      <c r="G90" s="1">
        <v>413.53899999999999</v>
      </c>
      <c r="H90" s="1">
        <v>-25.25</v>
      </c>
      <c r="I90" s="1">
        <v>31.709532967701701</v>
      </c>
      <c r="J90" s="1">
        <v>90520.666666666701</v>
      </c>
      <c r="K90" s="1">
        <v>231395</v>
      </c>
      <c r="L90" s="1">
        <v>29383.664296981398</v>
      </c>
      <c r="M90" s="1">
        <v>18710.5728300093</v>
      </c>
      <c r="N90" s="1">
        <v>3640.65342812075</v>
      </c>
      <c r="O90" s="1">
        <v>7609.6717733745299</v>
      </c>
      <c r="P90" s="1">
        <v>1678.0353940232101</v>
      </c>
      <c r="Q90" s="1">
        <v>1787.15616154195</v>
      </c>
      <c r="R90" s="1">
        <v>-109.120767518745</v>
      </c>
    </row>
    <row r="91" spans="1:18" x14ac:dyDescent="0.25">
      <c r="A91" s="1" t="s">
        <v>106</v>
      </c>
      <c r="B91" s="1">
        <v>6830.2510000000002</v>
      </c>
      <c r="C91" s="1">
        <v>4342.7209999999995</v>
      </c>
      <c r="D91" s="1">
        <v>841.78899999999999</v>
      </c>
      <c r="E91" s="1">
        <v>1767.5319999999999</v>
      </c>
      <c r="F91" s="1">
        <v>390.60500000000002</v>
      </c>
      <c r="G91" s="1">
        <v>406.76799999999997</v>
      </c>
      <c r="H91" s="1">
        <v>-16.163</v>
      </c>
      <c r="I91" s="1">
        <v>30.985430120237002</v>
      </c>
      <c r="J91" s="1">
        <v>90040.666666666701</v>
      </c>
      <c r="K91" s="1">
        <v>231906</v>
      </c>
      <c r="L91" s="1">
        <v>29452.670478556</v>
      </c>
      <c r="M91" s="1">
        <v>18726.212344656898</v>
      </c>
      <c r="N91" s="1">
        <v>3629.87158590118</v>
      </c>
      <c r="O91" s="1">
        <v>7621.7605409088201</v>
      </c>
      <c r="P91" s="1">
        <v>1684.32468327685</v>
      </c>
      <c r="Q91" s="1">
        <v>1754.0210257604399</v>
      </c>
      <c r="R91" s="1">
        <v>-69.696342483592304</v>
      </c>
    </row>
    <row r="92" spans="1:18" x14ac:dyDescent="0.25">
      <c r="A92" s="1" t="s">
        <v>107</v>
      </c>
      <c r="B92" s="1">
        <v>6804.1390000000001</v>
      </c>
      <c r="C92" s="1">
        <v>4371.8329999999996</v>
      </c>
      <c r="D92" s="1">
        <v>834.07500000000005</v>
      </c>
      <c r="E92" s="1">
        <v>1781.703</v>
      </c>
      <c r="F92" s="1">
        <v>373.28300000000002</v>
      </c>
      <c r="G92" s="1">
        <v>425.63499999999999</v>
      </c>
      <c r="H92" s="1">
        <v>-52.351999999999997</v>
      </c>
      <c r="I92" s="1">
        <v>30.1910346828017</v>
      </c>
      <c r="J92" s="1">
        <v>89355.666666666701</v>
      </c>
      <c r="K92" s="1">
        <v>232498</v>
      </c>
      <c r="L92" s="1">
        <v>29265.365723576098</v>
      </c>
      <c r="M92" s="1">
        <v>18803.744548340201</v>
      </c>
      <c r="N92" s="1">
        <v>3587.4502146254999</v>
      </c>
      <c r="O92" s="1">
        <v>7663.3046305774697</v>
      </c>
      <c r="P92" s="1">
        <v>1605.53209059863</v>
      </c>
      <c r="Q92" s="1">
        <v>1830.7039200337199</v>
      </c>
      <c r="R92" s="1">
        <v>-225.17182943509201</v>
      </c>
    </row>
    <row r="93" spans="1:18" x14ac:dyDescent="0.25">
      <c r="A93" s="1" t="s">
        <v>108</v>
      </c>
      <c r="B93" s="1">
        <v>6806.857</v>
      </c>
      <c r="C93" s="1">
        <v>4448.4139999999998</v>
      </c>
      <c r="D93" s="1">
        <v>769.60199999999998</v>
      </c>
      <c r="E93" s="1">
        <v>1809.171</v>
      </c>
      <c r="F93" s="1">
        <v>356.178</v>
      </c>
      <c r="G93" s="1">
        <v>408.92899999999997</v>
      </c>
      <c r="H93" s="1">
        <v>-52.750999999999998</v>
      </c>
      <c r="I93" s="1">
        <v>30.377690396596901</v>
      </c>
      <c r="J93" s="1">
        <v>88821.333333333299</v>
      </c>
      <c r="K93" s="1">
        <v>233074</v>
      </c>
      <c r="L93" s="1">
        <v>29204.703227301201</v>
      </c>
      <c r="M93" s="1">
        <v>19085.8439808816</v>
      </c>
      <c r="N93" s="1">
        <v>3301.9641830491601</v>
      </c>
      <c r="O93" s="1">
        <v>7762.2171499180504</v>
      </c>
      <c r="P93" s="1">
        <v>1528.1756008821201</v>
      </c>
      <c r="Q93" s="1">
        <v>1754.50286175206</v>
      </c>
      <c r="R93" s="1">
        <v>-226.32726086993799</v>
      </c>
    </row>
    <row r="94" spans="1:18" x14ac:dyDescent="0.25">
      <c r="A94" s="1" t="s">
        <v>109</v>
      </c>
      <c r="B94" s="1">
        <v>6896.5609999999997</v>
      </c>
      <c r="C94" s="1">
        <v>4492.3950000000004</v>
      </c>
      <c r="D94" s="1">
        <v>796.26599999999996</v>
      </c>
      <c r="E94" s="1">
        <v>1826.558</v>
      </c>
      <c r="F94" s="1">
        <v>361.923</v>
      </c>
      <c r="G94" s="1">
        <v>418.30099999999999</v>
      </c>
      <c r="H94" s="1">
        <v>-56.378</v>
      </c>
      <c r="I94" s="1">
        <v>30.934460653523999</v>
      </c>
      <c r="J94" s="1">
        <v>88999</v>
      </c>
      <c r="K94" s="1">
        <v>233546</v>
      </c>
      <c r="L94" s="1">
        <v>29529.775718702102</v>
      </c>
      <c r="M94" s="1">
        <v>19235.589562655801</v>
      </c>
      <c r="N94" s="1">
        <v>3409.4610911769</v>
      </c>
      <c r="O94" s="1">
        <v>7820.9774519794801</v>
      </c>
      <c r="P94" s="1">
        <v>1549.68614320091</v>
      </c>
      <c r="Q94" s="1">
        <v>1791.0861243609399</v>
      </c>
      <c r="R94" s="1">
        <v>-241.39998116002801</v>
      </c>
    </row>
    <row r="95" spans="1:18" x14ac:dyDescent="0.25">
      <c r="A95" s="1" t="s">
        <v>110</v>
      </c>
      <c r="B95" s="1">
        <v>7053.5</v>
      </c>
      <c r="C95" s="1">
        <v>4583.8729999999996</v>
      </c>
      <c r="D95" s="1">
        <v>866.78399999999999</v>
      </c>
      <c r="E95" s="1">
        <v>1841.6079999999999</v>
      </c>
      <c r="F95" s="1">
        <v>363.00599999999997</v>
      </c>
      <c r="G95" s="1">
        <v>450.46499999999997</v>
      </c>
      <c r="H95" s="1">
        <v>-87.459000000000003</v>
      </c>
      <c r="I95" s="1">
        <v>32.002459967401599</v>
      </c>
      <c r="J95" s="1">
        <v>89676.333333333299</v>
      </c>
      <c r="K95" s="1">
        <v>234028</v>
      </c>
      <c r="L95" s="1">
        <v>30139.55595057</v>
      </c>
      <c r="M95" s="1">
        <v>19586.857128206899</v>
      </c>
      <c r="N95" s="1">
        <v>3703.76194301537</v>
      </c>
      <c r="O95" s="1">
        <v>7869.1780470712902</v>
      </c>
      <c r="P95" s="1">
        <v>1551.12208795529</v>
      </c>
      <c r="Q95" s="1">
        <v>1924.8337805732599</v>
      </c>
      <c r="R95" s="1">
        <v>-373.71169261797701</v>
      </c>
    </row>
    <row r="96" spans="1:18" x14ac:dyDescent="0.25">
      <c r="A96" s="1" t="s">
        <v>111</v>
      </c>
      <c r="B96" s="1">
        <v>7194.5039999999999</v>
      </c>
      <c r="C96" s="1">
        <v>4666.07</v>
      </c>
      <c r="D96" s="1">
        <v>921.05100000000004</v>
      </c>
      <c r="E96" s="1">
        <v>1873.396</v>
      </c>
      <c r="F96" s="1">
        <v>368.46300000000002</v>
      </c>
      <c r="G96" s="1">
        <v>485.55599999999998</v>
      </c>
      <c r="H96" s="1">
        <v>-117.093</v>
      </c>
      <c r="I96" s="1">
        <v>33.8335350503556</v>
      </c>
      <c r="J96" s="1">
        <v>90604.333333333299</v>
      </c>
      <c r="K96" s="1">
        <v>234603</v>
      </c>
      <c r="L96" s="1">
        <v>30666.717816907701</v>
      </c>
      <c r="M96" s="1">
        <v>19889.2171029356</v>
      </c>
      <c r="N96" s="1">
        <v>3925.9983887674098</v>
      </c>
      <c r="O96" s="1">
        <v>7985.3880811413301</v>
      </c>
      <c r="P96" s="1">
        <v>1570.5809388626701</v>
      </c>
      <c r="Q96" s="1">
        <v>2069.6922034245099</v>
      </c>
      <c r="R96" s="1">
        <v>-499.11126456183399</v>
      </c>
    </row>
    <row r="97" spans="1:18" x14ac:dyDescent="0.25">
      <c r="A97" s="1" t="s">
        <v>112</v>
      </c>
      <c r="B97" s="1">
        <v>7344.5969999999998</v>
      </c>
      <c r="C97" s="1">
        <v>4740.4269999999997</v>
      </c>
      <c r="D97" s="1">
        <v>1010.654</v>
      </c>
      <c r="E97" s="1">
        <v>1843.4169999999999</v>
      </c>
      <c r="F97" s="1">
        <v>375.87799999999999</v>
      </c>
      <c r="G97" s="1">
        <v>509.375</v>
      </c>
      <c r="H97" s="1">
        <v>-133.49700000000001</v>
      </c>
      <c r="I97" s="1">
        <v>35.569520225754701</v>
      </c>
      <c r="J97" s="1">
        <v>91875</v>
      </c>
      <c r="K97" s="1">
        <v>235153</v>
      </c>
      <c r="L97" s="1">
        <v>31233.269403324601</v>
      </c>
      <c r="M97" s="1">
        <v>20158.905053305702</v>
      </c>
      <c r="N97" s="1">
        <v>4297.85713981961</v>
      </c>
      <c r="O97" s="1">
        <v>7839.2238244887403</v>
      </c>
      <c r="P97" s="1">
        <v>1598.44016448865</v>
      </c>
      <c r="Q97" s="1">
        <v>2166.1428942008001</v>
      </c>
      <c r="R97" s="1">
        <v>-567.70272971214501</v>
      </c>
    </row>
    <row r="98" spans="1:18" x14ac:dyDescent="0.25">
      <c r="A98" s="1" t="s">
        <v>113</v>
      </c>
      <c r="B98" s="1">
        <v>7488.1670000000004</v>
      </c>
      <c r="C98" s="1">
        <v>4779.7669999999998</v>
      </c>
      <c r="D98" s="1">
        <v>1108.328</v>
      </c>
      <c r="E98" s="1">
        <v>1862.9549999999999</v>
      </c>
      <c r="F98" s="1">
        <v>383.72300000000001</v>
      </c>
      <c r="G98" s="1">
        <v>550.32399999999996</v>
      </c>
      <c r="H98" s="1">
        <v>-166.601</v>
      </c>
      <c r="I98" s="1">
        <v>36.714423578358101</v>
      </c>
      <c r="J98" s="1">
        <v>93086.333333333299</v>
      </c>
      <c r="K98" s="1">
        <v>235605</v>
      </c>
      <c r="L98" s="1">
        <v>31782.716835381299</v>
      </c>
      <c r="M98" s="1">
        <v>20287.205280023802</v>
      </c>
      <c r="N98" s="1">
        <v>4704.1786040194402</v>
      </c>
      <c r="O98" s="1">
        <v>7907.1114789584299</v>
      </c>
      <c r="P98" s="1">
        <v>1628.6708686148399</v>
      </c>
      <c r="Q98" s="1">
        <v>2335.7908363574602</v>
      </c>
      <c r="R98" s="1">
        <v>-707.11996774262002</v>
      </c>
    </row>
    <row r="99" spans="1:18" x14ac:dyDescent="0.25">
      <c r="A99" s="1" t="s">
        <v>114</v>
      </c>
      <c r="B99" s="1">
        <v>7617.5469999999996</v>
      </c>
      <c r="C99" s="1">
        <v>4846.7309999999998</v>
      </c>
      <c r="D99" s="1">
        <v>1144.3710000000001</v>
      </c>
      <c r="E99" s="1">
        <v>1903.424</v>
      </c>
      <c r="F99" s="1">
        <v>393.26</v>
      </c>
      <c r="G99" s="1">
        <v>573.37699999999995</v>
      </c>
      <c r="H99" s="1">
        <v>-180.11699999999999</v>
      </c>
      <c r="I99" s="1">
        <v>38.1366501664399</v>
      </c>
      <c r="J99" s="1">
        <v>94123</v>
      </c>
      <c r="K99" s="1">
        <v>236082</v>
      </c>
      <c r="L99" s="1">
        <v>32266.530273379602</v>
      </c>
      <c r="M99" s="1">
        <v>20529.862505400699</v>
      </c>
      <c r="N99" s="1">
        <v>4847.3454138816196</v>
      </c>
      <c r="O99" s="1">
        <v>8062.5545361357499</v>
      </c>
      <c r="P99" s="1">
        <v>1665.7771452292</v>
      </c>
      <c r="Q99" s="1">
        <v>2428.7196821443399</v>
      </c>
      <c r="R99" s="1">
        <v>-762.94253691513995</v>
      </c>
    </row>
    <row r="100" spans="1:18" x14ac:dyDescent="0.25">
      <c r="A100" s="1" t="s">
        <v>115</v>
      </c>
      <c r="B100" s="1">
        <v>7690.9849999999997</v>
      </c>
      <c r="C100" s="1">
        <v>4882.6760000000004</v>
      </c>
      <c r="D100" s="1">
        <v>1169.136</v>
      </c>
      <c r="E100" s="1">
        <v>1918.8330000000001</v>
      </c>
      <c r="F100" s="1">
        <v>401.94799999999998</v>
      </c>
      <c r="G100" s="1">
        <v>588.22</v>
      </c>
      <c r="H100" s="1">
        <v>-186.27199999999999</v>
      </c>
      <c r="I100" s="1">
        <v>38.896570697903996</v>
      </c>
      <c r="J100" s="1">
        <v>95055</v>
      </c>
      <c r="K100" s="1">
        <v>236657</v>
      </c>
      <c r="L100" s="1">
        <v>32498.447119671098</v>
      </c>
      <c r="M100" s="1">
        <v>20631.868062216599</v>
      </c>
      <c r="N100" s="1">
        <v>4940.2130509556</v>
      </c>
      <c r="O100" s="1">
        <v>8108.0762453677698</v>
      </c>
      <c r="P100" s="1">
        <v>1698.4412039365</v>
      </c>
      <c r="Q100" s="1">
        <v>2485.5381416987502</v>
      </c>
      <c r="R100" s="1">
        <v>-787.09693776224697</v>
      </c>
    </row>
    <row r="101" spans="1:18" x14ac:dyDescent="0.25">
      <c r="A101" s="1" t="s">
        <v>116</v>
      </c>
      <c r="B101" s="1">
        <v>7754.1170000000002</v>
      </c>
      <c r="C101" s="1">
        <v>4945.9260000000004</v>
      </c>
      <c r="D101" s="1">
        <v>1153.971</v>
      </c>
      <c r="E101" s="1">
        <v>1959.1210000000001</v>
      </c>
      <c r="F101" s="1">
        <v>410.12599999999998</v>
      </c>
      <c r="G101" s="1">
        <v>605.46100000000001</v>
      </c>
      <c r="H101" s="1">
        <v>-195.33500000000001</v>
      </c>
      <c r="I101" s="1">
        <v>39.883103250023197</v>
      </c>
      <c r="J101" s="1">
        <v>95906</v>
      </c>
      <c r="K101" s="1">
        <v>237232</v>
      </c>
      <c r="L101" s="1">
        <v>32685.7970256964</v>
      </c>
      <c r="M101" s="1">
        <v>20848.4774398058</v>
      </c>
      <c r="N101" s="1">
        <v>4864.3142577729805</v>
      </c>
      <c r="O101" s="1">
        <v>8258.2493086935992</v>
      </c>
      <c r="P101" s="1">
        <v>1728.79712686316</v>
      </c>
      <c r="Q101" s="1">
        <v>2552.1894179537298</v>
      </c>
      <c r="R101" s="1">
        <v>-823.39229109057806</v>
      </c>
    </row>
    <row r="102" spans="1:18" x14ac:dyDescent="0.25">
      <c r="A102" s="1" t="s">
        <v>117</v>
      </c>
      <c r="B102" s="1">
        <v>7829.26</v>
      </c>
      <c r="C102" s="1">
        <v>5029.9589999999998</v>
      </c>
      <c r="D102" s="1">
        <v>1122.3309999999999</v>
      </c>
      <c r="E102" s="1">
        <v>1980.4580000000001</v>
      </c>
      <c r="F102" s="1">
        <v>411.214</v>
      </c>
      <c r="G102" s="1">
        <v>592.10799999999995</v>
      </c>
      <c r="H102" s="1">
        <v>-180.89400000000001</v>
      </c>
      <c r="I102" s="1">
        <v>40.176383202750202</v>
      </c>
      <c r="J102" s="1">
        <v>96572.333333333299</v>
      </c>
      <c r="K102" s="1">
        <v>237673</v>
      </c>
      <c r="L102" s="1">
        <v>32941.310119365698</v>
      </c>
      <c r="M102" s="1">
        <v>21163.358900674499</v>
      </c>
      <c r="N102" s="1">
        <v>4722.16448650036</v>
      </c>
      <c r="O102" s="1">
        <v>8332.7008116193301</v>
      </c>
      <c r="P102" s="1">
        <v>1730.1670782966501</v>
      </c>
      <c r="Q102" s="1">
        <v>2491.2716210928502</v>
      </c>
      <c r="R102" s="1">
        <v>-761.10454279619501</v>
      </c>
    </row>
    <row r="103" spans="1:18" x14ac:dyDescent="0.25">
      <c r="A103" s="1" t="s">
        <v>118</v>
      </c>
      <c r="B103" s="1">
        <v>7898.1940000000004</v>
      </c>
      <c r="C103" s="1">
        <v>5076.1360000000004</v>
      </c>
      <c r="D103" s="1">
        <v>1141.4469999999999</v>
      </c>
      <c r="E103" s="1">
        <v>2024.41</v>
      </c>
      <c r="F103" s="1">
        <v>410.33199999999999</v>
      </c>
      <c r="G103" s="1">
        <v>621.20100000000002</v>
      </c>
      <c r="H103" s="1">
        <v>-210.869</v>
      </c>
      <c r="I103" s="1">
        <v>41.044300100243099</v>
      </c>
      <c r="J103" s="1">
        <v>97269.666666666701</v>
      </c>
      <c r="K103" s="1">
        <v>238176</v>
      </c>
      <c r="L103" s="1">
        <v>33161.1665323122</v>
      </c>
      <c r="M103" s="1">
        <v>21312.541985758398</v>
      </c>
      <c r="N103" s="1">
        <v>4792.4518003493204</v>
      </c>
      <c r="O103" s="1">
        <v>8499.6389224774994</v>
      </c>
      <c r="P103" s="1">
        <v>1722.81002284025</v>
      </c>
      <c r="Q103" s="1">
        <v>2608.15951229343</v>
      </c>
      <c r="R103" s="1">
        <v>-885.34948945317797</v>
      </c>
    </row>
    <row r="104" spans="1:18" x14ac:dyDescent="0.25">
      <c r="A104" s="1" t="s">
        <v>119</v>
      </c>
      <c r="B104" s="1">
        <v>8018.8090000000002</v>
      </c>
      <c r="C104" s="1">
        <v>5172.55</v>
      </c>
      <c r="D104" s="1">
        <v>1133.665</v>
      </c>
      <c r="E104" s="1">
        <v>2070.5500000000002</v>
      </c>
      <c r="F104" s="1">
        <v>404.34699999999998</v>
      </c>
      <c r="G104" s="1">
        <v>615.19200000000001</v>
      </c>
      <c r="H104" s="1">
        <v>-210.845</v>
      </c>
      <c r="I104" s="1">
        <v>41.085313587425702</v>
      </c>
      <c r="J104" s="1">
        <v>97844.333333333299</v>
      </c>
      <c r="K104" s="1">
        <v>238789</v>
      </c>
      <c r="L104" s="1">
        <v>33581.149047904197</v>
      </c>
      <c r="M104" s="1">
        <v>21661.592451913599</v>
      </c>
      <c r="N104" s="1">
        <v>4747.5595609513002</v>
      </c>
      <c r="O104" s="1">
        <v>8671.0443110863598</v>
      </c>
      <c r="P104" s="1">
        <v>1693.32339429371</v>
      </c>
      <c r="Q104" s="1">
        <v>2576.2995782887801</v>
      </c>
      <c r="R104" s="1">
        <v>-882.97618399507496</v>
      </c>
    </row>
    <row r="105" spans="1:18" x14ac:dyDescent="0.25">
      <c r="A105" s="1" t="s">
        <v>120</v>
      </c>
      <c r="B105" s="1">
        <v>8078.415</v>
      </c>
      <c r="C105" s="1">
        <v>5183.741</v>
      </c>
      <c r="D105" s="1">
        <v>1175.45</v>
      </c>
      <c r="E105" s="1">
        <v>2079.0859999999998</v>
      </c>
      <c r="F105" s="1">
        <v>416.411</v>
      </c>
      <c r="G105" s="1">
        <v>639.26700000000005</v>
      </c>
      <c r="H105" s="1">
        <v>-222.85599999999999</v>
      </c>
      <c r="I105" s="1">
        <v>41.643148313513898</v>
      </c>
      <c r="J105" s="1">
        <v>98428.333333333299</v>
      </c>
      <c r="K105" s="1">
        <v>239387</v>
      </c>
      <c r="L105" s="1">
        <v>33746.256062359302</v>
      </c>
      <c r="M105" s="1">
        <v>21654.2293441164</v>
      </c>
      <c r="N105" s="1">
        <v>4910.2499300296204</v>
      </c>
      <c r="O105" s="1">
        <v>8685.0413765158501</v>
      </c>
      <c r="P105" s="1">
        <v>1739.48877758608</v>
      </c>
      <c r="Q105" s="1">
        <v>2670.4332315455699</v>
      </c>
      <c r="R105" s="1">
        <v>-930.94445395948799</v>
      </c>
    </row>
    <row r="106" spans="1:18" x14ac:dyDescent="0.25">
      <c r="A106" s="1" t="s">
        <v>121</v>
      </c>
      <c r="B106" s="1">
        <v>8153.8289999999997</v>
      </c>
      <c r="C106" s="1">
        <v>5229.0410000000002</v>
      </c>
      <c r="D106" s="1">
        <v>1175.105</v>
      </c>
      <c r="E106" s="1">
        <v>2095.5120000000002</v>
      </c>
      <c r="F106" s="1">
        <v>429.45299999999997</v>
      </c>
      <c r="G106" s="1">
        <v>638.62900000000002</v>
      </c>
      <c r="H106" s="1">
        <v>-209.17599999999999</v>
      </c>
      <c r="I106" s="1">
        <v>41.8122974152678</v>
      </c>
      <c r="J106" s="1">
        <v>98837.666666666701</v>
      </c>
      <c r="K106" s="1">
        <v>239861</v>
      </c>
      <c r="L106" s="1">
        <v>33993.975677579903</v>
      </c>
      <c r="M106" s="1">
        <v>21800.296838585698</v>
      </c>
      <c r="N106" s="1">
        <v>4899.1082335185802</v>
      </c>
      <c r="O106" s="1">
        <v>8736.3598083890301</v>
      </c>
      <c r="P106" s="1">
        <v>1790.4244541630401</v>
      </c>
      <c r="Q106" s="1">
        <v>2662.4961957133501</v>
      </c>
      <c r="R106" s="1">
        <v>-872.07174155031498</v>
      </c>
    </row>
    <row r="107" spans="1:18" x14ac:dyDescent="0.25">
      <c r="A107" s="1" t="s">
        <v>122</v>
      </c>
      <c r="B107" s="1">
        <v>8190.5519999999997</v>
      </c>
      <c r="C107" s="1">
        <v>5286.0190000000002</v>
      </c>
      <c r="D107" s="1">
        <v>1154.5889999999999</v>
      </c>
      <c r="E107" s="1">
        <v>2139.194</v>
      </c>
      <c r="F107" s="1">
        <v>434.077</v>
      </c>
      <c r="G107" s="1">
        <v>665.80100000000004</v>
      </c>
      <c r="H107" s="1">
        <v>-231.72399999999999</v>
      </c>
      <c r="I107" s="1">
        <v>41.9517807458543</v>
      </c>
      <c r="J107" s="1">
        <v>99174.666666666701</v>
      </c>
      <c r="K107" s="1">
        <v>240368</v>
      </c>
      <c r="L107" s="1">
        <v>34075.0515875657</v>
      </c>
      <c r="M107" s="1">
        <v>21991.3590827398</v>
      </c>
      <c r="N107" s="1">
        <v>4803.4222525461</v>
      </c>
      <c r="O107" s="1">
        <v>8899.6621846502003</v>
      </c>
      <c r="P107" s="1">
        <v>1805.88514278107</v>
      </c>
      <c r="Q107" s="1">
        <v>2769.9236171204202</v>
      </c>
      <c r="R107" s="1">
        <v>-964.03847433934698</v>
      </c>
    </row>
    <row r="108" spans="1:18" x14ac:dyDescent="0.25">
      <c r="A108" s="1" t="s">
        <v>123</v>
      </c>
      <c r="B108" s="1">
        <v>8268.9349999999995</v>
      </c>
      <c r="C108" s="1">
        <v>5379.527</v>
      </c>
      <c r="D108" s="1">
        <v>1123.5319999999999</v>
      </c>
      <c r="E108" s="1">
        <v>2185.7890000000002</v>
      </c>
      <c r="F108" s="1">
        <v>444.012</v>
      </c>
      <c r="G108" s="1">
        <v>684.25599999999997</v>
      </c>
      <c r="H108" s="1">
        <v>-240.244</v>
      </c>
      <c r="I108" s="1">
        <v>42.241516631492402</v>
      </c>
      <c r="J108" s="1">
        <v>99665</v>
      </c>
      <c r="K108" s="1">
        <v>240962</v>
      </c>
      <c r="L108" s="1">
        <v>34316.344485852504</v>
      </c>
      <c r="M108" s="1">
        <v>22325.208954108901</v>
      </c>
      <c r="N108" s="1">
        <v>4662.6937027415097</v>
      </c>
      <c r="O108" s="1">
        <v>9071.0941974253201</v>
      </c>
      <c r="P108" s="1">
        <v>1842.6639885127099</v>
      </c>
      <c r="Q108" s="1">
        <v>2839.6842655688401</v>
      </c>
      <c r="R108" s="1">
        <v>-997.02027705613295</v>
      </c>
    </row>
    <row r="109" spans="1:18" x14ac:dyDescent="0.25">
      <c r="A109" s="1" t="s">
        <v>124</v>
      </c>
      <c r="B109" s="1">
        <v>8313.3379999999997</v>
      </c>
      <c r="C109" s="1">
        <v>5412.5150000000003</v>
      </c>
      <c r="D109" s="1">
        <v>1126.895</v>
      </c>
      <c r="E109" s="1">
        <v>2176.7570000000001</v>
      </c>
      <c r="F109" s="1">
        <v>460.6</v>
      </c>
      <c r="G109" s="1">
        <v>689.56700000000001</v>
      </c>
      <c r="H109" s="1">
        <v>-228.96700000000001</v>
      </c>
      <c r="I109" s="1">
        <v>42.232199900537502</v>
      </c>
      <c r="J109" s="1">
        <v>100312.66666666701</v>
      </c>
      <c r="K109" s="1">
        <v>241539</v>
      </c>
      <c r="L109" s="1">
        <v>34418.2016154741</v>
      </c>
      <c r="M109" s="1">
        <v>22408.451637209699</v>
      </c>
      <c r="N109" s="1">
        <v>4665.4784527550401</v>
      </c>
      <c r="O109" s="1">
        <v>9012.0311833699707</v>
      </c>
      <c r="P109" s="1">
        <v>1906.93842402262</v>
      </c>
      <c r="Q109" s="1">
        <v>2854.8888585280201</v>
      </c>
      <c r="R109" s="1">
        <v>-947.95043450540095</v>
      </c>
    </row>
    <row r="110" spans="1:18" x14ac:dyDescent="0.25">
      <c r="A110" s="1" t="s">
        <v>125</v>
      </c>
      <c r="B110" s="1">
        <v>8375.2739999999994</v>
      </c>
      <c r="C110" s="1">
        <v>5417.9040000000005</v>
      </c>
      <c r="D110" s="1">
        <v>1157.306</v>
      </c>
      <c r="E110" s="1">
        <v>2189.5230000000001</v>
      </c>
      <c r="F110" s="1">
        <v>461.01</v>
      </c>
      <c r="G110" s="1">
        <v>685.524</v>
      </c>
      <c r="H110" s="1">
        <v>-224.51400000000001</v>
      </c>
      <c r="I110" s="1">
        <v>41.651055337958297</v>
      </c>
      <c r="J110" s="1">
        <v>100920.33333333299</v>
      </c>
      <c r="K110" s="1">
        <v>242009</v>
      </c>
      <c r="L110" s="1">
        <v>34607.283200211597</v>
      </c>
      <c r="M110" s="1">
        <v>22387.200476015401</v>
      </c>
      <c r="N110" s="1">
        <v>4782.0783524579701</v>
      </c>
      <c r="O110" s="1">
        <v>9047.2792334169408</v>
      </c>
      <c r="P110" s="1">
        <v>1904.92915552727</v>
      </c>
      <c r="Q110" s="1">
        <v>2832.6384555946302</v>
      </c>
      <c r="R110" s="1">
        <v>-927.70930006735296</v>
      </c>
    </row>
    <row r="111" spans="1:18" x14ac:dyDescent="0.25">
      <c r="A111" s="1" t="s">
        <v>126</v>
      </c>
      <c r="B111" s="1">
        <v>8465.6299999999992</v>
      </c>
      <c r="C111" s="1">
        <v>5491.8370000000004</v>
      </c>
      <c r="D111" s="1">
        <v>1157.9090000000001</v>
      </c>
      <c r="E111" s="1">
        <v>2206.5</v>
      </c>
      <c r="F111" s="1">
        <v>480.00299999999999</v>
      </c>
      <c r="G111" s="1">
        <v>702.67499999999995</v>
      </c>
      <c r="H111" s="1">
        <v>-222.672</v>
      </c>
      <c r="I111" s="1">
        <v>42.4741086763079</v>
      </c>
      <c r="J111" s="1">
        <v>101709</v>
      </c>
      <c r="K111" s="1">
        <v>242520</v>
      </c>
      <c r="L111" s="1">
        <v>34906.935510473399</v>
      </c>
      <c r="M111" s="1">
        <v>22644.882896256</v>
      </c>
      <c r="N111" s="1">
        <v>4774.4887019627304</v>
      </c>
      <c r="O111" s="1">
        <v>9098.2187036120704</v>
      </c>
      <c r="P111" s="1">
        <v>1979.2305789213301</v>
      </c>
      <c r="Q111" s="1">
        <v>2897.3899059871401</v>
      </c>
      <c r="R111" s="1">
        <v>-918.15932706580895</v>
      </c>
    </row>
    <row r="112" spans="1:18" x14ac:dyDescent="0.25">
      <c r="A112" s="1" t="s">
        <v>127</v>
      </c>
      <c r="B112" s="1">
        <v>8539.0750000000007</v>
      </c>
      <c r="C112" s="1">
        <v>5554.5119999999997</v>
      </c>
      <c r="D112" s="1">
        <v>1158.077</v>
      </c>
      <c r="E112" s="1">
        <v>2208.8180000000002</v>
      </c>
      <c r="F112" s="1">
        <v>500.839</v>
      </c>
      <c r="G112" s="1">
        <v>716.37199999999996</v>
      </c>
      <c r="H112" s="1">
        <v>-215.53299999999999</v>
      </c>
      <c r="I112" s="1">
        <v>43.376133846215097</v>
      </c>
      <c r="J112" s="1">
        <v>102438</v>
      </c>
      <c r="K112" s="1">
        <v>243120</v>
      </c>
      <c r="L112" s="1">
        <v>35122.881704508101</v>
      </c>
      <c r="M112" s="1">
        <v>22846.791707798599</v>
      </c>
      <c r="N112" s="1">
        <v>4763.3966765383402</v>
      </c>
      <c r="O112" s="1">
        <v>9085.2994406054604</v>
      </c>
      <c r="P112" s="1">
        <v>2060.04853570253</v>
      </c>
      <c r="Q112" s="1">
        <v>2946.5778216518602</v>
      </c>
      <c r="R112" s="1">
        <v>-886.52928594932496</v>
      </c>
    </row>
    <row r="113" spans="1:18" x14ac:dyDescent="0.25">
      <c r="A113" s="1" t="s">
        <v>128</v>
      </c>
      <c r="B113" s="1">
        <v>8685.6939999999995</v>
      </c>
      <c r="C113" s="1">
        <v>5566.2629999999999</v>
      </c>
      <c r="D113" s="1">
        <v>1236.9860000000001</v>
      </c>
      <c r="E113" s="1">
        <v>2241.9340000000002</v>
      </c>
      <c r="F113" s="1">
        <v>519.52300000000002</v>
      </c>
      <c r="G113" s="1">
        <v>732.84500000000003</v>
      </c>
      <c r="H113" s="1">
        <v>-213.322</v>
      </c>
      <c r="I113" s="1">
        <v>43.302713671611798</v>
      </c>
      <c r="J113" s="1">
        <v>103390.33333333299</v>
      </c>
      <c r="K113" s="1">
        <v>243721</v>
      </c>
      <c r="L113" s="1">
        <v>35637.856401377001</v>
      </c>
      <c r="M113" s="1">
        <v>22838.667985114102</v>
      </c>
      <c r="N113" s="1">
        <v>5075.41820360166</v>
      </c>
      <c r="O113" s="1">
        <v>9198.7723667636401</v>
      </c>
      <c r="P113" s="1">
        <v>2131.6300195715598</v>
      </c>
      <c r="Q113" s="1">
        <v>3006.9013339022899</v>
      </c>
      <c r="R113" s="1">
        <v>-875.271314330731</v>
      </c>
    </row>
    <row r="114" spans="1:18" x14ac:dyDescent="0.25">
      <c r="A114" s="1" t="s">
        <v>129</v>
      </c>
      <c r="B114" s="1">
        <v>8730.5689999999995</v>
      </c>
      <c r="C114" s="1">
        <v>5664.5929999999998</v>
      </c>
      <c r="D114" s="1">
        <v>1177.604</v>
      </c>
      <c r="E114" s="1">
        <v>2223.2289999999998</v>
      </c>
      <c r="F114" s="1">
        <v>548.37300000000005</v>
      </c>
      <c r="G114" s="1">
        <v>729.39300000000003</v>
      </c>
      <c r="H114" s="1">
        <v>-181.02</v>
      </c>
      <c r="I114" s="1">
        <v>42.963201883707299</v>
      </c>
      <c r="J114" s="1">
        <v>104152</v>
      </c>
      <c r="K114" s="1">
        <v>244208</v>
      </c>
      <c r="L114" s="1">
        <v>35750.544617702901</v>
      </c>
      <c r="M114" s="1">
        <v>23195.771637292801</v>
      </c>
      <c r="N114" s="1">
        <v>4822.1352289851302</v>
      </c>
      <c r="O114" s="1">
        <v>9103.8336172443196</v>
      </c>
      <c r="P114" s="1">
        <v>2245.5161174081099</v>
      </c>
      <c r="Q114" s="1">
        <v>2986.76947520147</v>
      </c>
      <c r="R114" s="1">
        <v>-741.25335779335603</v>
      </c>
    </row>
    <row r="115" spans="1:18" x14ac:dyDescent="0.25">
      <c r="A115" s="1" t="s">
        <v>130</v>
      </c>
      <c r="B115" s="1">
        <v>8845.2800000000007</v>
      </c>
      <c r="C115" s="1">
        <v>5706.4139999999998</v>
      </c>
      <c r="D115" s="1">
        <v>1205.662</v>
      </c>
      <c r="E115" s="1">
        <v>2229.8679999999999</v>
      </c>
      <c r="F115" s="1">
        <v>563.74099999999999</v>
      </c>
      <c r="G115" s="1">
        <v>720.99199999999996</v>
      </c>
      <c r="H115" s="1">
        <v>-157.251</v>
      </c>
      <c r="I115" s="1">
        <v>43.830472005218297</v>
      </c>
      <c r="J115" s="1">
        <v>105006.66666666701</v>
      </c>
      <c r="K115" s="1">
        <v>244716</v>
      </c>
      <c r="L115" s="1">
        <v>36145.082462936603</v>
      </c>
      <c r="M115" s="1">
        <v>23318.516157505001</v>
      </c>
      <c r="N115" s="1">
        <v>4926.7804311937098</v>
      </c>
      <c r="O115" s="1">
        <v>9112.0645973291503</v>
      </c>
      <c r="P115" s="1">
        <v>2303.65403161215</v>
      </c>
      <c r="Q115" s="1">
        <v>2946.23972278069</v>
      </c>
      <c r="R115" s="1">
        <v>-642.58569116853801</v>
      </c>
    </row>
    <row r="116" spans="1:18" x14ac:dyDescent="0.25">
      <c r="A116" s="1" t="s">
        <v>131</v>
      </c>
      <c r="B116" s="1">
        <v>8897.107</v>
      </c>
      <c r="C116" s="1">
        <v>5757.12</v>
      </c>
      <c r="D116" s="1">
        <v>1212.3599999999999</v>
      </c>
      <c r="E116" s="1">
        <v>2230.13</v>
      </c>
      <c r="F116" s="1">
        <v>574.85</v>
      </c>
      <c r="G116" s="1">
        <v>738.00300000000004</v>
      </c>
      <c r="H116" s="1">
        <v>-163.15299999999999</v>
      </c>
      <c r="I116" s="1">
        <v>43.932154778937701</v>
      </c>
      <c r="J116" s="1">
        <v>105745.66666666701</v>
      </c>
      <c r="K116" s="1">
        <v>245354</v>
      </c>
      <c r="L116" s="1">
        <v>36262.327086576901</v>
      </c>
      <c r="M116" s="1">
        <v>23464.545106254602</v>
      </c>
      <c r="N116" s="1">
        <v>4941.2685344441097</v>
      </c>
      <c r="O116" s="1">
        <v>9089.4381179846296</v>
      </c>
      <c r="P116" s="1">
        <v>2342.9412196255198</v>
      </c>
      <c r="Q116" s="1">
        <v>3007.9110183653002</v>
      </c>
      <c r="R116" s="1">
        <v>-664.96979873978</v>
      </c>
    </row>
    <row r="117" spans="1:18" x14ac:dyDescent="0.25">
      <c r="A117" s="1" t="s">
        <v>132</v>
      </c>
      <c r="B117" s="1">
        <v>9015.6610000000001</v>
      </c>
      <c r="C117" s="1">
        <v>5822.5789999999997</v>
      </c>
      <c r="D117" s="1">
        <v>1230.8610000000001</v>
      </c>
      <c r="E117" s="1">
        <v>2273.404</v>
      </c>
      <c r="F117" s="1">
        <v>592.39499999999998</v>
      </c>
      <c r="G117" s="1">
        <v>760.48400000000004</v>
      </c>
      <c r="H117" s="1">
        <v>-168.089</v>
      </c>
      <c r="I117" s="1">
        <v>44.415544857229598</v>
      </c>
      <c r="J117" s="1">
        <v>106597</v>
      </c>
      <c r="K117" s="1">
        <v>245966</v>
      </c>
      <c r="L117" s="1">
        <v>36654.094468341202</v>
      </c>
      <c r="M117" s="1">
        <v>23672.2921054129</v>
      </c>
      <c r="N117" s="1">
        <v>5004.1916362424099</v>
      </c>
      <c r="O117" s="1">
        <v>9242.7571290341002</v>
      </c>
      <c r="P117" s="1">
        <v>2408.4426302822299</v>
      </c>
      <c r="Q117" s="1">
        <v>3091.8256994869198</v>
      </c>
      <c r="R117" s="1">
        <v>-683.38306920468699</v>
      </c>
    </row>
    <row r="118" spans="1:18" x14ac:dyDescent="0.25">
      <c r="A118" s="1" t="s">
        <v>133</v>
      </c>
      <c r="B118" s="1">
        <v>9107.3140000000003</v>
      </c>
      <c r="C118" s="1">
        <v>5849.5919999999996</v>
      </c>
      <c r="D118" s="1">
        <v>1272.6379999999999</v>
      </c>
      <c r="E118" s="1">
        <v>2263.4110000000001</v>
      </c>
      <c r="F118" s="1">
        <v>610.08799999999997</v>
      </c>
      <c r="G118" s="1">
        <v>764.02099999999996</v>
      </c>
      <c r="H118" s="1">
        <v>-153.93299999999999</v>
      </c>
      <c r="I118" s="1">
        <v>44.766982896467198</v>
      </c>
      <c r="J118" s="1">
        <v>107403</v>
      </c>
      <c r="K118" s="1">
        <v>246460</v>
      </c>
      <c r="L118" s="1">
        <v>36952.503448835501</v>
      </c>
      <c r="M118" s="1">
        <v>23734.4477805729</v>
      </c>
      <c r="N118" s="1">
        <v>5163.6695609835297</v>
      </c>
      <c r="O118" s="1">
        <v>9183.6849793069905</v>
      </c>
      <c r="P118" s="1">
        <v>2475.4037166274402</v>
      </c>
      <c r="Q118" s="1">
        <v>3099.97971273229</v>
      </c>
      <c r="R118" s="1">
        <v>-624.57599610484499</v>
      </c>
    </row>
    <row r="119" spans="1:18" x14ac:dyDescent="0.25">
      <c r="A119" s="1" t="s">
        <v>134</v>
      </c>
      <c r="B119" s="1">
        <v>9176.8269999999993</v>
      </c>
      <c r="C119" s="1">
        <v>5876.8959999999997</v>
      </c>
      <c r="D119" s="1">
        <v>1260.328</v>
      </c>
      <c r="E119" s="1">
        <v>2298.2249999999999</v>
      </c>
      <c r="F119" s="1">
        <v>636.79999999999995</v>
      </c>
      <c r="G119" s="1">
        <v>767.64300000000003</v>
      </c>
      <c r="H119" s="1">
        <v>-130.84299999999999</v>
      </c>
      <c r="I119" s="1">
        <v>44.933312946482303</v>
      </c>
      <c r="J119" s="1">
        <v>107910.33333333299</v>
      </c>
      <c r="K119" s="1">
        <v>247017</v>
      </c>
      <c r="L119" s="1">
        <v>37150.588825870298</v>
      </c>
      <c r="M119" s="1">
        <v>23791.463745410201</v>
      </c>
      <c r="N119" s="1">
        <v>5102.1913471542503</v>
      </c>
      <c r="O119" s="1">
        <v>9303.9143054931501</v>
      </c>
      <c r="P119" s="1">
        <v>2577.9602213612802</v>
      </c>
      <c r="Q119" s="1">
        <v>3107.65250974629</v>
      </c>
      <c r="R119" s="1">
        <v>-529.69228838500999</v>
      </c>
    </row>
    <row r="120" spans="1:18" x14ac:dyDescent="0.25">
      <c r="A120" s="1" t="s">
        <v>135</v>
      </c>
      <c r="B120" s="1">
        <v>9244.8160000000007</v>
      </c>
      <c r="C120" s="1">
        <v>5933.79</v>
      </c>
      <c r="D120" s="1">
        <v>1249.0119999999999</v>
      </c>
      <c r="E120" s="1">
        <v>2318.902</v>
      </c>
      <c r="F120" s="1">
        <v>643.30499999999995</v>
      </c>
      <c r="G120" s="1">
        <v>766.59900000000005</v>
      </c>
      <c r="H120" s="1">
        <v>-123.294</v>
      </c>
      <c r="I120" s="1">
        <v>45.818342118677599</v>
      </c>
      <c r="J120" s="1">
        <v>108186</v>
      </c>
      <c r="K120" s="1">
        <v>247698</v>
      </c>
      <c r="L120" s="1">
        <v>37322.933572334099</v>
      </c>
      <c r="M120" s="1">
        <v>23955.7444953128</v>
      </c>
      <c r="N120" s="1">
        <v>5042.4791479947398</v>
      </c>
      <c r="O120" s="1">
        <v>9361.8115608523294</v>
      </c>
      <c r="P120" s="1">
        <v>2597.1344136811799</v>
      </c>
      <c r="Q120" s="1">
        <v>3094.8937819441398</v>
      </c>
      <c r="R120" s="1">
        <v>-497.75936826296601</v>
      </c>
    </row>
    <row r="121" spans="1:18" x14ac:dyDescent="0.25">
      <c r="A121" s="1" t="s">
        <v>136</v>
      </c>
      <c r="B121" s="1">
        <v>9263.0329999999994</v>
      </c>
      <c r="C121" s="1">
        <v>5959.58</v>
      </c>
      <c r="D121" s="1">
        <v>1239.7470000000001</v>
      </c>
      <c r="E121" s="1">
        <v>2330.5340000000001</v>
      </c>
      <c r="F121" s="1">
        <v>653.04300000000001</v>
      </c>
      <c r="G121" s="1">
        <v>780.46900000000005</v>
      </c>
      <c r="H121" s="1">
        <v>-127.426</v>
      </c>
      <c r="I121" s="1">
        <v>45.211970584061802</v>
      </c>
      <c r="J121" s="1">
        <v>108688</v>
      </c>
      <c r="K121" s="1">
        <v>248374</v>
      </c>
      <c r="L121" s="1">
        <v>37294.696707384799</v>
      </c>
      <c r="M121" s="1">
        <v>23994.379443903101</v>
      </c>
      <c r="N121" s="1">
        <v>4991.4524064515599</v>
      </c>
      <c r="O121" s="1">
        <v>9383.1640993018591</v>
      </c>
      <c r="P121" s="1">
        <v>2629.2727902276401</v>
      </c>
      <c r="Q121" s="1">
        <v>3142.3136077045101</v>
      </c>
      <c r="R121" s="1">
        <v>-513.04081747686996</v>
      </c>
    </row>
    <row r="122" spans="1:18" x14ac:dyDescent="0.25">
      <c r="A122" s="1" t="s">
        <v>137</v>
      </c>
      <c r="B122" s="1">
        <v>9364.259</v>
      </c>
      <c r="C122" s="1">
        <v>6009.7349999999997</v>
      </c>
      <c r="D122" s="1">
        <v>1252.058</v>
      </c>
      <c r="E122" s="1">
        <v>2367.8000000000002</v>
      </c>
      <c r="F122" s="1">
        <v>681.404</v>
      </c>
      <c r="G122" s="1">
        <v>805.21900000000005</v>
      </c>
      <c r="H122" s="1">
        <v>-123.815</v>
      </c>
      <c r="I122" s="1">
        <v>46.044401898599197</v>
      </c>
      <c r="J122" s="1">
        <v>109418.66666666701</v>
      </c>
      <c r="K122" s="1">
        <v>248936</v>
      </c>
      <c r="L122" s="1">
        <v>37617.134524536399</v>
      </c>
      <c r="M122" s="1">
        <v>24141.687019956898</v>
      </c>
      <c r="N122" s="1">
        <v>5029.6381399235097</v>
      </c>
      <c r="O122" s="1">
        <v>9511.6817173892105</v>
      </c>
      <c r="P122" s="1">
        <v>2737.2658032586701</v>
      </c>
      <c r="Q122" s="1">
        <v>3234.6426390718898</v>
      </c>
      <c r="R122" s="1">
        <v>-497.37683581322102</v>
      </c>
    </row>
    <row r="123" spans="1:18" x14ac:dyDescent="0.25">
      <c r="A123" s="1" t="s">
        <v>138</v>
      </c>
      <c r="B123" s="1">
        <v>9398.2430000000004</v>
      </c>
      <c r="C123" s="1">
        <v>6028.0410000000002</v>
      </c>
      <c r="D123" s="1">
        <v>1252.4490000000001</v>
      </c>
      <c r="E123" s="1">
        <v>2371.5329999999999</v>
      </c>
      <c r="F123" s="1">
        <v>689.87800000000004</v>
      </c>
      <c r="G123" s="1">
        <v>803.86800000000005</v>
      </c>
      <c r="H123" s="1">
        <v>-113.99</v>
      </c>
      <c r="I123" s="1">
        <v>45.179606549767001</v>
      </c>
      <c r="J123" s="1">
        <v>109786.66666666701</v>
      </c>
      <c r="K123" s="1">
        <v>249711</v>
      </c>
      <c r="L123" s="1">
        <v>37636.479770614802</v>
      </c>
      <c r="M123" s="1">
        <v>24140.0699208285</v>
      </c>
      <c r="N123" s="1">
        <v>5015.5940266948601</v>
      </c>
      <c r="O123" s="1">
        <v>9497.1106599228697</v>
      </c>
      <c r="P123" s="1">
        <v>2762.7056877750701</v>
      </c>
      <c r="Q123" s="1">
        <v>3219.1933875560198</v>
      </c>
      <c r="R123" s="1">
        <v>-456.48769978094703</v>
      </c>
    </row>
    <row r="124" spans="1:18" x14ac:dyDescent="0.25">
      <c r="A124" s="1" t="s">
        <v>139</v>
      </c>
      <c r="B124" s="1">
        <v>9404.4940000000006</v>
      </c>
      <c r="C124" s="1">
        <v>6051.9219999999996</v>
      </c>
      <c r="D124" s="1">
        <v>1228.17</v>
      </c>
      <c r="E124" s="1">
        <v>2375.306</v>
      </c>
      <c r="F124" s="1">
        <v>695.09900000000005</v>
      </c>
      <c r="G124" s="1">
        <v>800.62199999999996</v>
      </c>
      <c r="H124" s="1">
        <v>-105.523</v>
      </c>
      <c r="I124" s="1">
        <v>44.790845337906703</v>
      </c>
      <c r="J124" s="1">
        <v>109651</v>
      </c>
      <c r="K124" s="1">
        <v>250595</v>
      </c>
      <c r="L124" s="1">
        <v>37528.657794449202</v>
      </c>
      <c r="M124" s="1">
        <v>24150.210499012399</v>
      </c>
      <c r="N124" s="1">
        <v>4901.0155829126697</v>
      </c>
      <c r="O124" s="1">
        <v>9478.6647778287697</v>
      </c>
      <c r="P124" s="1">
        <v>2773.79436940083</v>
      </c>
      <c r="Q124" s="1">
        <v>3194.8841756619199</v>
      </c>
      <c r="R124" s="1">
        <v>-421.08980626109798</v>
      </c>
    </row>
    <row r="125" spans="1:18" x14ac:dyDescent="0.25">
      <c r="A125" s="1" t="s">
        <v>140</v>
      </c>
      <c r="B125" s="1">
        <v>9318.8760000000002</v>
      </c>
      <c r="C125" s="1">
        <v>6005.8819999999996</v>
      </c>
      <c r="D125" s="1">
        <v>1159.4639999999999</v>
      </c>
      <c r="E125" s="1">
        <v>2391.1880000000001</v>
      </c>
      <c r="F125" s="1">
        <v>701.21900000000005</v>
      </c>
      <c r="G125" s="1">
        <v>779.15099999999995</v>
      </c>
      <c r="H125" s="1">
        <v>-77.931999999999903</v>
      </c>
      <c r="I125" s="1">
        <v>43.953818647064601</v>
      </c>
      <c r="J125" s="1">
        <v>109255</v>
      </c>
      <c r="K125" s="1">
        <v>251482</v>
      </c>
      <c r="L125" s="1">
        <v>37055.836998274201</v>
      </c>
      <c r="M125" s="1">
        <v>23881.9557662179</v>
      </c>
      <c r="N125" s="1">
        <v>4610.5248089326496</v>
      </c>
      <c r="O125" s="1">
        <v>9508.3862860960198</v>
      </c>
      <c r="P125" s="1">
        <v>2788.3466808757698</v>
      </c>
      <c r="Q125" s="1">
        <v>3098.2376472272399</v>
      </c>
      <c r="R125" s="1">
        <v>-309.89096635146802</v>
      </c>
    </row>
    <row r="126" spans="1:18" x14ac:dyDescent="0.25">
      <c r="A126" s="1" t="s">
        <v>141</v>
      </c>
      <c r="B126" s="1">
        <v>9275.2759999999998</v>
      </c>
      <c r="C126" s="1">
        <v>5983.2979999999998</v>
      </c>
      <c r="D126" s="1">
        <v>1120.884</v>
      </c>
      <c r="E126" s="1">
        <v>2405.4470000000001</v>
      </c>
      <c r="F126" s="1">
        <v>705.50300000000004</v>
      </c>
      <c r="G126" s="1">
        <v>770.27200000000005</v>
      </c>
      <c r="H126" s="1">
        <v>-64.769000000000005</v>
      </c>
      <c r="I126" s="1">
        <v>42.545550991856302</v>
      </c>
      <c r="J126" s="1">
        <v>108783</v>
      </c>
      <c r="K126" s="1">
        <v>252258</v>
      </c>
      <c r="L126" s="1">
        <v>36769.006334784201</v>
      </c>
      <c r="M126" s="1">
        <v>23718.9623322154</v>
      </c>
      <c r="N126" s="1">
        <v>4443.4031824560598</v>
      </c>
      <c r="O126" s="1">
        <v>9535.6619017038101</v>
      </c>
      <c r="P126" s="1">
        <v>2796.7517382996798</v>
      </c>
      <c r="Q126" s="1">
        <v>3053.5087093372699</v>
      </c>
      <c r="R126" s="1">
        <v>-256.75697103758898</v>
      </c>
    </row>
    <row r="127" spans="1:18" x14ac:dyDescent="0.25">
      <c r="A127" s="1" t="s">
        <v>142</v>
      </c>
      <c r="B127" s="1">
        <v>9347.5969999999998</v>
      </c>
      <c r="C127" s="1">
        <v>6032.8850000000002</v>
      </c>
      <c r="D127" s="1">
        <v>1120.8800000000001</v>
      </c>
      <c r="E127" s="1">
        <v>2415.232</v>
      </c>
      <c r="F127" s="1">
        <v>731.22500000000002</v>
      </c>
      <c r="G127" s="1">
        <v>783.96299999999997</v>
      </c>
      <c r="H127" s="1">
        <v>-52.7379999999999</v>
      </c>
      <c r="I127" s="1">
        <v>42.664559526099197</v>
      </c>
      <c r="J127" s="1">
        <v>108312.33333333299</v>
      </c>
      <c r="K127" s="1">
        <v>253063</v>
      </c>
      <c r="L127" s="1">
        <v>36937.825758803097</v>
      </c>
      <c r="M127" s="1">
        <v>23839.458948957399</v>
      </c>
      <c r="N127" s="1">
        <v>4429.2527947586204</v>
      </c>
      <c r="O127" s="1">
        <v>9543.9949735836508</v>
      </c>
      <c r="P127" s="1">
        <v>2889.4978720713798</v>
      </c>
      <c r="Q127" s="1">
        <v>3097.8965712095401</v>
      </c>
      <c r="R127" s="1">
        <v>-208.398699138159</v>
      </c>
    </row>
    <row r="128" spans="1:18" x14ac:dyDescent="0.25">
      <c r="A128" s="1" t="s">
        <v>143</v>
      </c>
      <c r="B128" s="1">
        <v>9394.8340000000007</v>
      </c>
      <c r="C128" s="1">
        <v>6062.9639999999999</v>
      </c>
      <c r="D128" s="1">
        <v>1143.0730000000001</v>
      </c>
      <c r="E128" s="1">
        <v>2408.4670000000001</v>
      </c>
      <c r="F128" s="1">
        <v>748.53599999999994</v>
      </c>
      <c r="G128" s="1">
        <v>806.02499999999998</v>
      </c>
      <c r="H128" s="1">
        <v>-57.488999999999997</v>
      </c>
      <c r="I128" s="1">
        <v>42.783568060342198</v>
      </c>
      <c r="J128" s="1">
        <v>108308.33333333299</v>
      </c>
      <c r="K128" s="1">
        <v>253965</v>
      </c>
      <c r="L128" s="1">
        <v>36992.632843108302</v>
      </c>
      <c r="M128" s="1">
        <v>23873.226625716099</v>
      </c>
      <c r="N128" s="1">
        <v>4500.9076053786903</v>
      </c>
      <c r="O128" s="1">
        <v>9483.4603193353396</v>
      </c>
      <c r="P128" s="1">
        <v>2947.3982635402499</v>
      </c>
      <c r="Q128" s="1">
        <v>3173.7641013525499</v>
      </c>
      <c r="R128" s="1">
        <v>-226.365837812297</v>
      </c>
    </row>
    <row r="129" spans="1:18" x14ac:dyDescent="0.25">
      <c r="A129" s="1" t="s">
        <v>144</v>
      </c>
      <c r="B129" s="1">
        <v>9427.5810000000001</v>
      </c>
      <c r="C129" s="1">
        <v>6059.93</v>
      </c>
      <c r="D129" s="1">
        <v>1183.605</v>
      </c>
      <c r="E129" s="1">
        <v>2390.8440000000001</v>
      </c>
      <c r="F129" s="1">
        <v>765.39099999999996</v>
      </c>
      <c r="G129" s="1">
        <v>823.83100000000002</v>
      </c>
      <c r="H129" s="1">
        <v>-58.440000000000097</v>
      </c>
      <c r="I129" s="1">
        <v>42.839105376322301</v>
      </c>
      <c r="J129" s="1">
        <v>108331.66666666701</v>
      </c>
      <c r="K129" s="1">
        <v>254835</v>
      </c>
      <c r="L129" s="1">
        <v>36994.843722408601</v>
      </c>
      <c r="M129" s="1">
        <v>23779.818313810902</v>
      </c>
      <c r="N129" s="1">
        <v>4644.5935605391696</v>
      </c>
      <c r="O129" s="1">
        <v>9381.9294837836205</v>
      </c>
      <c r="P129" s="1">
        <v>3003.4767594718201</v>
      </c>
      <c r="Q129" s="1">
        <v>3232.8016167323999</v>
      </c>
      <c r="R129" s="1">
        <v>-229.32485726058101</v>
      </c>
    </row>
    <row r="130" spans="1:18" x14ac:dyDescent="0.25">
      <c r="A130" s="1" t="s">
        <v>145</v>
      </c>
      <c r="B130" s="1">
        <v>9540.4439999999995</v>
      </c>
      <c r="C130" s="1">
        <v>6173.393</v>
      </c>
      <c r="D130" s="1">
        <v>1161.74</v>
      </c>
      <c r="E130" s="1">
        <v>2412.0329999999999</v>
      </c>
      <c r="F130" s="1">
        <v>779.22799999999995</v>
      </c>
      <c r="G130" s="1">
        <v>829.81500000000005</v>
      </c>
      <c r="H130" s="1">
        <v>-50.587000000000103</v>
      </c>
      <c r="I130" s="1">
        <v>43.450015852102702</v>
      </c>
      <c r="J130" s="1">
        <v>108346.66666666701</v>
      </c>
      <c r="K130" s="1">
        <v>255585</v>
      </c>
      <c r="L130" s="1">
        <v>37327.871353952702</v>
      </c>
      <c r="M130" s="1">
        <v>24153.972259717899</v>
      </c>
      <c r="N130" s="1">
        <v>4545.4154195277497</v>
      </c>
      <c r="O130" s="1">
        <v>9437.3026586067299</v>
      </c>
      <c r="P130" s="1">
        <v>3048.80176849189</v>
      </c>
      <c r="Q130" s="1">
        <v>3246.7280943717401</v>
      </c>
      <c r="R130" s="1">
        <v>-197.926325879845</v>
      </c>
    </row>
    <row r="131" spans="1:18" x14ac:dyDescent="0.25">
      <c r="A131" s="1" t="s">
        <v>146</v>
      </c>
      <c r="B131" s="1">
        <v>9643.893</v>
      </c>
      <c r="C131" s="1">
        <v>6215.3</v>
      </c>
      <c r="D131" s="1">
        <v>1227.44</v>
      </c>
      <c r="E131" s="1">
        <v>2407.3690000000001</v>
      </c>
      <c r="F131" s="1">
        <v>779.59900000000005</v>
      </c>
      <c r="G131" s="1">
        <v>843.45699999999999</v>
      </c>
      <c r="H131" s="1">
        <v>-63.857999999999997</v>
      </c>
      <c r="I131" s="1">
        <v>44.640101194532299</v>
      </c>
      <c r="J131" s="1">
        <v>108626.66666666701</v>
      </c>
      <c r="K131" s="1">
        <v>256439</v>
      </c>
      <c r="L131" s="1">
        <v>37606.966959003898</v>
      </c>
      <c r="M131" s="1">
        <v>24236.953037564501</v>
      </c>
      <c r="N131" s="1">
        <v>4786.4794356552602</v>
      </c>
      <c r="O131" s="1">
        <v>9387.6867403164106</v>
      </c>
      <c r="P131" s="1">
        <v>3040.0953053162698</v>
      </c>
      <c r="Q131" s="1">
        <v>3289.1135903665199</v>
      </c>
      <c r="R131" s="1">
        <v>-249.01828505024599</v>
      </c>
    </row>
    <row r="132" spans="1:18" x14ac:dyDescent="0.25">
      <c r="A132" s="1" t="s">
        <v>147</v>
      </c>
      <c r="B132" s="1">
        <v>9739.1849999999995</v>
      </c>
      <c r="C132" s="1">
        <v>6281.9229999999998</v>
      </c>
      <c r="D132" s="1">
        <v>1237.1969999999999</v>
      </c>
      <c r="E132" s="1">
        <v>2422.703</v>
      </c>
      <c r="F132" s="1">
        <v>796.12</v>
      </c>
      <c r="G132" s="1">
        <v>856.75300000000004</v>
      </c>
      <c r="H132" s="1">
        <v>-60.633000000000003</v>
      </c>
      <c r="I132" s="1">
        <v>45.024895455251198</v>
      </c>
      <c r="J132" s="1">
        <v>108892</v>
      </c>
      <c r="K132" s="1">
        <v>257386</v>
      </c>
      <c r="L132" s="1">
        <v>37838.829617772499</v>
      </c>
      <c r="M132" s="1">
        <v>24406.622737833401</v>
      </c>
      <c r="N132" s="1">
        <v>4806.7765923554498</v>
      </c>
      <c r="O132" s="1">
        <v>9412.7225257006994</v>
      </c>
      <c r="P132" s="1">
        <v>3093.0975266720002</v>
      </c>
      <c r="Q132" s="1">
        <v>3328.66978001912</v>
      </c>
      <c r="R132" s="1">
        <v>-235.57225334711299</v>
      </c>
    </row>
    <row r="133" spans="1:18" x14ac:dyDescent="0.25">
      <c r="A133" s="1" t="s">
        <v>148</v>
      </c>
      <c r="B133" s="1">
        <v>9840.7530000000006</v>
      </c>
      <c r="C133" s="1">
        <v>6356.7960000000003</v>
      </c>
      <c r="D133" s="1">
        <v>1274.9449999999999</v>
      </c>
      <c r="E133" s="1">
        <v>2422.424</v>
      </c>
      <c r="F133" s="1">
        <v>800.11</v>
      </c>
      <c r="G133" s="1">
        <v>877.26300000000003</v>
      </c>
      <c r="H133" s="1">
        <v>-77.153000000000006</v>
      </c>
      <c r="I133" s="1">
        <v>46.008699338326203</v>
      </c>
      <c r="J133" s="1">
        <v>109305.33333333299</v>
      </c>
      <c r="K133" s="1">
        <v>258277</v>
      </c>
      <c r="L133" s="1">
        <v>38101.546014550302</v>
      </c>
      <c r="M133" s="1">
        <v>24612.319331570401</v>
      </c>
      <c r="N133" s="1">
        <v>4936.3474099513296</v>
      </c>
      <c r="O133" s="1">
        <v>9379.1704255508594</v>
      </c>
      <c r="P133" s="1">
        <v>3097.87553672995</v>
      </c>
      <c r="Q133" s="1">
        <v>3396.5974515733101</v>
      </c>
      <c r="R133" s="1">
        <v>-298.72191484336599</v>
      </c>
    </row>
    <row r="134" spans="1:18" x14ac:dyDescent="0.25">
      <c r="A134" s="1" t="s">
        <v>149</v>
      </c>
      <c r="B134" s="1">
        <v>9857.1849999999995</v>
      </c>
      <c r="C134" s="1">
        <v>6381.1679999999997</v>
      </c>
      <c r="D134" s="1">
        <v>1305.0029999999999</v>
      </c>
      <c r="E134" s="1">
        <v>2392.3710000000001</v>
      </c>
      <c r="F134" s="1">
        <v>801.89599999999996</v>
      </c>
      <c r="G134" s="1">
        <v>896.25699999999995</v>
      </c>
      <c r="H134" s="1">
        <v>-94.361000000000004</v>
      </c>
      <c r="I134" s="1">
        <v>46.032501045174897</v>
      </c>
      <c r="J134" s="1">
        <v>109943.33333333299</v>
      </c>
      <c r="K134" s="1">
        <v>259039</v>
      </c>
      <c r="L134" s="1">
        <v>38052.899370365099</v>
      </c>
      <c r="M134" s="1">
        <v>24634.0049181783</v>
      </c>
      <c r="N134" s="1">
        <v>5037.8630244866599</v>
      </c>
      <c r="O134" s="1">
        <v>9235.5629847243108</v>
      </c>
      <c r="P134" s="1">
        <v>3095.6574106601702</v>
      </c>
      <c r="Q134" s="1">
        <v>3459.9307440192401</v>
      </c>
      <c r="R134" s="1">
        <v>-364.273333359069</v>
      </c>
    </row>
    <row r="135" spans="1:18" x14ac:dyDescent="0.25">
      <c r="A135" s="1" t="s">
        <v>150</v>
      </c>
      <c r="B135" s="1">
        <v>9914.5650000000005</v>
      </c>
      <c r="C135" s="1">
        <v>6439.2110000000002</v>
      </c>
      <c r="D135" s="1">
        <v>1312.511</v>
      </c>
      <c r="E135" s="1">
        <v>2392.585</v>
      </c>
      <c r="F135" s="1">
        <v>811.48</v>
      </c>
      <c r="G135" s="1">
        <v>914.774</v>
      </c>
      <c r="H135" s="1">
        <v>-103.294</v>
      </c>
      <c r="I135" s="1">
        <v>46.9925032214014</v>
      </c>
      <c r="J135" s="1">
        <v>110538.66666666701</v>
      </c>
      <c r="K135" s="1">
        <v>259826</v>
      </c>
      <c r="L135" s="1">
        <v>38158.479136037196</v>
      </c>
      <c r="M135" s="1">
        <v>24782.781553809102</v>
      </c>
      <c r="N135" s="1">
        <v>5051.4998498995501</v>
      </c>
      <c r="O135" s="1">
        <v>9208.4125530162491</v>
      </c>
      <c r="P135" s="1">
        <v>3123.1670425592501</v>
      </c>
      <c r="Q135" s="1">
        <v>3520.7177110835701</v>
      </c>
      <c r="R135" s="1">
        <v>-397.55066852431997</v>
      </c>
    </row>
    <row r="136" spans="1:18" x14ac:dyDescent="0.25">
      <c r="A136" s="1" t="s">
        <v>151</v>
      </c>
      <c r="B136" s="1">
        <v>9961.8729999999996</v>
      </c>
      <c r="C136" s="1">
        <v>6510.8739999999998</v>
      </c>
      <c r="D136" s="1">
        <v>1303.597</v>
      </c>
      <c r="E136" s="1">
        <v>2395.9870000000001</v>
      </c>
      <c r="F136" s="1">
        <v>809.29899999999998</v>
      </c>
      <c r="G136" s="1">
        <v>926.82100000000003</v>
      </c>
      <c r="H136" s="1">
        <v>-117.52200000000001</v>
      </c>
      <c r="I136" s="1">
        <v>47.496306016363199</v>
      </c>
      <c r="J136" s="1">
        <v>111241.33333333299</v>
      </c>
      <c r="K136" s="1">
        <v>260714</v>
      </c>
      <c r="L136" s="1">
        <v>38209.965709551499</v>
      </c>
      <c r="M136" s="1">
        <v>24973.242710402999</v>
      </c>
      <c r="N136" s="1">
        <v>5000.1035617573298</v>
      </c>
      <c r="O136" s="1">
        <v>9190.0971946270602</v>
      </c>
      <c r="P136" s="1">
        <v>3104.1639497687102</v>
      </c>
      <c r="Q136" s="1">
        <v>3554.9337588315202</v>
      </c>
      <c r="R136" s="1">
        <v>-450.769809062805</v>
      </c>
    </row>
    <row r="137" spans="1:18" x14ac:dyDescent="0.25">
      <c r="A137" s="1" t="s">
        <v>152</v>
      </c>
      <c r="B137" s="1">
        <v>10097.361999999999</v>
      </c>
      <c r="C137" s="1">
        <v>6568.0280000000002</v>
      </c>
      <c r="D137" s="1">
        <v>1372.097</v>
      </c>
      <c r="E137" s="1">
        <v>2404.4470000000001</v>
      </c>
      <c r="F137" s="1">
        <v>835.38400000000001</v>
      </c>
      <c r="G137" s="1">
        <v>964.05499999999995</v>
      </c>
      <c r="H137" s="1">
        <v>-128.67099999999999</v>
      </c>
      <c r="I137" s="1">
        <v>49.285400981149003</v>
      </c>
      <c r="J137" s="1">
        <v>112015</v>
      </c>
      <c r="K137" s="1">
        <v>261547</v>
      </c>
      <c r="L137" s="1">
        <v>38606.300206081498</v>
      </c>
      <c r="M137" s="1">
        <v>25112.228394896501</v>
      </c>
      <c r="N137" s="1">
        <v>5246.0819661475798</v>
      </c>
      <c r="O137" s="1">
        <v>9193.17369344707</v>
      </c>
      <c r="P137" s="1">
        <v>3194.01101905203</v>
      </c>
      <c r="Q137" s="1">
        <v>3685.9723109039701</v>
      </c>
      <c r="R137" s="1">
        <v>-491.96129185194201</v>
      </c>
    </row>
    <row r="138" spans="1:18" x14ac:dyDescent="0.25">
      <c r="A138" s="1" t="s">
        <v>153</v>
      </c>
      <c r="B138" s="1">
        <v>10195.338</v>
      </c>
      <c r="C138" s="1">
        <v>6643.1509999999998</v>
      </c>
      <c r="D138" s="1">
        <v>1424.36</v>
      </c>
      <c r="E138" s="1">
        <v>2374.6979999999999</v>
      </c>
      <c r="F138" s="1">
        <v>843.58399999999995</v>
      </c>
      <c r="G138" s="1">
        <v>986.51400000000001</v>
      </c>
      <c r="H138" s="1">
        <v>-142.93</v>
      </c>
      <c r="I138" s="1">
        <v>49.392508661967597</v>
      </c>
      <c r="J138" s="1">
        <v>112872.33333333299</v>
      </c>
      <c r="K138" s="1">
        <v>262250</v>
      </c>
      <c r="L138" s="1">
        <v>38876.408007626298</v>
      </c>
      <c r="M138" s="1">
        <v>25331.367016205899</v>
      </c>
      <c r="N138" s="1">
        <v>5431.3060057197299</v>
      </c>
      <c r="O138" s="1">
        <v>9055.0924690181091</v>
      </c>
      <c r="P138" s="1">
        <v>3216.7168732125801</v>
      </c>
      <c r="Q138" s="1">
        <v>3761.7311725452801</v>
      </c>
      <c r="R138" s="1">
        <v>-545.01429933269799</v>
      </c>
    </row>
    <row r="139" spans="1:18" x14ac:dyDescent="0.25">
      <c r="A139" s="1" t="s">
        <v>154</v>
      </c>
      <c r="B139" s="1">
        <v>10333.495000000001</v>
      </c>
      <c r="C139" s="1">
        <v>6694.8389999999999</v>
      </c>
      <c r="D139" s="1">
        <v>1494.4110000000001</v>
      </c>
      <c r="E139" s="1">
        <v>2386.451</v>
      </c>
      <c r="F139" s="1">
        <v>872.06500000000005</v>
      </c>
      <c r="G139" s="1">
        <v>1023.272</v>
      </c>
      <c r="H139" s="1">
        <v>-151.20699999999999</v>
      </c>
      <c r="I139" s="1">
        <v>50.5548253464071</v>
      </c>
      <c r="J139" s="1">
        <v>113915.66666666701</v>
      </c>
      <c r="K139" s="1">
        <v>263020</v>
      </c>
      <c r="L139" s="1">
        <v>39287.867842749598</v>
      </c>
      <c r="M139" s="1">
        <v>25453.725952399102</v>
      </c>
      <c r="N139" s="1">
        <v>5681.7390312523803</v>
      </c>
      <c r="O139" s="1">
        <v>9073.2681925328907</v>
      </c>
      <c r="P139" s="1">
        <v>3315.5843662078901</v>
      </c>
      <c r="Q139" s="1">
        <v>3890.4722074367</v>
      </c>
      <c r="R139" s="1">
        <v>-574.88784122880395</v>
      </c>
    </row>
    <row r="140" spans="1:18" x14ac:dyDescent="0.25">
      <c r="A140" s="1" t="s">
        <v>155</v>
      </c>
      <c r="B140" s="1">
        <v>10393.897999999999</v>
      </c>
      <c r="C140" s="1">
        <v>6745.8869999999997</v>
      </c>
      <c r="D140" s="1">
        <v>1469.999</v>
      </c>
      <c r="E140" s="1">
        <v>2426.6790000000001</v>
      </c>
      <c r="F140" s="1">
        <v>904.70500000000004</v>
      </c>
      <c r="G140" s="1">
        <v>1052.047</v>
      </c>
      <c r="H140" s="1">
        <v>-147.34200000000001</v>
      </c>
      <c r="I140" s="1">
        <v>51.348215574693498</v>
      </c>
      <c r="J140" s="1">
        <v>114920</v>
      </c>
      <c r="K140" s="1">
        <v>263870</v>
      </c>
      <c r="L140" s="1">
        <v>39390.222458028598</v>
      </c>
      <c r="M140" s="1">
        <v>25565.191192632701</v>
      </c>
      <c r="N140" s="1">
        <v>5570.9212869973899</v>
      </c>
      <c r="O140" s="1">
        <v>9196.4944859210991</v>
      </c>
      <c r="P140" s="1">
        <v>3428.6012051388898</v>
      </c>
      <c r="Q140" s="1">
        <v>3986.9898055860799</v>
      </c>
      <c r="R140" s="1">
        <v>-558.38860044719002</v>
      </c>
    </row>
    <row r="141" spans="1:18" x14ac:dyDescent="0.25">
      <c r="A141" s="1" t="s">
        <v>156</v>
      </c>
      <c r="B141" s="1">
        <v>10512.962</v>
      </c>
      <c r="C141" s="1">
        <v>6818.8190000000004</v>
      </c>
      <c r="D141" s="1">
        <v>1530.4760000000001</v>
      </c>
      <c r="E141" s="1">
        <v>2405.5650000000001</v>
      </c>
      <c r="F141" s="1">
        <v>925.58900000000006</v>
      </c>
      <c r="G141" s="1">
        <v>1081.6469999999999</v>
      </c>
      <c r="H141" s="1">
        <v>-156.05799999999999</v>
      </c>
      <c r="I141" s="1">
        <v>52.343920311192903</v>
      </c>
      <c r="J141" s="1">
        <v>115834.33333333299</v>
      </c>
      <c r="K141" s="1">
        <v>264678</v>
      </c>
      <c r="L141" s="1">
        <v>39719.818043056097</v>
      </c>
      <c r="M141" s="1">
        <v>25762.696559593202</v>
      </c>
      <c r="N141" s="1">
        <v>5782.4073024580803</v>
      </c>
      <c r="O141" s="1">
        <v>9088.6473375195492</v>
      </c>
      <c r="P141" s="1">
        <v>3497.0379102154302</v>
      </c>
      <c r="Q141" s="1">
        <v>4086.6524607258598</v>
      </c>
      <c r="R141" s="1">
        <v>-589.61455051043094</v>
      </c>
    </row>
    <row r="142" spans="1:18" x14ac:dyDescent="0.25">
      <c r="A142" s="1" t="s">
        <v>157</v>
      </c>
      <c r="B142" s="1">
        <v>10550.251</v>
      </c>
      <c r="C142" s="1">
        <v>6835.7910000000002</v>
      </c>
      <c r="D142" s="1">
        <v>1546.548</v>
      </c>
      <c r="E142" s="1">
        <v>2413.98</v>
      </c>
      <c r="F142" s="1">
        <v>943.41800000000001</v>
      </c>
      <c r="G142" s="1">
        <v>1105.3800000000001</v>
      </c>
      <c r="H142" s="1">
        <v>-161.96199999999999</v>
      </c>
      <c r="I142" s="1">
        <v>53.450018536378103</v>
      </c>
      <c r="J142" s="1">
        <v>116701</v>
      </c>
      <c r="K142" s="1">
        <v>265388</v>
      </c>
      <c r="L142" s="1">
        <v>39754.061977180601</v>
      </c>
      <c r="M142" s="1">
        <v>25757.724539165301</v>
      </c>
      <c r="N142" s="1">
        <v>5827.4978522013098</v>
      </c>
      <c r="O142" s="1">
        <v>9096.0405142659092</v>
      </c>
      <c r="P142" s="1">
        <v>3554.8630684130399</v>
      </c>
      <c r="Q142" s="1">
        <v>4165.1468792861797</v>
      </c>
      <c r="R142" s="1">
        <v>-610.28381087313699</v>
      </c>
    </row>
    <row r="143" spans="1:18" x14ac:dyDescent="0.25">
      <c r="A143" s="1" t="s">
        <v>158</v>
      </c>
      <c r="B143" s="1">
        <v>10581.723</v>
      </c>
      <c r="C143" s="1">
        <v>6895.7179999999998</v>
      </c>
      <c r="D143" s="1">
        <v>1514.4259999999999</v>
      </c>
      <c r="E143" s="1">
        <v>2422.0909999999999</v>
      </c>
      <c r="F143" s="1">
        <v>956.64700000000005</v>
      </c>
      <c r="G143" s="1">
        <v>1115.8779999999999</v>
      </c>
      <c r="H143" s="1">
        <v>-159.23099999999999</v>
      </c>
      <c r="I143" s="1">
        <v>53.371708706343497</v>
      </c>
      <c r="J143" s="1">
        <v>117133.33333333299</v>
      </c>
      <c r="K143" s="1">
        <v>266142</v>
      </c>
      <c r="L143" s="1">
        <v>39759.688436999801</v>
      </c>
      <c r="M143" s="1">
        <v>25909.920268127498</v>
      </c>
      <c r="N143" s="1">
        <v>5690.2931517761199</v>
      </c>
      <c r="O143" s="1">
        <v>9100.7469696628104</v>
      </c>
      <c r="P143" s="1">
        <v>3594.4984256524699</v>
      </c>
      <c r="Q143" s="1">
        <v>4192.7918179017197</v>
      </c>
      <c r="R143" s="1">
        <v>-598.29339224925002</v>
      </c>
    </row>
    <row r="144" spans="1:18" x14ac:dyDescent="0.25">
      <c r="A144" s="1" t="s">
        <v>159</v>
      </c>
      <c r="B144" s="1">
        <v>10671.737999999999</v>
      </c>
      <c r="C144" s="1">
        <v>6958.21</v>
      </c>
      <c r="D144" s="1">
        <v>1505.3989999999999</v>
      </c>
      <c r="E144" s="1">
        <v>2415.7359999999999</v>
      </c>
      <c r="F144" s="1">
        <v>998.04600000000005</v>
      </c>
      <c r="G144" s="1">
        <v>1119.712</v>
      </c>
      <c r="H144" s="1">
        <v>-121.666</v>
      </c>
      <c r="I144" s="1">
        <v>53.763257856516702</v>
      </c>
      <c r="J144" s="1">
        <v>117632</v>
      </c>
      <c r="K144" s="1">
        <v>267000</v>
      </c>
      <c r="L144" s="1">
        <v>39969.056179775303</v>
      </c>
      <c r="M144" s="1">
        <v>26060.711610486898</v>
      </c>
      <c r="N144" s="1">
        <v>5638.19850187266</v>
      </c>
      <c r="O144" s="1">
        <v>9047.7003745318307</v>
      </c>
      <c r="P144" s="1">
        <v>3738</v>
      </c>
      <c r="Q144" s="1">
        <v>4193.67790262172</v>
      </c>
      <c r="R144" s="1">
        <v>-455.67790262172298</v>
      </c>
    </row>
    <row r="145" spans="1:18" x14ac:dyDescent="0.25">
      <c r="A145" s="1" t="s">
        <v>160</v>
      </c>
      <c r="B145" s="1">
        <v>10744.203</v>
      </c>
      <c r="C145" s="1">
        <v>7006.7470000000003</v>
      </c>
      <c r="D145" s="1">
        <v>1542.7850000000001</v>
      </c>
      <c r="E145" s="1">
        <v>2390.46</v>
      </c>
      <c r="F145" s="1">
        <v>1012.295</v>
      </c>
      <c r="G145" s="1">
        <v>1134.0239999999999</v>
      </c>
      <c r="H145" s="1">
        <v>-121.729</v>
      </c>
      <c r="I145" s="1">
        <v>54.681618590559502</v>
      </c>
      <c r="J145" s="1">
        <v>118174</v>
      </c>
      <c r="K145" s="1">
        <v>267820</v>
      </c>
      <c r="L145" s="1">
        <v>40117.2541259055</v>
      </c>
      <c r="M145" s="1">
        <v>26162.149951459902</v>
      </c>
      <c r="N145" s="1">
        <v>5760.5294600851303</v>
      </c>
      <c r="O145" s="1">
        <v>8925.6216862071506</v>
      </c>
      <c r="P145" s="1">
        <v>3779.7587932193301</v>
      </c>
      <c r="Q145" s="1">
        <v>4234.2767530430901</v>
      </c>
      <c r="R145" s="1">
        <v>-454.517959823762</v>
      </c>
    </row>
    <row r="146" spans="1:18" x14ac:dyDescent="0.25">
      <c r="A146" s="1" t="s">
        <v>161</v>
      </c>
      <c r="B146" s="1">
        <v>10824.674000000001</v>
      </c>
      <c r="C146" s="1">
        <v>7071.3689999999997</v>
      </c>
      <c r="D146" s="1">
        <v>1567.56</v>
      </c>
      <c r="E146" s="1">
        <v>2406.2280000000001</v>
      </c>
      <c r="F146" s="1">
        <v>1024.482</v>
      </c>
      <c r="G146" s="1">
        <v>1170.8879999999999</v>
      </c>
      <c r="H146" s="1">
        <v>-146.40600000000001</v>
      </c>
      <c r="I146" s="1">
        <v>55.998647550233201</v>
      </c>
      <c r="J146" s="1">
        <v>118680.66666666701</v>
      </c>
      <c r="K146" s="1">
        <v>268487</v>
      </c>
      <c r="L146" s="1">
        <v>40317.311452695998</v>
      </c>
      <c r="M146" s="1">
        <v>26337.845035327598</v>
      </c>
      <c r="N146" s="1">
        <v>5838.4949736858798</v>
      </c>
      <c r="O146" s="1">
        <v>8962.1769396656091</v>
      </c>
      <c r="P146" s="1">
        <v>3815.76016715893</v>
      </c>
      <c r="Q146" s="1">
        <v>4361.0603120448995</v>
      </c>
      <c r="R146" s="1">
        <v>-545.30014488597203</v>
      </c>
    </row>
    <row r="147" spans="1:18" x14ac:dyDescent="0.25">
      <c r="A147" s="1" t="s">
        <v>162</v>
      </c>
      <c r="B147" s="1">
        <v>11005.217000000001</v>
      </c>
      <c r="C147" s="1">
        <v>7147.4409999999998</v>
      </c>
      <c r="D147" s="1">
        <v>1642.8820000000001</v>
      </c>
      <c r="E147" s="1">
        <v>2436.1979999999999</v>
      </c>
      <c r="F147" s="1">
        <v>1041.134</v>
      </c>
      <c r="G147" s="1">
        <v>1197.0920000000001</v>
      </c>
      <c r="H147" s="1">
        <v>-155.958</v>
      </c>
      <c r="I147" s="1">
        <v>57.732142424182001</v>
      </c>
      <c r="J147" s="1">
        <v>119471.66666666701</v>
      </c>
      <c r="K147" s="1">
        <v>269251</v>
      </c>
      <c r="L147" s="1">
        <v>40873.448937979803</v>
      </c>
      <c r="M147" s="1">
        <v>26545.643284518901</v>
      </c>
      <c r="N147" s="1">
        <v>6101.6746455909197</v>
      </c>
      <c r="O147" s="1">
        <v>9048.0555318271799</v>
      </c>
      <c r="P147" s="1">
        <v>3866.7785820665499</v>
      </c>
      <c r="Q147" s="1">
        <v>4446.0076285696296</v>
      </c>
      <c r="R147" s="1">
        <v>-579.22904650307703</v>
      </c>
    </row>
    <row r="148" spans="1:18" x14ac:dyDescent="0.25">
      <c r="A148" s="1" t="s">
        <v>163</v>
      </c>
      <c r="B148" s="1">
        <v>11103.934999999999</v>
      </c>
      <c r="C148" s="1">
        <v>7190.7129999999997</v>
      </c>
      <c r="D148" s="1">
        <v>1717.51</v>
      </c>
      <c r="E148" s="1">
        <v>2436.1819999999998</v>
      </c>
      <c r="F148" s="1">
        <v>1049.548</v>
      </c>
      <c r="G148" s="1">
        <v>1235.904</v>
      </c>
      <c r="H148" s="1">
        <v>-186.35599999999999</v>
      </c>
      <c r="I148" s="1">
        <v>58.9744210915499</v>
      </c>
      <c r="J148" s="1">
        <v>120206</v>
      </c>
      <c r="K148" s="1">
        <v>270128</v>
      </c>
      <c r="L148" s="1">
        <v>41106.197802523202</v>
      </c>
      <c r="M148" s="1">
        <v>26619.650684120101</v>
      </c>
      <c r="N148" s="1">
        <v>6358.1339216963797</v>
      </c>
      <c r="O148" s="1">
        <v>9018.6208019901696</v>
      </c>
      <c r="P148" s="1">
        <v>3885.3728602736501</v>
      </c>
      <c r="Q148" s="1">
        <v>4575.2532132914803</v>
      </c>
      <c r="R148" s="1">
        <v>-689.88035301782895</v>
      </c>
    </row>
    <row r="149" spans="1:18" x14ac:dyDescent="0.25">
      <c r="A149" s="1" t="s">
        <v>164</v>
      </c>
      <c r="B149" s="1">
        <v>11219.237999999999</v>
      </c>
      <c r="C149" s="1">
        <v>7247.9870000000001</v>
      </c>
      <c r="D149" s="1">
        <v>1715.2449999999999</v>
      </c>
      <c r="E149" s="1">
        <v>2452.9940000000001</v>
      </c>
      <c r="F149" s="1">
        <v>1114.9749999999999</v>
      </c>
      <c r="G149" s="1">
        <v>1260.278</v>
      </c>
      <c r="H149" s="1">
        <v>-145.303</v>
      </c>
      <c r="I149" s="1">
        <v>59.931936740609899</v>
      </c>
      <c r="J149" s="1">
        <v>120919</v>
      </c>
      <c r="K149" s="1">
        <v>270991</v>
      </c>
      <c r="L149" s="1">
        <v>41400.7771475806</v>
      </c>
      <c r="M149" s="1">
        <v>26746.2277345004</v>
      </c>
      <c r="N149" s="1">
        <v>6329.5275488853904</v>
      </c>
      <c r="O149" s="1">
        <v>9051.9389942839407</v>
      </c>
      <c r="P149" s="1">
        <v>4114.4355347594601</v>
      </c>
      <c r="Q149" s="1">
        <v>4650.6267735828897</v>
      </c>
      <c r="R149" s="1">
        <v>-536.19123882343001</v>
      </c>
    </row>
    <row r="150" spans="1:18" x14ac:dyDescent="0.25">
      <c r="A150" s="1" t="s">
        <v>165</v>
      </c>
      <c r="B150" s="1">
        <v>11291.665000000001</v>
      </c>
      <c r="C150" s="1">
        <v>7324.3879999999999</v>
      </c>
      <c r="D150" s="1">
        <v>1749.8789999999999</v>
      </c>
      <c r="E150" s="1">
        <v>2440.2449999999999</v>
      </c>
      <c r="F150" s="1">
        <v>1136.155</v>
      </c>
      <c r="G150" s="1">
        <v>1314.106</v>
      </c>
      <c r="H150" s="1">
        <v>-177.95099999999999</v>
      </c>
      <c r="I150" s="1">
        <v>61.053191125197003</v>
      </c>
      <c r="J150" s="1">
        <v>121675.66666666701</v>
      </c>
      <c r="K150" s="1">
        <v>271709</v>
      </c>
      <c r="L150" s="1">
        <v>41557.935143848801</v>
      </c>
      <c r="M150" s="1">
        <v>26956.736802976699</v>
      </c>
      <c r="N150" s="1">
        <v>6440.2688170064303</v>
      </c>
      <c r="O150" s="1">
        <v>8981.0974240823798</v>
      </c>
      <c r="P150" s="1">
        <v>4181.5140462774498</v>
      </c>
      <c r="Q150" s="1">
        <v>4836.4463451707497</v>
      </c>
      <c r="R150" s="1">
        <v>-654.93229889330098</v>
      </c>
    </row>
    <row r="151" spans="1:18" x14ac:dyDescent="0.25">
      <c r="A151" s="1" t="s">
        <v>166</v>
      </c>
      <c r="B151" s="1">
        <v>11479.33</v>
      </c>
      <c r="C151" s="1">
        <v>7357.3620000000001</v>
      </c>
      <c r="D151" s="1">
        <v>1856.9559999999999</v>
      </c>
      <c r="E151" s="1">
        <v>2471.8670000000002</v>
      </c>
      <c r="F151" s="1">
        <v>1181.5740000000001</v>
      </c>
      <c r="G151" s="1">
        <v>1358.212</v>
      </c>
      <c r="H151" s="1">
        <v>-176.63800000000001</v>
      </c>
      <c r="I151" s="1">
        <v>62.081897528833998</v>
      </c>
      <c r="J151" s="1">
        <v>122550.33333333299</v>
      </c>
      <c r="K151" s="1">
        <v>272487</v>
      </c>
      <c r="L151" s="1">
        <v>42127.991427114001</v>
      </c>
      <c r="M151" s="1">
        <v>27000.781688667699</v>
      </c>
      <c r="N151" s="1">
        <v>6814.8425429469999</v>
      </c>
      <c r="O151" s="1">
        <v>9071.5043286468699</v>
      </c>
      <c r="P151" s="1">
        <v>4336.2582435125296</v>
      </c>
      <c r="Q151" s="1">
        <v>4984.50201294007</v>
      </c>
      <c r="R151" s="1">
        <v>-648.24376942753202</v>
      </c>
    </row>
    <row r="152" spans="1:18" x14ac:dyDescent="0.25">
      <c r="A152" s="1" t="s">
        <v>167</v>
      </c>
      <c r="B152" s="1">
        <v>11622.911</v>
      </c>
      <c r="C152" s="1">
        <v>7482.7129999999997</v>
      </c>
      <c r="D152" s="1">
        <v>1882.9549999999999</v>
      </c>
      <c r="E152" s="1">
        <v>2483.31</v>
      </c>
      <c r="F152" s="1">
        <v>1208.942</v>
      </c>
      <c r="G152" s="1">
        <v>1408.2639999999999</v>
      </c>
      <c r="H152" s="1">
        <v>-199.322</v>
      </c>
      <c r="I152" s="1">
        <v>64.114393572006094</v>
      </c>
      <c r="J152" s="1">
        <v>123260.33333333299</v>
      </c>
      <c r="K152" s="1">
        <v>273391</v>
      </c>
      <c r="L152" s="1">
        <v>42513.875731095803</v>
      </c>
      <c r="M152" s="1">
        <v>27370.0048648273</v>
      </c>
      <c r="N152" s="1">
        <v>6887.4066812733399</v>
      </c>
      <c r="O152" s="1">
        <v>9083.3641195211294</v>
      </c>
      <c r="P152" s="1">
        <v>4422.0255970386697</v>
      </c>
      <c r="Q152" s="1">
        <v>5151.0986096835704</v>
      </c>
      <c r="R152" s="1">
        <v>-729.07301264489297</v>
      </c>
    </row>
    <row r="153" spans="1:18" x14ac:dyDescent="0.25">
      <c r="A153" s="1" t="s">
        <v>168</v>
      </c>
      <c r="B153" s="1">
        <v>11722.722</v>
      </c>
      <c r="C153" s="1">
        <v>7572.1469999999999</v>
      </c>
      <c r="D153" s="1">
        <v>1911.048</v>
      </c>
      <c r="E153" s="1">
        <v>2495.7719999999999</v>
      </c>
      <c r="F153" s="1">
        <v>1207.259</v>
      </c>
      <c r="G153" s="1">
        <v>1438.655</v>
      </c>
      <c r="H153" s="1">
        <v>-231.39599999999999</v>
      </c>
      <c r="I153" s="1">
        <v>64.3137276848216</v>
      </c>
      <c r="J153" s="1">
        <v>124234.66666666701</v>
      </c>
      <c r="K153" s="1">
        <v>274246</v>
      </c>
      <c r="L153" s="1">
        <v>42745.2797853023</v>
      </c>
      <c r="M153" s="1">
        <v>27610.783748897</v>
      </c>
      <c r="N153" s="1">
        <v>6968.3714621179497</v>
      </c>
      <c r="O153" s="1">
        <v>9100.4864245969002</v>
      </c>
      <c r="P153" s="1">
        <v>4402.1024919233096</v>
      </c>
      <c r="Q153" s="1">
        <v>5245.8559103870302</v>
      </c>
      <c r="R153" s="1">
        <v>-843.75341846371498</v>
      </c>
    </row>
    <row r="154" spans="1:18" x14ac:dyDescent="0.25">
      <c r="A154" s="1" t="s">
        <v>169</v>
      </c>
      <c r="B154" s="1">
        <v>11839.876</v>
      </c>
      <c r="C154" s="1">
        <v>7648.741</v>
      </c>
      <c r="D154" s="1">
        <v>1994.375</v>
      </c>
      <c r="E154" s="1">
        <v>2486.8409999999999</v>
      </c>
      <c r="F154" s="1">
        <v>1212.914</v>
      </c>
      <c r="G154" s="1">
        <v>1492.6130000000001</v>
      </c>
      <c r="H154" s="1">
        <v>-279.69900000000001</v>
      </c>
      <c r="I154" s="1">
        <v>65.890602898701104</v>
      </c>
      <c r="J154" s="1">
        <v>124998.66666666701</v>
      </c>
      <c r="K154" s="1">
        <v>274950</v>
      </c>
      <c r="L154" s="1">
        <v>43061.923986179303</v>
      </c>
      <c r="M154" s="1">
        <v>27818.6615748318</v>
      </c>
      <c r="N154" s="1">
        <v>7253.5915621022004</v>
      </c>
      <c r="O154" s="1">
        <v>9044.7026732133108</v>
      </c>
      <c r="P154" s="1">
        <v>4411.3984360792901</v>
      </c>
      <c r="Q154" s="1">
        <v>5428.6706673940698</v>
      </c>
      <c r="R154" s="1">
        <v>-1017.27223131478</v>
      </c>
    </row>
    <row r="155" spans="1:18" x14ac:dyDescent="0.25">
      <c r="A155" s="1" t="s">
        <v>170</v>
      </c>
      <c r="B155" s="1">
        <v>11949.492</v>
      </c>
      <c r="C155" s="1">
        <v>7783.43</v>
      </c>
      <c r="D155" s="1">
        <v>1982.058</v>
      </c>
      <c r="E155" s="1">
        <v>2530.3649999999998</v>
      </c>
      <c r="F155" s="1">
        <v>1199.5250000000001</v>
      </c>
      <c r="G155" s="1">
        <v>1526.8219999999999</v>
      </c>
      <c r="H155" s="1">
        <v>-327.29700000000003</v>
      </c>
      <c r="I155" s="1">
        <v>68.314648092046397</v>
      </c>
      <c r="J155" s="1">
        <v>125790.66666666701</v>
      </c>
      <c r="K155" s="1">
        <v>275703</v>
      </c>
      <c r="L155" s="1">
        <v>43341.900523389297</v>
      </c>
      <c r="M155" s="1">
        <v>28231.212572949898</v>
      </c>
      <c r="N155" s="1">
        <v>7189.1056680558404</v>
      </c>
      <c r="O155" s="1">
        <v>9177.8653115852903</v>
      </c>
      <c r="P155" s="1">
        <v>4350.7868974947696</v>
      </c>
      <c r="Q155" s="1">
        <v>5537.9230548815203</v>
      </c>
      <c r="R155" s="1">
        <v>-1187.13615738675</v>
      </c>
    </row>
    <row r="156" spans="1:18" x14ac:dyDescent="0.25">
      <c r="A156" s="1" t="s">
        <v>171</v>
      </c>
      <c r="B156" s="1">
        <v>12099.191000000001</v>
      </c>
      <c r="C156" s="1">
        <v>7884.9290000000001</v>
      </c>
      <c r="D156" s="1">
        <v>2033.0150000000001</v>
      </c>
      <c r="E156" s="1">
        <v>2549.4259999999999</v>
      </c>
      <c r="F156" s="1">
        <v>1193.9449999999999</v>
      </c>
      <c r="G156" s="1">
        <v>1547.423</v>
      </c>
      <c r="H156" s="1">
        <v>-353.47800000000001</v>
      </c>
      <c r="I156" s="1">
        <v>69.955594985045295</v>
      </c>
      <c r="J156" s="1">
        <v>126500</v>
      </c>
      <c r="K156" s="1">
        <v>276564</v>
      </c>
      <c r="L156" s="1">
        <v>43748.2499529946</v>
      </c>
      <c r="M156" s="1">
        <v>28510.323107852098</v>
      </c>
      <c r="N156" s="1">
        <v>7350.9748195716002</v>
      </c>
      <c r="O156" s="1">
        <v>9218.2135057346604</v>
      </c>
      <c r="P156" s="1">
        <v>4317.0658509422801</v>
      </c>
      <c r="Q156" s="1">
        <v>5595.1714612169299</v>
      </c>
      <c r="R156" s="1">
        <v>-1278.10561027466</v>
      </c>
    </row>
    <row r="157" spans="1:18" x14ac:dyDescent="0.25">
      <c r="A157" s="1" t="s">
        <v>172</v>
      </c>
      <c r="B157" s="1">
        <v>12294.736999999999</v>
      </c>
      <c r="C157" s="1">
        <v>7998.8419999999996</v>
      </c>
      <c r="D157" s="1">
        <v>2095.7600000000002</v>
      </c>
      <c r="E157" s="1">
        <v>2564.473</v>
      </c>
      <c r="F157" s="1">
        <v>1238.1189999999999</v>
      </c>
      <c r="G157" s="1">
        <v>1597.5070000000001</v>
      </c>
      <c r="H157" s="1">
        <v>-359.38799999999998</v>
      </c>
      <c r="I157" s="1">
        <v>71.714006623095997</v>
      </c>
      <c r="J157" s="1">
        <v>127257.66666666701</v>
      </c>
      <c r="K157" s="1">
        <v>277400</v>
      </c>
      <c r="L157" s="1">
        <v>44321.330209084401</v>
      </c>
      <c r="M157" s="1">
        <v>28835.0468637347</v>
      </c>
      <c r="N157" s="1">
        <v>7555.010814708</v>
      </c>
      <c r="O157" s="1">
        <v>9244.6755587599091</v>
      </c>
      <c r="P157" s="1">
        <v>4463.2984859408798</v>
      </c>
      <c r="Q157" s="1">
        <v>5758.8572458543604</v>
      </c>
      <c r="R157" s="1">
        <v>-1295.5587599134799</v>
      </c>
    </row>
    <row r="158" spans="1:18" x14ac:dyDescent="0.25">
      <c r="A158" s="1" t="s">
        <v>173</v>
      </c>
      <c r="B158" s="1">
        <v>12410.778</v>
      </c>
      <c r="C158" s="1">
        <v>8080.9960000000001</v>
      </c>
      <c r="D158" s="1">
        <v>2153.308</v>
      </c>
      <c r="E158" s="1">
        <v>2582.8870000000002</v>
      </c>
      <c r="F158" s="1">
        <v>1234.528</v>
      </c>
      <c r="G158" s="1">
        <v>1642.6469999999999</v>
      </c>
      <c r="H158" s="1">
        <v>-408.11900000000003</v>
      </c>
      <c r="I158" s="1">
        <v>72.924249450904298</v>
      </c>
      <c r="J158" s="1">
        <v>128018.66666666701</v>
      </c>
      <c r="K158" s="1">
        <v>278103</v>
      </c>
      <c r="L158" s="1">
        <v>44626.552032879903</v>
      </c>
      <c r="M158" s="1">
        <v>29057.5650028946</v>
      </c>
      <c r="N158" s="1">
        <v>7742.8434788549603</v>
      </c>
      <c r="O158" s="1">
        <v>9287.5193723188895</v>
      </c>
      <c r="P158" s="1">
        <v>4439.1034976249803</v>
      </c>
      <c r="Q158" s="1">
        <v>5906.6137366371504</v>
      </c>
      <c r="R158" s="1">
        <v>-1467.5102390121599</v>
      </c>
    </row>
    <row r="159" spans="1:18" x14ac:dyDescent="0.25">
      <c r="A159" s="1" t="s">
        <v>174</v>
      </c>
      <c r="B159" s="1">
        <v>12514.407999999999</v>
      </c>
      <c r="C159" s="1">
        <v>8204.75</v>
      </c>
      <c r="D159" s="1">
        <v>2154.652</v>
      </c>
      <c r="E159" s="1">
        <v>2592.2179999999998</v>
      </c>
      <c r="F159" s="1">
        <v>1249.6110000000001</v>
      </c>
      <c r="G159" s="1">
        <v>1689.8230000000001</v>
      </c>
      <c r="H159" s="1">
        <v>-440.21199999999999</v>
      </c>
      <c r="I159" s="1">
        <v>74.593672645733903</v>
      </c>
      <c r="J159" s="1">
        <v>128832</v>
      </c>
      <c r="K159" s="1">
        <v>278864</v>
      </c>
      <c r="L159" s="1">
        <v>44876.384187274103</v>
      </c>
      <c r="M159" s="1">
        <v>29422.048023409301</v>
      </c>
      <c r="N159" s="1">
        <v>7726.5333639336704</v>
      </c>
      <c r="O159" s="1">
        <v>9295.6351483160306</v>
      </c>
      <c r="P159" s="1">
        <v>4481.0767972918702</v>
      </c>
      <c r="Q159" s="1">
        <v>6059.6670778587404</v>
      </c>
      <c r="R159" s="1">
        <v>-1578.59028056687</v>
      </c>
    </row>
    <row r="160" spans="1:18" x14ac:dyDescent="0.25">
      <c r="A160" s="1" t="s">
        <v>175</v>
      </c>
      <c r="B160" s="1">
        <v>12679.977000000001</v>
      </c>
      <c r="C160" s="1">
        <v>8296.9879999999994</v>
      </c>
      <c r="D160" s="1">
        <v>2213.7730000000001</v>
      </c>
      <c r="E160" s="1">
        <v>2623.4229999999998</v>
      </c>
      <c r="F160" s="1">
        <v>1287.1600000000001</v>
      </c>
      <c r="G160" s="1">
        <v>1750.9110000000001</v>
      </c>
      <c r="H160" s="1">
        <v>-463.75099999999998</v>
      </c>
      <c r="I160" s="1">
        <v>76.2452981519193</v>
      </c>
      <c r="J160" s="1">
        <v>129590.66666666701</v>
      </c>
      <c r="K160" s="1">
        <v>279751</v>
      </c>
      <c r="L160" s="1">
        <v>45325.939853655596</v>
      </c>
      <c r="M160" s="1">
        <v>29658.474857998699</v>
      </c>
      <c r="N160" s="1">
        <v>7913.3693892068304</v>
      </c>
      <c r="O160" s="1">
        <v>9377.7073182937693</v>
      </c>
      <c r="P160" s="1">
        <v>4601.09168510568</v>
      </c>
      <c r="Q160" s="1">
        <v>6258.8194501538901</v>
      </c>
      <c r="R160" s="1">
        <v>-1657.7277650481999</v>
      </c>
    </row>
    <row r="161" spans="1:18" x14ac:dyDescent="0.25">
      <c r="A161" s="1" t="s">
        <v>176</v>
      </c>
      <c r="B161" s="1">
        <v>12888.281000000001</v>
      </c>
      <c r="C161" s="1">
        <v>8418.3490000000002</v>
      </c>
      <c r="D161" s="1">
        <v>2273.0949999999998</v>
      </c>
      <c r="E161" s="1">
        <v>2664.2359999999999</v>
      </c>
      <c r="F161" s="1">
        <v>1314.6369999999999</v>
      </c>
      <c r="G161" s="1">
        <v>1795.6969999999999</v>
      </c>
      <c r="H161" s="1">
        <v>-481.06</v>
      </c>
      <c r="I161" s="1">
        <v>76.971443848604196</v>
      </c>
      <c r="J161" s="1">
        <v>130475</v>
      </c>
      <c r="K161" s="1">
        <v>280592</v>
      </c>
      <c r="L161" s="1">
        <v>45932.460654615999</v>
      </c>
      <c r="M161" s="1">
        <v>30002.099133261101</v>
      </c>
      <c r="N161" s="1">
        <v>8101.0684552660096</v>
      </c>
      <c r="O161" s="1">
        <v>9495.0533158465005</v>
      </c>
      <c r="P161" s="1">
        <v>4685.2262359582601</v>
      </c>
      <c r="Q161" s="1">
        <v>6399.6728345783204</v>
      </c>
      <c r="R161" s="1">
        <v>-1714.4465986200601</v>
      </c>
    </row>
    <row r="162" spans="1:18" x14ac:dyDescent="0.25">
      <c r="A162" s="1" t="s">
        <v>177</v>
      </c>
      <c r="B162" s="1">
        <v>12935.252</v>
      </c>
      <c r="C162" s="1">
        <v>8545.6389999999992</v>
      </c>
      <c r="D162" s="1">
        <v>2257.1089999999999</v>
      </c>
      <c r="E162" s="1">
        <v>2645.3229999999999</v>
      </c>
      <c r="F162" s="1">
        <v>1333.6659999999999</v>
      </c>
      <c r="G162" s="1">
        <v>1863.4880000000001</v>
      </c>
      <c r="H162" s="1">
        <v>-529.822</v>
      </c>
      <c r="I162" s="1">
        <v>78.9256300617416</v>
      </c>
      <c r="J162" s="1">
        <v>131244.66666666701</v>
      </c>
      <c r="K162" s="1">
        <v>281304</v>
      </c>
      <c r="L162" s="1">
        <v>45983.178340869701</v>
      </c>
      <c r="M162" s="1">
        <v>30378.661519210498</v>
      </c>
      <c r="N162" s="1">
        <v>8023.7358871541101</v>
      </c>
      <c r="O162" s="1">
        <v>9403.7873617154401</v>
      </c>
      <c r="P162" s="1">
        <v>4741.0132810056002</v>
      </c>
      <c r="Q162" s="1">
        <v>6624.4632141739903</v>
      </c>
      <c r="R162" s="1">
        <v>-1883.4499331683901</v>
      </c>
    </row>
    <row r="163" spans="1:18" x14ac:dyDescent="0.25">
      <c r="A163" s="1" t="s">
        <v>178</v>
      </c>
      <c r="B163" s="1">
        <v>13170.749</v>
      </c>
      <c r="C163" s="1">
        <v>8625.4349999999995</v>
      </c>
      <c r="D163" s="1">
        <v>2390.7330000000002</v>
      </c>
      <c r="E163" s="1">
        <v>2671.3980000000001</v>
      </c>
      <c r="F163" s="1">
        <v>1374.2919999999999</v>
      </c>
      <c r="G163" s="1">
        <v>1922.854</v>
      </c>
      <c r="H163" s="1">
        <v>-548.56200000000001</v>
      </c>
      <c r="I163" s="1">
        <v>80.402838219213507</v>
      </c>
      <c r="J163" s="1">
        <v>132016.66666666701</v>
      </c>
      <c r="K163" s="1">
        <v>282002</v>
      </c>
      <c r="L163" s="1">
        <v>46704.452450691802</v>
      </c>
      <c r="M163" s="1">
        <v>30586.432011120502</v>
      </c>
      <c r="N163" s="1">
        <v>8477.7164700959602</v>
      </c>
      <c r="O163" s="1">
        <v>9472.9753689690206</v>
      </c>
      <c r="P163" s="1">
        <v>4873.3413238204002</v>
      </c>
      <c r="Q163" s="1">
        <v>6818.5828469301596</v>
      </c>
      <c r="R163" s="1">
        <v>-1945.24152310977</v>
      </c>
    </row>
    <row r="164" spans="1:18" x14ac:dyDescent="0.25">
      <c r="A164" s="1" t="s">
        <v>179</v>
      </c>
      <c r="B164" s="1">
        <v>13183.89</v>
      </c>
      <c r="C164" s="1">
        <v>8708.0740000000005</v>
      </c>
      <c r="D164" s="1">
        <v>2367.2739999999999</v>
      </c>
      <c r="E164" s="1">
        <v>2660.1390000000001</v>
      </c>
      <c r="F164" s="1">
        <v>1407.33</v>
      </c>
      <c r="G164" s="1">
        <v>1992.04</v>
      </c>
      <c r="H164" s="1">
        <v>-584.71</v>
      </c>
      <c r="I164" s="1">
        <v>80.737434765725197</v>
      </c>
      <c r="J164" s="1">
        <v>132271</v>
      </c>
      <c r="K164" s="1">
        <v>282769</v>
      </c>
      <c r="L164" s="1">
        <v>46624.240988227102</v>
      </c>
      <c r="M164" s="1">
        <v>30795.7166450353</v>
      </c>
      <c r="N164" s="1">
        <v>8371.7592805434797</v>
      </c>
      <c r="O164" s="1">
        <v>9407.4633357970597</v>
      </c>
      <c r="P164" s="1">
        <v>4976.9599920783403</v>
      </c>
      <c r="Q164" s="1">
        <v>7044.7609179224</v>
      </c>
      <c r="R164" s="1">
        <v>-2067.8009258440602</v>
      </c>
    </row>
    <row r="165" spans="1:18" x14ac:dyDescent="0.25">
      <c r="A165" s="1" t="s">
        <v>180</v>
      </c>
      <c r="B165" s="1">
        <v>13262.25</v>
      </c>
      <c r="C165" s="1">
        <v>8784.1550000000007</v>
      </c>
      <c r="D165" s="1">
        <v>2371.8090000000002</v>
      </c>
      <c r="E165" s="1">
        <v>2676.4459999999999</v>
      </c>
      <c r="F165" s="1">
        <v>1393.3489999999999</v>
      </c>
      <c r="G165" s="1">
        <v>1994.953</v>
      </c>
      <c r="H165" s="1">
        <v>-601.60400000000004</v>
      </c>
      <c r="I165" s="1">
        <v>80.975923793557996</v>
      </c>
      <c r="J165" s="1">
        <v>132541</v>
      </c>
      <c r="K165" s="1">
        <v>283518</v>
      </c>
      <c r="L165" s="1">
        <v>46777.453283389397</v>
      </c>
      <c r="M165" s="1">
        <v>30982.706565368</v>
      </c>
      <c r="N165" s="1">
        <v>8365.6381605400693</v>
      </c>
      <c r="O165" s="1">
        <v>9440.1272582340407</v>
      </c>
      <c r="P165" s="1">
        <v>4914.4992557791802</v>
      </c>
      <c r="Q165" s="1">
        <v>7036.42449509379</v>
      </c>
      <c r="R165" s="1">
        <v>-2121.9252393146098</v>
      </c>
    </row>
    <row r="166" spans="1:18" x14ac:dyDescent="0.25">
      <c r="A166" s="1" t="s">
        <v>181</v>
      </c>
      <c r="B166" s="1">
        <v>13219.251</v>
      </c>
      <c r="C166" s="1">
        <v>8816.0139999999992</v>
      </c>
      <c r="D166" s="1">
        <v>2264.2020000000002</v>
      </c>
      <c r="E166" s="1">
        <v>2718.2910000000002</v>
      </c>
      <c r="F166" s="1">
        <v>1375.8</v>
      </c>
      <c r="G166" s="1">
        <v>1969.2180000000001</v>
      </c>
      <c r="H166" s="1">
        <v>-593.41800000000001</v>
      </c>
      <c r="I166" s="1">
        <v>80.737434765725197</v>
      </c>
      <c r="J166" s="1">
        <v>132745.33333333299</v>
      </c>
      <c r="K166" s="1">
        <v>284169</v>
      </c>
      <c r="L166" s="1">
        <v>46518.976383771602</v>
      </c>
      <c r="M166" s="1">
        <v>31023.841446463201</v>
      </c>
      <c r="N166" s="1">
        <v>7967.8008509021001</v>
      </c>
      <c r="O166" s="1">
        <v>9565.7548852971304</v>
      </c>
      <c r="P166" s="1">
        <v>4841.4851725557701</v>
      </c>
      <c r="Q166" s="1">
        <v>6929.7425123782004</v>
      </c>
      <c r="R166" s="1">
        <v>-2088.2573398224299</v>
      </c>
    </row>
    <row r="167" spans="1:18" x14ac:dyDescent="0.25">
      <c r="A167" s="1" t="s">
        <v>182</v>
      </c>
      <c r="B167" s="1">
        <v>13301.394</v>
      </c>
      <c r="C167" s="1">
        <v>8833.7260000000006</v>
      </c>
      <c r="D167" s="1">
        <v>2267.433</v>
      </c>
      <c r="E167" s="1">
        <v>2765.415</v>
      </c>
      <c r="F167" s="1">
        <v>1335.433</v>
      </c>
      <c r="G167" s="1">
        <v>1906.1890000000001</v>
      </c>
      <c r="H167" s="1">
        <v>-570.75599999999997</v>
      </c>
      <c r="I167" s="1">
        <v>80.360123766467296</v>
      </c>
      <c r="J167" s="1">
        <v>132388</v>
      </c>
      <c r="K167" s="1">
        <v>284838</v>
      </c>
      <c r="L167" s="1">
        <v>46698.102079076503</v>
      </c>
      <c r="M167" s="1">
        <v>31013.158356679902</v>
      </c>
      <c r="N167" s="1">
        <v>7960.4301392370398</v>
      </c>
      <c r="O167" s="1">
        <v>9708.7291723716608</v>
      </c>
      <c r="P167" s="1">
        <v>4688.3948068726804</v>
      </c>
      <c r="Q167" s="1">
        <v>6692.1864357985896</v>
      </c>
      <c r="R167" s="1">
        <v>-2003.7916289259199</v>
      </c>
    </row>
    <row r="168" spans="1:18" x14ac:dyDescent="0.25">
      <c r="A168" s="1" t="s">
        <v>183</v>
      </c>
      <c r="B168" s="1">
        <v>13248.142</v>
      </c>
      <c r="C168" s="1">
        <v>8864.4650000000001</v>
      </c>
      <c r="D168" s="1">
        <v>2218.37</v>
      </c>
      <c r="E168" s="1">
        <v>2762.681</v>
      </c>
      <c r="F168" s="1">
        <v>1266.999</v>
      </c>
      <c r="G168" s="1">
        <v>1862.95</v>
      </c>
      <c r="H168" s="1">
        <v>-595.95100000000002</v>
      </c>
      <c r="I168" s="1">
        <v>78.975463589945505</v>
      </c>
      <c r="J168" s="1">
        <v>131986.66666666701</v>
      </c>
      <c r="K168" s="1">
        <v>285584</v>
      </c>
      <c r="L168" s="1">
        <v>46389.650680710402</v>
      </c>
      <c r="M168" s="1">
        <v>31039.781640427998</v>
      </c>
      <c r="N168" s="1">
        <v>7767.83713373298</v>
      </c>
      <c r="O168" s="1">
        <v>9673.7947504061904</v>
      </c>
      <c r="P168" s="1">
        <v>4436.5195529161301</v>
      </c>
      <c r="Q168" s="1">
        <v>6523.2996246288303</v>
      </c>
      <c r="R168" s="1">
        <v>-2086.7800717127002</v>
      </c>
    </row>
    <row r="169" spans="1:18" x14ac:dyDescent="0.25">
      <c r="A169" s="1" t="s">
        <v>184</v>
      </c>
      <c r="B169" s="1">
        <v>13284.880999999999</v>
      </c>
      <c r="C169" s="1">
        <v>9007.4940000000006</v>
      </c>
      <c r="D169" s="1">
        <v>2108.5</v>
      </c>
      <c r="E169" s="1">
        <v>2808.498</v>
      </c>
      <c r="F169" s="1">
        <v>1222.9069999999999</v>
      </c>
      <c r="G169" s="1">
        <v>1843.6559999999999</v>
      </c>
      <c r="H169" s="1">
        <v>-620.74900000000002</v>
      </c>
      <c r="I169" s="1">
        <v>77.904042733562306</v>
      </c>
      <c r="J169" s="1">
        <v>131193</v>
      </c>
      <c r="K169" s="1">
        <v>286311</v>
      </c>
      <c r="L169" s="1">
        <v>46400.176730897503</v>
      </c>
      <c r="M169" s="1">
        <v>31460.523696260399</v>
      </c>
      <c r="N169" s="1">
        <v>7364.3695142694496</v>
      </c>
      <c r="O169" s="1">
        <v>9809.2563680752792</v>
      </c>
      <c r="P169" s="1">
        <v>4271.2539860501402</v>
      </c>
      <c r="Q169" s="1">
        <v>6439.3474229072599</v>
      </c>
      <c r="R169" s="1">
        <v>-2168.0934368571202</v>
      </c>
    </row>
    <row r="170" spans="1:18" x14ac:dyDescent="0.25">
      <c r="A170" s="1" t="s">
        <v>185</v>
      </c>
      <c r="B170" s="1">
        <v>13394.91</v>
      </c>
      <c r="C170" s="1">
        <v>9027.5480000000007</v>
      </c>
      <c r="D170" s="1">
        <v>2170.7069999999999</v>
      </c>
      <c r="E170" s="1">
        <v>2857.3359999999998</v>
      </c>
      <c r="F170" s="1">
        <v>1249.6199999999999</v>
      </c>
      <c r="G170" s="1">
        <v>1896.04</v>
      </c>
      <c r="H170" s="1">
        <v>-646.41999999999996</v>
      </c>
      <c r="I170" s="1">
        <v>77.290696244265007</v>
      </c>
      <c r="J170" s="1">
        <v>130768.33333333299</v>
      </c>
      <c r="K170" s="1">
        <v>286935</v>
      </c>
      <c r="L170" s="1">
        <v>46682.733023158602</v>
      </c>
      <c r="M170" s="1">
        <v>31461.996619443398</v>
      </c>
      <c r="N170" s="1">
        <v>7565.1523864289802</v>
      </c>
      <c r="O170" s="1">
        <v>9958.12989004478</v>
      </c>
      <c r="P170" s="1">
        <v>4355.0629933608698</v>
      </c>
      <c r="Q170" s="1">
        <v>6607.9077142906899</v>
      </c>
      <c r="R170" s="1">
        <v>-2252.8447209298301</v>
      </c>
    </row>
    <row r="171" spans="1:18" x14ac:dyDescent="0.25">
      <c r="A171" s="1" t="s">
        <v>186</v>
      </c>
      <c r="B171" s="1">
        <v>13477.356</v>
      </c>
      <c r="C171" s="1">
        <v>9073.2119999999995</v>
      </c>
      <c r="D171" s="1">
        <v>2206.375</v>
      </c>
      <c r="E171" s="1">
        <v>2879.2820000000002</v>
      </c>
      <c r="F171" s="1">
        <v>1286.817</v>
      </c>
      <c r="G171" s="1">
        <v>1959.578</v>
      </c>
      <c r="H171" s="1">
        <v>-672.76099999999997</v>
      </c>
      <c r="I171" s="1">
        <v>77.304776557786596</v>
      </c>
      <c r="J171" s="1">
        <v>130644.33333333299</v>
      </c>
      <c r="K171" s="1">
        <v>287574</v>
      </c>
      <c r="L171" s="1">
        <v>46865.697177074398</v>
      </c>
      <c r="M171" s="1">
        <v>31550.877339397899</v>
      </c>
      <c r="N171" s="1">
        <v>7672.3730239868701</v>
      </c>
      <c r="O171" s="1">
        <v>10012.3168297551</v>
      </c>
      <c r="P171" s="1">
        <v>4474.7334599094502</v>
      </c>
      <c r="Q171" s="1">
        <v>6814.1695702671304</v>
      </c>
      <c r="R171" s="1">
        <v>-2339.4361103576798</v>
      </c>
    </row>
    <row r="172" spans="1:18" x14ac:dyDescent="0.25">
      <c r="A172" s="1" t="s">
        <v>187</v>
      </c>
      <c r="B172" s="1">
        <v>13531.741</v>
      </c>
      <c r="C172" s="1">
        <v>9136.7090000000007</v>
      </c>
      <c r="D172" s="1">
        <v>2203.1089999999999</v>
      </c>
      <c r="E172" s="1">
        <v>2894.18</v>
      </c>
      <c r="F172" s="1">
        <v>1290.8679999999999</v>
      </c>
      <c r="G172" s="1">
        <v>1984.492</v>
      </c>
      <c r="H172" s="1">
        <v>-693.62400000000002</v>
      </c>
      <c r="I172" s="1">
        <v>77.455748808324302</v>
      </c>
      <c r="J172" s="1">
        <v>130556</v>
      </c>
      <c r="K172" s="1">
        <v>288303</v>
      </c>
      <c r="L172" s="1">
        <v>46935.8313996039</v>
      </c>
      <c r="M172" s="1">
        <v>31691.342094948701</v>
      </c>
      <c r="N172" s="1">
        <v>7641.6443810851797</v>
      </c>
      <c r="O172" s="1">
        <v>10038.674588887399</v>
      </c>
      <c r="P172" s="1">
        <v>4477.4698841149802</v>
      </c>
      <c r="Q172" s="1">
        <v>6883.3553587718498</v>
      </c>
      <c r="R172" s="1">
        <v>-2405.88547465687</v>
      </c>
    </row>
    <row r="173" spans="1:18" x14ac:dyDescent="0.25">
      <c r="A173" s="1" t="s">
        <v>188</v>
      </c>
      <c r="B173" s="1">
        <v>13549.421</v>
      </c>
      <c r="C173" s="1">
        <v>9187.527</v>
      </c>
      <c r="D173" s="1">
        <v>2201.7489999999998</v>
      </c>
      <c r="E173" s="1">
        <v>2915.62</v>
      </c>
      <c r="F173" s="1">
        <v>1271.796</v>
      </c>
      <c r="G173" s="1">
        <v>2020.124</v>
      </c>
      <c r="H173" s="1">
        <v>-748.32799999999997</v>
      </c>
      <c r="I173" s="1">
        <v>77.414988535649499</v>
      </c>
      <c r="J173" s="1">
        <v>130569.66666666701</v>
      </c>
      <c r="K173" s="1">
        <v>289007</v>
      </c>
      <c r="L173" s="1">
        <v>46882.674122080098</v>
      </c>
      <c r="M173" s="1">
        <v>31789.980865515401</v>
      </c>
      <c r="N173" s="1">
        <v>7618.3241236371396</v>
      </c>
      <c r="O173" s="1">
        <v>10088.4061631725</v>
      </c>
      <c r="P173" s="1">
        <v>4400.5716124522896</v>
      </c>
      <c r="Q173" s="1">
        <v>6989.8791378755504</v>
      </c>
      <c r="R173" s="1">
        <v>-2589.3075254232599</v>
      </c>
    </row>
    <row r="174" spans="1:18" x14ac:dyDescent="0.25">
      <c r="A174" s="1" t="s">
        <v>189</v>
      </c>
      <c r="B174" s="1">
        <v>13619.433999999999</v>
      </c>
      <c r="C174" s="1">
        <v>9232.7819999999992</v>
      </c>
      <c r="D174" s="1">
        <v>2218.6849999999999</v>
      </c>
      <c r="E174" s="1">
        <v>2917.8670000000002</v>
      </c>
      <c r="F174" s="1">
        <v>1267.886</v>
      </c>
      <c r="G174" s="1">
        <v>2011.3309999999999</v>
      </c>
      <c r="H174" s="1">
        <v>-743.44500000000005</v>
      </c>
      <c r="I174" s="1">
        <v>77.982112274715803</v>
      </c>
      <c r="J174" s="1">
        <v>130418.33333333299</v>
      </c>
      <c r="K174" s="1">
        <v>289609</v>
      </c>
      <c r="L174" s="1">
        <v>47026.970846900498</v>
      </c>
      <c r="M174" s="1">
        <v>31880.1625640087</v>
      </c>
      <c r="N174" s="1">
        <v>7660.9670279583897</v>
      </c>
      <c r="O174" s="1">
        <v>10075.1944863592</v>
      </c>
      <c r="P174" s="1">
        <v>4377.9233380178102</v>
      </c>
      <c r="Q174" s="1">
        <v>6944.9878974755602</v>
      </c>
      <c r="R174" s="1">
        <v>-2567.06455945775</v>
      </c>
    </row>
    <row r="175" spans="1:18" x14ac:dyDescent="0.25">
      <c r="A175" s="1" t="s">
        <v>190</v>
      </c>
      <c r="B175" s="1">
        <v>13741.107</v>
      </c>
      <c r="C175" s="1">
        <v>9338.4950000000008</v>
      </c>
      <c r="D175" s="1">
        <v>2233.9969999999998</v>
      </c>
      <c r="E175" s="1">
        <v>2944.7190000000001</v>
      </c>
      <c r="F175" s="1">
        <v>1270.133</v>
      </c>
      <c r="G175" s="1">
        <v>2040.6510000000001</v>
      </c>
      <c r="H175" s="1">
        <v>-770.51800000000003</v>
      </c>
      <c r="I175" s="1">
        <v>79.502702323663797</v>
      </c>
      <c r="J175" s="1">
        <v>130188.33333333299</v>
      </c>
      <c r="K175" s="1">
        <v>290253</v>
      </c>
      <c r="L175" s="1">
        <v>47341.825924279903</v>
      </c>
      <c r="M175" s="1">
        <v>32173.638170837199</v>
      </c>
      <c r="N175" s="1">
        <v>7696.7232035500101</v>
      </c>
      <c r="O175" s="1">
        <v>10145.3525028165</v>
      </c>
      <c r="P175" s="1">
        <v>4375.95132522317</v>
      </c>
      <c r="Q175" s="1">
        <v>7030.5939990284296</v>
      </c>
      <c r="R175" s="1">
        <v>-2654.6426738052701</v>
      </c>
    </row>
    <row r="176" spans="1:18" x14ac:dyDescent="0.25">
      <c r="A176" s="1" t="s">
        <v>191</v>
      </c>
      <c r="B176" s="1">
        <v>13970.156999999999</v>
      </c>
      <c r="C176" s="1">
        <v>9470.5409999999993</v>
      </c>
      <c r="D176" s="1">
        <v>2315.3989999999999</v>
      </c>
      <c r="E176" s="1">
        <v>2951.221</v>
      </c>
      <c r="F176" s="1">
        <v>1304.816</v>
      </c>
      <c r="G176" s="1">
        <v>2072.6089999999999</v>
      </c>
      <c r="H176" s="1">
        <v>-767.79300000000001</v>
      </c>
      <c r="I176" s="1">
        <v>81.909234639275397</v>
      </c>
      <c r="J176" s="1">
        <v>130196</v>
      </c>
      <c r="K176" s="1">
        <v>290974</v>
      </c>
      <c r="L176" s="1">
        <v>48011.702076474197</v>
      </c>
      <c r="M176" s="1">
        <v>32547.722476922299</v>
      </c>
      <c r="N176" s="1">
        <v>7957.4085657137803</v>
      </c>
      <c r="O176" s="1">
        <v>10142.5591289943</v>
      </c>
      <c r="P176" s="1">
        <v>4484.3044395719198</v>
      </c>
      <c r="Q176" s="1">
        <v>7123.0041172063502</v>
      </c>
      <c r="R176" s="1">
        <v>-2638.6996776344299</v>
      </c>
    </row>
    <row r="177" spans="1:18" x14ac:dyDescent="0.25">
      <c r="A177" s="1" t="s">
        <v>192</v>
      </c>
      <c r="B177" s="1">
        <v>14131.379000000001</v>
      </c>
      <c r="C177" s="1">
        <v>9535.741</v>
      </c>
      <c r="D177" s="1">
        <v>2393.402</v>
      </c>
      <c r="E177" s="1">
        <v>2969.1379999999999</v>
      </c>
      <c r="F177" s="1">
        <v>1363.499</v>
      </c>
      <c r="G177" s="1">
        <v>2138.44</v>
      </c>
      <c r="H177" s="1">
        <v>-774.94100000000003</v>
      </c>
      <c r="I177" s="1">
        <v>83.183894132804596</v>
      </c>
      <c r="J177" s="1">
        <v>130505.33333333299</v>
      </c>
      <c r="K177" s="1">
        <v>291669</v>
      </c>
      <c r="L177" s="1">
        <v>48450.054685276802</v>
      </c>
      <c r="M177" s="1">
        <v>32693.707593196399</v>
      </c>
      <c r="N177" s="1">
        <v>8205.8840672131792</v>
      </c>
      <c r="O177" s="1">
        <v>10179.820275723499</v>
      </c>
      <c r="P177" s="1">
        <v>4674.8163157551899</v>
      </c>
      <c r="Q177" s="1">
        <v>7331.7356318292304</v>
      </c>
      <c r="R177" s="1">
        <v>-2656.9193160740401</v>
      </c>
    </row>
    <row r="178" spans="1:18" x14ac:dyDescent="0.25">
      <c r="A178" s="1" t="s">
        <v>193</v>
      </c>
      <c r="B178" s="1">
        <v>14212.34</v>
      </c>
      <c r="C178" s="1">
        <v>9624.6489999999994</v>
      </c>
      <c r="D178" s="1">
        <v>2398.1509999999998</v>
      </c>
      <c r="E178" s="1">
        <v>2982.7350000000001</v>
      </c>
      <c r="F178" s="1">
        <v>1394.3109999999999</v>
      </c>
      <c r="G178" s="1">
        <v>2198.3330000000001</v>
      </c>
      <c r="H178" s="1">
        <v>-804.02200000000005</v>
      </c>
      <c r="I178" s="1">
        <v>82.980651512030803</v>
      </c>
      <c r="J178" s="1">
        <v>130908.66666666701</v>
      </c>
      <c r="K178" s="1">
        <v>292237</v>
      </c>
      <c r="L178" s="1">
        <v>48632.924646776402</v>
      </c>
      <c r="M178" s="1">
        <v>32934.395713068501</v>
      </c>
      <c r="N178" s="1">
        <v>8206.1853906247306</v>
      </c>
      <c r="O178" s="1">
        <v>10206.5617974452</v>
      </c>
      <c r="P178" s="1">
        <v>4771.1651844222297</v>
      </c>
      <c r="Q178" s="1">
        <v>7522.4321355612101</v>
      </c>
      <c r="R178" s="1">
        <v>-2751.2669511389699</v>
      </c>
    </row>
    <row r="179" spans="1:18" x14ac:dyDescent="0.25">
      <c r="A179" s="1" t="s">
        <v>194</v>
      </c>
      <c r="B179" s="1">
        <v>14323.017</v>
      </c>
      <c r="C179" s="1">
        <v>9677.1659999999993</v>
      </c>
      <c r="D179" s="1">
        <v>2493.9450000000002</v>
      </c>
      <c r="E179" s="1">
        <v>2990.8240000000001</v>
      </c>
      <c r="F179" s="1">
        <v>1423.51</v>
      </c>
      <c r="G179" s="1">
        <v>2284.933</v>
      </c>
      <c r="H179" s="1">
        <v>-861.423</v>
      </c>
      <c r="I179" s="1">
        <v>84.928484090118801</v>
      </c>
      <c r="J179" s="1">
        <v>131631</v>
      </c>
      <c r="K179" s="1">
        <v>292875</v>
      </c>
      <c r="L179" s="1">
        <v>48904.880921894997</v>
      </c>
      <c r="M179" s="1">
        <v>33041.966709346998</v>
      </c>
      <c r="N179" s="1">
        <v>8515.3905249679901</v>
      </c>
      <c r="O179" s="1">
        <v>10211.947076397801</v>
      </c>
      <c r="P179" s="1">
        <v>4860.4694835680802</v>
      </c>
      <c r="Q179" s="1">
        <v>7801.7345283824197</v>
      </c>
      <c r="R179" s="1">
        <v>-2941.2650448143399</v>
      </c>
    </row>
    <row r="180" spans="1:18" x14ac:dyDescent="0.25">
      <c r="A180" s="1" t="s">
        <v>195</v>
      </c>
      <c r="B180" s="1">
        <v>14457.832</v>
      </c>
      <c r="C180" s="1">
        <v>9790.8359999999993</v>
      </c>
      <c r="D180" s="1">
        <v>2532.6350000000002</v>
      </c>
      <c r="E180" s="1">
        <v>2996.3339999999998</v>
      </c>
      <c r="F180" s="1">
        <v>1428.1790000000001</v>
      </c>
      <c r="G180" s="1">
        <v>2316.6039999999998</v>
      </c>
      <c r="H180" s="1">
        <v>-888.42499999999995</v>
      </c>
      <c r="I180" s="1">
        <v>86.369844438377399</v>
      </c>
      <c r="J180" s="1">
        <v>131955.66666666701</v>
      </c>
      <c r="K180" s="1">
        <v>293603</v>
      </c>
      <c r="L180" s="1">
        <v>49242.793840662402</v>
      </c>
      <c r="M180" s="1">
        <v>33347.193318869402</v>
      </c>
      <c r="N180" s="1">
        <v>8626.0528673072204</v>
      </c>
      <c r="O180" s="1">
        <v>10205.3929966656</v>
      </c>
      <c r="P180" s="1">
        <v>4864.3201874640199</v>
      </c>
      <c r="Q180" s="1">
        <v>7890.2599769075896</v>
      </c>
      <c r="R180" s="1">
        <v>-3025.9397894435701</v>
      </c>
    </row>
    <row r="181" spans="1:18" x14ac:dyDescent="0.25">
      <c r="A181" s="1" t="s">
        <v>196</v>
      </c>
      <c r="B181" s="1">
        <v>14605.594999999999</v>
      </c>
      <c r="C181" s="1">
        <v>9901.58</v>
      </c>
      <c r="D181" s="1">
        <v>2585.4769999999999</v>
      </c>
      <c r="E181" s="1">
        <v>2994.627</v>
      </c>
      <c r="F181" s="1">
        <v>1462.0809999999999</v>
      </c>
      <c r="G181" s="1">
        <v>2370.5630000000001</v>
      </c>
      <c r="H181" s="1">
        <v>-908.48199999999997</v>
      </c>
      <c r="I181" s="1">
        <v>87.630535366904994</v>
      </c>
      <c r="J181" s="1">
        <v>132525</v>
      </c>
      <c r="K181" s="1">
        <v>294334</v>
      </c>
      <c r="L181" s="1">
        <v>49622.520673792402</v>
      </c>
      <c r="M181" s="1">
        <v>33640.625955547097</v>
      </c>
      <c r="N181" s="1">
        <v>8784.1601717776393</v>
      </c>
      <c r="O181" s="1">
        <v>10174.2476234482</v>
      </c>
      <c r="P181" s="1">
        <v>4967.42136484402</v>
      </c>
      <c r="Q181" s="1">
        <v>8053.9896851875801</v>
      </c>
      <c r="R181" s="1">
        <v>-3086.5683203435601</v>
      </c>
    </row>
    <row r="182" spans="1:18" x14ac:dyDescent="0.25">
      <c r="A182" s="1" t="s">
        <v>197</v>
      </c>
      <c r="B182" s="1">
        <v>14767.846</v>
      </c>
      <c r="C182" s="1">
        <v>9964.4959999999992</v>
      </c>
      <c r="D182" s="1">
        <v>2658.163</v>
      </c>
      <c r="E182" s="1">
        <v>3009.569</v>
      </c>
      <c r="F182" s="1">
        <v>1489.521</v>
      </c>
      <c r="G182" s="1">
        <v>2390.9850000000001</v>
      </c>
      <c r="H182" s="1">
        <v>-901.46400000000006</v>
      </c>
      <c r="I182" s="1">
        <v>88.920783778975903</v>
      </c>
      <c r="J182" s="1">
        <v>132988</v>
      </c>
      <c r="K182" s="1">
        <v>294957</v>
      </c>
      <c r="L182" s="1">
        <v>50067.792932529199</v>
      </c>
      <c r="M182" s="1">
        <v>33782.876826113599</v>
      </c>
      <c r="N182" s="1">
        <v>9012.0356526544601</v>
      </c>
      <c r="O182" s="1">
        <v>10203.416091159101</v>
      </c>
      <c r="P182" s="1">
        <v>5049.9598246524101</v>
      </c>
      <c r="Q182" s="1">
        <v>8106.21548225674</v>
      </c>
      <c r="R182" s="1">
        <v>-3056.2556576043298</v>
      </c>
    </row>
    <row r="183" spans="1:18" x14ac:dyDescent="0.25">
      <c r="A183" s="1" t="s">
        <v>198</v>
      </c>
      <c r="B183" s="1">
        <v>14839.707</v>
      </c>
      <c r="C183" s="1">
        <v>10074.922</v>
      </c>
      <c r="D183" s="1">
        <v>2622.7930000000001</v>
      </c>
      <c r="E183" s="1">
        <v>3007.8310000000001</v>
      </c>
      <c r="F183" s="1">
        <v>1522.7460000000001</v>
      </c>
      <c r="G183" s="1">
        <v>2422.9949999999999</v>
      </c>
      <c r="H183" s="1">
        <v>-900.24900000000002</v>
      </c>
      <c r="I183" s="1">
        <v>90.239136943830204</v>
      </c>
      <c r="J183" s="1">
        <v>133714.33333333299</v>
      </c>
      <c r="K183" s="1">
        <v>295588</v>
      </c>
      <c r="L183" s="1">
        <v>50204.023843999101</v>
      </c>
      <c r="M183" s="1">
        <v>34084.340365644101</v>
      </c>
      <c r="N183" s="1">
        <v>8873.1376104577994</v>
      </c>
      <c r="O183" s="1">
        <v>10175.75476677</v>
      </c>
      <c r="P183" s="1">
        <v>5151.5826082249596</v>
      </c>
      <c r="Q183" s="1">
        <v>8197.2035400625191</v>
      </c>
      <c r="R183" s="1">
        <v>-3045.62093183756</v>
      </c>
    </row>
    <row r="184" spans="1:18" x14ac:dyDescent="0.25">
      <c r="A184" s="1" t="s">
        <v>199</v>
      </c>
      <c r="B184" s="1">
        <v>14956.290999999999</v>
      </c>
      <c r="C184" s="1">
        <v>10158.513000000001</v>
      </c>
      <c r="D184" s="1">
        <v>2657.4580000000001</v>
      </c>
      <c r="E184" s="1">
        <v>3017.7730000000001</v>
      </c>
      <c r="F184" s="1">
        <v>1522.433</v>
      </c>
      <c r="G184" s="1">
        <v>2436.6010000000001</v>
      </c>
      <c r="H184" s="1">
        <v>-914.16800000000001</v>
      </c>
      <c r="I184" s="1">
        <v>91.5425437441328</v>
      </c>
      <c r="J184" s="1">
        <v>134447.66666666701</v>
      </c>
      <c r="K184" s="1">
        <v>296340</v>
      </c>
      <c r="L184" s="1">
        <v>50470.037794425298</v>
      </c>
      <c r="M184" s="1">
        <v>34279.9250860498</v>
      </c>
      <c r="N184" s="1">
        <v>8967.5980292906806</v>
      </c>
      <c r="O184" s="1">
        <v>10183.481811432801</v>
      </c>
      <c r="P184" s="1">
        <v>5137.4536005939099</v>
      </c>
      <c r="Q184" s="1">
        <v>8222.31558345144</v>
      </c>
      <c r="R184" s="1">
        <v>-3084.8619828575302</v>
      </c>
    </row>
    <row r="185" spans="1:18" x14ac:dyDescent="0.25">
      <c r="A185" s="1" t="s">
        <v>200</v>
      </c>
      <c r="B185" s="1">
        <v>15041.232</v>
      </c>
      <c r="C185" s="1">
        <v>10177.237999999999</v>
      </c>
      <c r="D185" s="1">
        <v>2743.846</v>
      </c>
      <c r="E185" s="1">
        <v>3020.1329999999998</v>
      </c>
      <c r="F185" s="1">
        <v>1569.6130000000001</v>
      </c>
      <c r="G185" s="1">
        <v>2515.1320000000001</v>
      </c>
      <c r="H185" s="1">
        <v>-945.51900000000001</v>
      </c>
      <c r="I185" s="1">
        <v>91.924611934057495</v>
      </c>
      <c r="J185" s="1">
        <v>134935.33333333299</v>
      </c>
      <c r="K185" s="1">
        <v>297086</v>
      </c>
      <c r="L185" s="1">
        <v>50629.2184754583</v>
      </c>
      <c r="M185" s="1">
        <v>34256.875113603499</v>
      </c>
      <c r="N185" s="1">
        <v>9235.8643625078294</v>
      </c>
      <c r="O185" s="1">
        <v>10165.854331742299</v>
      </c>
      <c r="P185" s="1">
        <v>5283.3623933810404</v>
      </c>
      <c r="Q185" s="1">
        <v>8466.0064762391994</v>
      </c>
      <c r="R185" s="1">
        <v>-3182.6440828581599</v>
      </c>
    </row>
    <row r="186" spans="1:18" x14ac:dyDescent="0.25">
      <c r="A186" s="1" t="s">
        <v>201</v>
      </c>
      <c r="B186" s="1">
        <v>15244.088</v>
      </c>
      <c r="C186" s="1">
        <v>10288.217000000001</v>
      </c>
      <c r="D186" s="1">
        <v>2784.5830000000001</v>
      </c>
      <c r="E186" s="1">
        <v>3058.4830000000002</v>
      </c>
      <c r="F186" s="1">
        <v>1633.194</v>
      </c>
      <c r="G186" s="1">
        <v>2566.893</v>
      </c>
      <c r="H186" s="1">
        <v>-933.69899999999996</v>
      </c>
      <c r="I186" s="1">
        <v>93.744213085430403</v>
      </c>
      <c r="J186" s="1">
        <v>135732</v>
      </c>
      <c r="K186" s="1">
        <v>297736</v>
      </c>
      <c r="L186" s="1">
        <v>51200.016121664798</v>
      </c>
      <c r="M186" s="1">
        <v>34554.830453824899</v>
      </c>
      <c r="N186" s="1">
        <v>9352.5237122820199</v>
      </c>
      <c r="O186" s="1">
        <v>10272.4662116775</v>
      </c>
      <c r="P186" s="1">
        <v>5485.3763065265903</v>
      </c>
      <c r="Q186" s="1">
        <v>8621.3726254131197</v>
      </c>
      <c r="R186" s="1">
        <v>-3135.9963188865299</v>
      </c>
    </row>
    <row r="187" spans="1:18" x14ac:dyDescent="0.25">
      <c r="A187" s="1" t="s">
        <v>202</v>
      </c>
      <c r="B187" s="1">
        <v>15281.525</v>
      </c>
      <c r="C187" s="1">
        <v>10341.556</v>
      </c>
      <c r="D187" s="1">
        <v>2766.6280000000002</v>
      </c>
      <c r="E187" s="1">
        <v>3057.5509999999999</v>
      </c>
      <c r="F187" s="1">
        <v>1663.431</v>
      </c>
      <c r="G187" s="1">
        <v>2592.4549999999999</v>
      </c>
      <c r="H187" s="1">
        <v>-929.024</v>
      </c>
      <c r="I187" s="1">
        <v>93.468557423688196</v>
      </c>
      <c r="J187" s="1">
        <v>136262</v>
      </c>
      <c r="K187" s="1">
        <v>298408</v>
      </c>
      <c r="L187" s="1">
        <v>51210.171979303501</v>
      </c>
      <c r="M187" s="1">
        <v>34655.759899198398</v>
      </c>
      <c r="N187" s="1">
        <v>9271.2929948258807</v>
      </c>
      <c r="O187" s="1">
        <v>10246.209887134401</v>
      </c>
      <c r="P187" s="1">
        <v>5574.3512238277799</v>
      </c>
      <c r="Q187" s="1">
        <v>8687.6189646390194</v>
      </c>
      <c r="R187" s="1">
        <v>-3113.2677408112399</v>
      </c>
    </row>
    <row r="188" spans="1:18" x14ac:dyDescent="0.25">
      <c r="A188" s="1" t="s">
        <v>203</v>
      </c>
      <c r="B188" s="1">
        <v>15304.517</v>
      </c>
      <c r="C188" s="1">
        <v>10407.966</v>
      </c>
      <c r="D188" s="1">
        <v>2755.9540000000002</v>
      </c>
      <c r="E188" s="1">
        <v>3053.11</v>
      </c>
      <c r="F188" s="1">
        <v>1661.223</v>
      </c>
      <c r="G188" s="1">
        <v>2618.357</v>
      </c>
      <c r="H188" s="1">
        <v>-957.13400000000001</v>
      </c>
      <c r="I188" s="1">
        <v>92.769207248316306</v>
      </c>
      <c r="J188" s="1">
        <v>136678</v>
      </c>
      <c r="K188" s="1">
        <v>299180</v>
      </c>
      <c r="L188" s="1">
        <v>51154.880005348001</v>
      </c>
      <c r="M188" s="1">
        <v>34788.3080419814</v>
      </c>
      <c r="N188" s="1">
        <v>9211.6919580185804</v>
      </c>
      <c r="O188" s="1">
        <v>10204.9267999198</v>
      </c>
      <c r="P188" s="1">
        <v>5552.5870713283002</v>
      </c>
      <c r="Q188" s="1">
        <v>8751.7781937295294</v>
      </c>
      <c r="R188" s="1">
        <v>-3199.1911224012301</v>
      </c>
    </row>
    <row r="189" spans="1:18" x14ac:dyDescent="0.25">
      <c r="A189" s="1" t="s">
        <v>204</v>
      </c>
      <c r="B189" s="1">
        <v>15433.643</v>
      </c>
      <c r="C189" s="1">
        <v>10507.248</v>
      </c>
      <c r="D189" s="1">
        <v>2702.4870000000001</v>
      </c>
      <c r="E189" s="1">
        <v>3078.2150000000001</v>
      </c>
      <c r="F189" s="1">
        <v>1724.2629999999999</v>
      </c>
      <c r="G189" s="1">
        <v>2614.9920000000002</v>
      </c>
      <c r="H189" s="1">
        <v>-890.72900000000004</v>
      </c>
      <c r="I189" s="1">
        <v>92.342886644466404</v>
      </c>
      <c r="J189" s="1">
        <v>137056.66666666701</v>
      </c>
      <c r="K189" s="1">
        <v>299946</v>
      </c>
      <c r="L189" s="1">
        <v>51454.7385196002</v>
      </c>
      <c r="M189" s="1">
        <v>35030.465483787098</v>
      </c>
      <c r="N189" s="1">
        <v>9009.9117841211391</v>
      </c>
      <c r="O189" s="1">
        <v>10262.5639281737</v>
      </c>
      <c r="P189" s="1">
        <v>5748.5780773872602</v>
      </c>
      <c r="Q189" s="1">
        <v>8718.2092776699792</v>
      </c>
      <c r="R189" s="1">
        <v>-2969.6312002827199</v>
      </c>
    </row>
    <row r="190" spans="1:18" x14ac:dyDescent="0.25">
      <c r="A190" s="1" t="s">
        <v>205</v>
      </c>
      <c r="B190" s="1">
        <v>15478.956</v>
      </c>
      <c r="C190" s="1">
        <v>10572.053</v>
      </c>
      <c r="D190" s="1">
        <v>2683.893</v>
      </c>
      <c r="E190" s="1">
        <v>3082.482</v>
      </c>
      <c r="F190" s="1">
        <v>1758.4490000000001</v>
      </c>
      <c r="G190" s="1">
        <v>2653.058</v>
      </c>
      <c r="H190" s="1">
        <v>-894.60900000000004</v>
      </c>
      <c r="I190" s="1">
        <v>92.3611854646186</v>
      </c>
      <c r="J190" s="1">
        <v>137603.66666666701</v>
      </c>
      <c r="K190" s="1">
        <v>300609</v>
      </c>
      <c r="L190" s="1">
        <v>51491.991257746799</v>
      </c>
      <c r="M190" s="1">
        <v>35168.7840350755</v>
      </c>
      <c r="N190" s="1">
        <v>8928.1857828607899</v>
      </c>
      <c r="O190" s="1">
        <v>10254.124128020099</v>
      </c>
      <c r="P190" s="1">
        <v>5849.6219341403603</v>
      </c>
      <c r="Q190" s="1">
        <v>8825.6106769923699</v>
      </c>
      <c r="R190" s="1">
        <v>-2975.9887428520101</v>
      </c>
    </row>
    <row r="191" spans="1:18" x14ac:dyDescent="0.25">
      <c r="A191" s="1" t="s">
        <v>206</v>
      </c>
      <c r="B191" s="1">
        <v>15577.779</v>
      </c>
      <c r="C191" s="1">
        <v>10599.795</v>
      </c>
      <c r="D191" s="1">
        <v>2713.4949999999999</v>
      </c>
      <c r="E191" s="1">
        <v>3110.6610000000001</v>
      </c>
      <c r="F191" s="1">
        <v>1785.0640000000001</v>
      </c>
      <c r="G191" s="1">
        <v>2667.163</v>
      </c>
      <c r="H191" s="1">
        <v>-882.09900000000005</v>
      </c>
      <c r="I191" s="1">
        <v>93.035336348727398</v>
      </c>
      <c r="J191" s="1">
        <v>137969.33333333299</v>
      </c>
      <c r="K191" s="1">
        <v>301284</v>
      </c>
      <c r="L191" s="1">
        <v>51704.634165770498</v>
      </c>
      <c r="M191" s="1">
        <v>35182.070737244598</v>
      </c>
      <c r="N191" s="1">
        <v>9006.4357881600099</v>
      </c>
      <c r="O191" s="1">
        <v>10324.6803680249</v>
      </c>
      <c r="P191" s="1">
        <v>5924.8549541296597</v>
      </c>
      <c r="Q191" s="1">
        <v>8852.6539743232297</v>
      </c>
      <c r="R191" s="1">
        <v>-2927.79902019357</v>
      </c>
    </row>
    <row r="192" spans="1:18" x14ac:dyDescent="0.25">
      <c r="A192" s="1" t="s">
        <v>207</v>
      </c>
      <c r="B192" s="1">
        <v>15671.605</v>
      </c>
      <c r="C192" s="1">
        <v>10670.505999999999</v>
      </c>
      <c r="D192" s="1">
        <v>2686.1060000000002</v>
      </c>
      <c r="E192" s="1">
        <v>3124.8829999999998</v>
      </c>
      <c r="F192" s="1">
        <v>1840.838</v>
      </c>
      <c r="G192" s="1">
        <v>2682.0990000000002</v>
      </c>
      <c r="H192" s="1">
        <v>-841.26099999999997</v>
      </c>
      <c r="I192" s="1">
        <v>92.646339750561907</v>
      </c>
      <c r="J192" s="1">
        <v>138054</v>
      </c>
      <c r="K192" s="1">
        <v>302062</v>
      </c>
      <c r="L192" s="1">
        <v>51882.080500029799</v>
      </c>
      <c r="M192" s="1">
        <v>35325.549059464603</v>
      </c>
      <c r="N192" s="1">
        <v>8892.5651025286206</v>
      </c>
      <c r="O192" s="1">
        <v>10345.1708589627</v>
      </c>
      <c r="P192" s="1">
        <v>6094.2389310803801</v>
      </c>
      <c r="Q192" s="1">
        <v>8879.2996139865299</v>
      </c>
      <c r="R192" s="1">
        <v>-2785.0606829061599</v>
      </c>
    </row>
    <row r="193" spans="1:18" x14ac:dyDescent="0.25">
      <c r="A193" s="1" t="s">
        <v>208</v>
      </c>
      <c r="B193" s="1">
        <v>15767.146000000001</v>
      </c>
      <c r="C193" s="1">
        <v>10712.556</v>
      </c>
      <c r="D193" s="1">
        <v>2653.056</v>
      </c>
      <c r="E193" s="1">
        <v>3149.5419999999999</v>
      </c>
      <c r="F193" s="1">
        <v>1883.0619999999999</v>
      </c>
      <c r="G193" s="1">
        <v>2656.7669999999998</v>
      </c>
      <c r="H193" s="1">
        <v>-773.70500000000004</v>
      </c>
      <c r="I193" s="1">
        <v>92.126429761201095</v>
      </c>
      <c r="J193" s="1">
        <v>138288</v>
      </c>
      <c r="K193" s="1">
        <v>302829</v>
      </c>
      <c r="L193" s="1">
        <v>52066.169356303399</v>
      </c>
      <c r="M193" s="1">
        <v>35374.934368901297</v>
      </c>
      <c r="N193" s="1">
        <v>8760.9046689715997</v>
      </c>
      <c r="O193" s="1">
        <v>10400.3975841151</v>
      </c>
      <c r="P193" s="1">
        <v>6218.23537375879</v>
      </c>
      <c r="Q193" s="1">
        <v>8773.1591095965105</v>
      </c>
      <c r="R193" s="1">
        <v>-2554.92373583772</v>
      </c>
    </row>
    <row r="194" spans="1:18" x14ac:dyDescent="0.25">
      <c r="A194" s="1" t="s">
        <v>209</v>
      </c>
      <c r="B194" s="1">
        <v>15702.906000000001</v>
      </c>
      <c r="C194" s="1">
        <v>10697.867</v>
      </c>
      <c r="D194" s="1">
        <v>2583.2530000000002</v>
      </c>
      <c r="E194" s="1">
        <v>3156.9279999999999</v>
      </c>
      <c r="F194" s="1">
        <v>1913.046</v>
      </c>
      <c r="G194" s="1">
        <v>2666.73</v>
      </c>
      <c r="H194" s="1">
        <v>-753.68399999999997</v>
      </c>
      <c r="I194" s="1">
        <v>90.915438986949397</v>
      </c>
      <c r="J194" s="1">
        <v>138325.66666666701</v>
      </c>
      <c r="K194" s="1">
        <v>303494</v>
      </c>
      <c r="L194" s="1">
        <v>51740.416614496498</v>
      </c>
      <c r="M194" s="1">
        <v>35249.023044936599</v>
      </c>
      <c r="N194" s="1">
        <v>8511.7102809281205</v>
      </c>
      <c r="O194" s="1">
        <v>10401.9453432358</v>
      </c>
      <c r="P194" s="1">
        <v>6303.40632763745</v>
      </c>
      <c r="Q194" s="1">
        <v>8786.7634945007194</v>
      </c>
      <c r="R194" s="1">
        <v>-2483.3571668632699</v>
      </c>
    </row>
    <row r="195" spans="1:18" x14ac:dyDescent="0.25">
      <c r="A195" s="1" t="s">
        <v>210</v>
      </c>
      <c r="B195" s="1">
        <v>15792.772999999999</v>
      </c>
      <c r="C195" s="1">
        <v>10727.347</v>
      </c>
      <c r="D195" s="1">
        <v>2536.4029999999998</v>
      </c>
      <c r="E195" s="1">
        <v>3184.2579999999998</v>
      </c>
      <c r="F195" s="1">
        <v>1969.204</v>
      </c>
      <c r="G195" s="1">
        <v>2641.498</v>
      </c>
      <c r="H195" s="1">
        <v>-672.29399999999998</v>
      </c>
      <c r="I195" s="1">
        <v>90.641012558927301</v>
      </c>
      <c r="J195" s="1">
        <v>137858</v>
      </c>
      <c r="K195" s="1">
        <v>304160</v>
      </c>
      <c r="L195" s="1">
        <v>51922.5835086796</v>
      </c>
      <c r="M195" s="1">
        <v>35268.763150973202</v>
      </c>
      <c r="N195" s="1">
        <v>8339.0419516044203</v>
      </c>
      <c r="O195" s="1">
        <v>10469.0228826933</v>
      </c>
      <c r="P195" s="1">
        <v>6474.2372435560201</v>
      </c>
      <c r="Q195" s="1">
        <v>8684.5673329826404</v>
      </c>
      <c r="R195" s="1">
        <v>-2210.3300894266199</v>
      </c>
    </row>
    <row r="196" spans="1:18" x14ac:dyDescent="0.25">
      <c r="A196" s="1" t="s">
        <v>211</v>
      </c>
      <c r="B196" s="1">
        <v>15709.562</v>
      </c>
      <c r="C196" s="1">
        <v>10644.668</v>
      </c>
      <c r="D196" s="1">
        <v>2485.549</v>
      </c>
      <c r="E196" s="1">
        <v>3210.02</v>
      </c>
      <c r="F196" s="1">
        <v>1960.3620000000001</v>
      </c>
      <c r="G196" s="1">
        <v>2608.1610000000001</v>
      </c>
      <c r="H196" s="1">
        <v>-647.79899999999998</v>
      </c>
      <c r="I196" s="1">
        <v>88.911285154774802</v>
      </c>
      <c r="J196" s="1">
        <v>137153</v>
      </c>
      <c r="K196" s="1">
        <v>304902</v>
      </c>
      <c r="L196" s="1">
        <v>51523.315688319497</v>
      </c>
      <c r="M196" s="1">
        <v>34911.768371476697</v>
      </c>
      <c r="N196" s="1">
        <v>8151.9603019986798</v>
      </c>
      <c r="O196" s="1">
        <v>10528.038517294101</v>
      </c>
      <c r="P196" s="1">
        <v>6429.48225987367</v>
      </c>
      <c r="Q196" s="1">
        <v>8554.0960702127304</v>
      </c>
      <c r="R196" s="1">
        <v>-2124.6138103390599</v>
      </c>
    </row>
    <row r="197" spans="1:18" x14ac:dyDescent="0.25">
      <c r="A197" s="1" t="s">
        <v>212</v>
      </c>
      <c r="B197" s="1">
        <v>15366.607</v>
      </c>
      <c r="C197" s="1">
        <v>10548.871999999999</v>
      </c>
      <c r="D197" s="1">
        <v>2246.4409999999998</v>
      </c>
      <c r="E197" s="1">
        <v>3231.944</v>
      </c>
      <c r="F197" s="1">
        <v>1844.981</v>
      </c>
      <c r="G197" s="1">
        <v>2513.8440000000001</v>
      </c>
      <c r="H197" s="1">
        <v>-668.86300000000006</v>
      </c>
      <c r="I197" s="1">
        <v>84.133756552915798</v>
      </c>
      <c r="J197" s="1">
        <v>135563</v>
      </c>
      <c r="K197" s="1">
        <v>305616</v>
      </c>
      <c r="L197" s="1">
        <v>50280.767368200599</v>
      </c>
      <c r="M197" s="1">
        <v>34516.753049578598</v>
      </c>
      <c r="N197" s="1">
        <v>7350.5346578713197</v>
      </c>
      <c r="O197" s="1">
        <v>10575.1793099838</v>
      </c>
      <c r="P197" s="1">
        <v>6036.9254227527399</v>
      </c>
      <c r="Q197" s="1">
        <v>8225.4986649913608</v>
      </c>
      <c r="R197" s="1">
        <v>-2188.57324223863</v>
      </c>
    </row>
    <row r="198" spans="1:18" x14ac:dyDescent="0.25">
      <c r="A198" s="1" t="s">
        <v>213</v>
      </c>
      <c r="B198" s="1">
        <v>15187.475</v>
      </c>
      <c r="C198" s="1">
        <v>10522.083000000001</v>
      </c>
      <c r="D198" s="1">
        <v>1986.845</v>
      </c>
      <c r="E198" s="1">
        <v>3268.8180000000002</v>
      </c>
      <c r="F198" s="1">
        <v>1697.6369999999999</v>
      </c>
      <c r="G198" s="1">
        <v>2274.895</v>
      </c>
      <c r="H198" s="1">
        <v>-577.25800000000004</v>
      </c>
      <c r="I198" s="1">
        <v>78.803771205242001</v>
      </c>
      <c r="J198" s="1">
        <v>133291</v>
      </c>
      <c r="K198" s="1">
        <v>306237</v>
      </c>
      <c r="L198" s="1">
        <v>49593.860310805001</v>
      </c>
      <c r="M198" s="1">
        <v>34359.280557215498</v>
      </c>
      <c r="N198" s="1">
        <v>6487.9325489735102</v>
      </c>
      <c r="O198" s="1">
        <v>10674.144535115</v>
      </c>
      <c r="P198" s="1">
        <v>5543.5398074040704</v>
      </c>
      <c r="Q198" s="1">
        <v>7428.5439055372099</v>
      </c>
      <c r="R198" s="1">
        <v>-1885.0040981331499</v>
      </c>
    </row>
    <row r="199" spans="1:18" x14ac:dyDescent="0.25">
      <c r="A199" s="1" t="s">
        <v>214</v>
      </c>
      <c r="B199" s="1">
        <v>15161.772000000001</v>
      </c>
      <c r="C199" s="1">
        <v>10470.358</v>
      </c>
      <c r="D199" s="1">
        <v>1872.287</v>
      </c>
      <c r="E199" s="1">
        <v>3316.62</v>
      </c>
      <c r="F199" s="1">
        <v>1708.8320000000001</v>
      </c>
      <c r="G199" s="1">
        <v>2182.5010000000002</v>
      </c>
      <c r="H199" s="1">
        <v>-473.66899999999998</v>
      </c>
      <c r="I199" s="1">
        <v>76.898794184579103</v>
      </c>
      <c r="J199" s="1">
        <v>131432.33333333299</v>
      </c>
      <c r="K199" s="1">
        <v>306866</v>
      </c>
      <c r="L199" s="1">
        <v>49408.445380068202</v>
      </c>
      <c r="M199" s="1">
        <v>34120.293548324</v>
      </c>
      <c r="N199" s="1">
        <v>6101.31783905679</v>
      </c>
      <c r="O199" s="1">
        <v>10808.039991396899</v>
      </c>
      <c r="P199" s="1">
        <v>5568.65863275827</v>
      </c>
      <c r="Q199" s="1">
        <v>7112.2281386663899</v>
      </c>
      <c r="R199" s="1">
        <v>-1543.5695059081199</v>
      </c>
    </row>
    <row r="200" spans="1:18" x14ac:dyDescent="0.25">
      <c r="A200" s="1" t="s">
        <v>215</v>
      </c>
      <c r="B200" s="1">
        <v>15216.647000000001</v>
      </c>
      <c r="C200" s="1">
        <v>10540.769</v>
      </c>
      <c r="D200" s="1">
        <v>1868.0129999999999</v>
      </c>
      <c r="E200" s="1">
        <v>3325.6819999999998</v>
      </c>
      <c r="F200" s="1">
        <v>1772.0039999999999</v>
      </c>
      <c r="G200" s="1">
        <v>2272.5349999999999</v>
      </c>
      <c r="H200" s="1">
        <v>-500.53100000000001</v>
      </c>
      <c r="I200" s="1">
        <v>77.182020808552195</v>
      </c>
      <c r="J200" s="1">
        <v>130460.33333333299</v>
      </c>
      <c r="K200" s="1">
        <v>307573</v>
      </c>
      <c r="L200" s="1">
        <v>49473.286016653001</v>
      </c>
      <c r="M200" s="1">
        <v>34270.787747949304</v>
      </c>
      <c r="N200" s="1">
        <v>6073.3972097680899</v>
      </c>
      <c r="O200" s="1">
        <v>10812.6591085693</v>
      </c>
      <c r="P200" s="1">
        <v>5761.2469234945902</v>
      </c>
      <c r="Q200" s="1">
        <v>7388.6036810773403</v>
      </c>
      <c r="R200" s="1">
        <v>-1627.3567575827501</v>
      </c>
    </row>
    <row r="201" spans="1:18" x14ac:dyDescent="0.25">
      <c r="A201" s="1" t="s">
        <v>216</v>
      </c>
      <c r="B201" s="1">
        <v>15379.155000000001</v>
      </c>
      <c r="C201" s="1">
        <v>10529.156000000001</v>
      </c>
      <c r="D201" s="1">
        <v>2040.7360000000001</v>
      </c>
      <c r="E201" s="1">
        <v>3331.645</v>
      </c>
      <c r="F201" s="1">
        <v>1871.4849999999999</v>
      </c>
      <c r="G201" s="1">
        <v>2385.0740000000001</v>
      </c>
      <c r="H201" s="1">
        <v>-513.58900000000006</v>
      </c>
      <c r="I201" s="1">
        <v>77.313409130957595</v>
      </c>
      <c r="J201" s="1">
        <v>129976.33333333299</v>
      </c>
      <c r="K201" s="1">
        <v>308285</v>
      </c>
      <c r="L201" s="1">
        <v>49886.1605332728</v>
      </c>
      <c r="M201" s="1">
        <v>34153.967919295501</v>
      </c>
      <c r="N201" s="1">
        <v>6619.6409166842404</v>
      </c>
      <c r="O201" s="1">
        <v>10807.029209984301</v>
      </c>
      <c r="P201" s="1">
        <v>6070.6326937736203</v>
      </c>
      <c r="Q201" s="1">
        <v>7736.58789756232</v>
      </c>
      <c r="R201" s="1">
        <v>-1665.9552037886999</v>
      </c>
    </row>
    <row r="202" spans="1:18" x14ac:dyDescent="0.25">
      <c r="A202" s="1" t="s">
        <v>217</v>
      </c>
      <c r="B202" s="1">
        <v>15456.058999999999</v>
      </c>
      <c r="C202" s="1">
        <v>10590.177</v>
      </c>
      <c r="D202" s="1">
        <v>2087.1709999999998</v>
      </c>
      <c r="E202" s="1">
        <v>3317.3470000000002</v>
      </c>
      <c r="F202" s="1">
        <v>1916.239</v>
      </c>
      <c r="G202" s="1">
        <v>2448.0439999999999</v>
      </c>
      <c r="H202" s="1">
        <v>-531.80499999999995</v>
      </c>
      <c r="I202" s="1">
        <v>77.029623764384397</v>
      </c>
      <c r="J202" s="1">
        <v>129787.33333333299</v>
      </c>
      <c r="K202" s="1">
        <v>308901</v>
      </c>
      <c r="L202" s="1">
        <v>50035.639250115702</v>
      </c>
      <c r="M202" s="1">
        <v>34283.401478143503</v>
      </c>
      <c r="N202" s="1">
        <v>6756.7634938054598</v>
      </c>
      <c r="O202" s="1">
        <v>10739.191520908</v>
      </c>
      <c r="P202" s="1">
        <v>6203.4082116924201</v>
      </c>
      <c r="Q202" s="1">
        <v>7925.01157328724</v>
      </c>
      <c r="R202" s="1">
        <v>-1721.6033615948099</v>
      </c>
    </row>
    <row r="203" spans="1:18" x14ac:dyDescent="0.25">
      <c r="A203" s="1" t="s">
        <v>218</v>
      </c>
      <c r="B203" s="1">
        <v>15605.628000000001</v>
      </c>
      <c r="C203" s="1">
        <v>10685.145</v>
      </c>
      <c r="D203" s="1">
        <v>2196.7060000000001</v>
      </c>
      <c r="E203" s="1">
        <v>3327.5639999999999</v>
      </c>
      <c r="F203" s="1">
        <v>1958.367</v>
      </c>
      <c r="G203" s="1">
        <v>2559.69</v>
      </c>
      <c r="H203" s="1">
        <v>-601.32299999999998</v>
      </c>
      <c r="I203" s="1">
        <v>79.498623502683301</v>
      </c>
      <c r="J203" s="1">
        <v>130420.33333333299</v>
      </c>
      <c r="K203" s="1">
        <v>309488</v>
      </c>
      <c r="L203" s="1">
        <v>50424.016440055799</v>
      </c>
      <c r="M203" s="1">
        <v>34525.231996070899</v>
      </c>
      <c r="N203" s="1">
        <v>7097.8713229592104</v>
      </c>
      <c r="O203" s="1">
        <v>10751.8352892519</v>
      </c>
      <c r="P203" s="1">
        <v>6327.7639197642602</v>
      </c>
      <c r="Q203" s="1">
        <v>8270.7245515173508</v>
      </c>
      <c r="R203" s="1">
        <v>-1942.96063175309</v>
      </c>
    </row>
    <row r="204" spans="1:18" x14ac:dyDescent="0.25">
      <c r="A204" s="1" t="s">
        <v>219</v>
      </c>
      <c r="B204" s="1">
        <v>15726.281999999999</v>
      </c>
      <c r="C204" s="1">
        <v>10761.376</v>
      </c>
      <c r="D204" s="1">
        <v>2294.672</v>
      </c>
      <c r="E204" s="1">
        <v>3304.078</v>
      </c>
      <c r="F204" s="1">
        <v>2014.232</v>
      </c>
      <c r="G204" s="1">
        <v>2649.1480000000001</v>
      </c>
      <c r="H204" s="1">
        <v>-634.91600000000005</v>
      </c>
      <c r="I204" s="1">
        <v>79.799729889858597</v>
      </c>
      <c r="J204" s="1">
        <v>130394.33333333299</v>
      </c>
      <c r="K204" s="1">
        <v>310148</v>
      </c>
      <c r="L204" s="1">
        <v>50705.734036653499</v>
      </c>
      <c r="M204" s="1">
        <v>34697.550846692502</v>
      </c>
      <c r="N204" s="1">
        <v>7398.6354901530904</v>
      </c>
      <c r="O204" s="1">
        <v>10653.230070804901</v>
      </c>
      <c r="P204" s="1">
        <v>6494.4220178753403</v>
      </c>
      <c r="Q204" s="1">
        <v>8541.5608032294294</v>
      </c>
      <c r="R204" s="1">
        <v>-2047.13878535409</v>
      </c>
    </row>
    <row r="205" spans="1:18" x14ac:dyDescent="0.25">
      <c r="A205" s="1" t="s">
        <v>220</v>
      </c>
      <c r="B205" s="1">
        <v>15807.995000000001</v>
      </c>
      <c r="C205" s="1">
        <v>10827.332</v>
      </c>
      <c r="D205" s="1">
        <v>2287.3620000000001</v>
      </c>
      <c r="E205" s="1">
        <v>3283.0459999999998</v>
      </c>
      <c r="F205" s="1">
        <v>2069.3490000000002</v>
      </c>
      <c r="G205" s="1">
        <v>2658.8850000000002</v>
      </c>
      <c r="H205" s="1">
        <v>-589.53599999999994</v>
      </c>
      <c r="I205" s="1">
        <v>80.794459340754997</v>
      </c>
      <c r="J205" s="1">
        <v>130736.33333333299</v>
      </c>
      <c r="K205" s="1">
        <v>310817</v>
      </c>
      <c r="L205" s="1">
        <v>50859.492884880798</v>
      </c>
      <c r="M205" s="1">
        <v>34835.070153820401</v>
      </c>
      <c r="N205" s="1">
        <v>7359.1920647840998</v>
      </c>
      <c r="O205" s="1">
        <v>10562.633317997401</v>
      </c>
      <c r="P205" s="1">
        <v>6657.7729017396096</v>
      </c>
      <c r="Q205" s="1">
        <v>8554.50313206807</v>
      </c>
      <c r="R205" s="1">
        <v>-1896.73023032846</v>
      </c>
    </row>
    <row r="206" spans="1:18" x14ac:dyDescent="0.25">
      <c r="A206" s="1" t="s">
        <v>221</v>
      </c>
      <c r="B206" s="1">
        <v>15769.911</v>
      </c>
      <c r="C206" s="1">
        <v>10868.689</v>
      </c>
      <c r="D206" s="1">
        <v>2244.241</v>
      </c>
      <c r="E206" s="1">
        <v>3242.78</v>
      </c>
      <c r="F206" s="1">
        <v>2087.06</v>
      </c>
      <c r="G206" s="1">
        <v>2671.8719999999998</v>
      </c>
      <c r="H206" s="1">
        <v>-584.81200000000001</v>
      </c>
      <c r="I206" s="1">
        <v>80.321651352579593</v>
      </c>
      <c r="J206" s="1">
        <v>131057</v>
      </c>
      <c r="K206" s="1">
        <v>311376</v>
      </c>
      <c r="L206" s="1">
        <v>50645.878295051603</v>
      </c>
      <c r="M206" s="1">
        <v>34905.352371409499</v>
      </c>
      <c r="N206" s="1">
        <v>7207.4951184420097</v>
      </c>
      <c r="O206" s="1">
        <v>10414.354349725099</v>
      </c>
      <c r="P206" s="1">
        <v>6702.7002723395499</v>
      </c>
      <c r="Q206" s="1">
        <v>8580.8540157237603</v>
      </c>
      <c r="R206" s="1">
        <v>-1878.1537433842</v>
      </c>
    </row>
    <row r="207" spans="1:18" x14ac:dyDescent="0.25">
      <c r="A207" s="1" t="s">
        <v>222</v>
      </c>
      <c r="B207" s="1">
        <v>15876.839</v>
      </c>
      <c r="C207" s="1">
        <v>10879.873</v>
      </c>
      <c r="D207" s="1">
        <v>2336.0569999999998</v>
      </c>
      <c r="E207" s="1">
        <v>3220.8159999999998</v>
      </c>
      <c r="F207" s="1">
        <v>2122.3209999999999</v>
      </c>
      <c r="G207" s="1">
        <v>2681.8649999999998</v>
      </c>
      <c r="H207" s="1">
        <v>-559.54399999999998</v>
      </c>
      <c r="I207" s="1">
        <v>81.562814227234895</v>
      </c>
      <c r="J207" s="1">
        <v>131748</v>
      </c>
      <c r="K207" s="1">
        <v>311940</v>
      </c>
      <c r="L207" s="1">
        <v>50897.092389562102</v>
      </c>
      <c r="M207" s="1">
        <v>34878.095146502499</v>
      </c>
      <c r="N207" s="1">
        <v>7488.8023337821396</v>
      </c>
      <c r="O207" s="1">
        <v>10325.1138039367</v>
      </c>
      <c r="P207" s="1">
        <v>6803.6192857600799</v>
      </c>
      <c r="Q207" s="1">
        <v>8597.3744950952096</v>
      </c>
      <c r="R207" s="1">
        <v>-1793.7552093351301</v>
      </c>
    </row>
    <row r="208" spans="1:18" x14ac:dyDescent="0.25">
      <c r="A208" s="1" t="s">
        <v>223</v>
      </c>
      <c r="B208" s="1">
        <v>15870.683999999999</v>
      </c>
      <c r="C208" s="1">
        <v>10912.991</v>
      </c>
      <c r="D208" s="1">
        <v>2343.7860000000001</v>
      </c>
      <c r="E208" s="1">
        <v>3174.8009999999999</v>
      </c>
      <c r="F208" s="1">
        <v>2151.4740000000002</v>
      </c>
      <c r="G208" s="1">
        <v>2711.6190000000001</v>
      </c>
      <c r="H208" s="1">
        <v>-560.14499999999998</v>
      </c>
      <c r="I208" s="1">
        <v>84.061399386207299</v>
      </c>
      <c r="J208" s="1">
        <v>132153.33333333299</v>
      </c>
      <c r="K208" s="1">
        <v>312606</v>
      </c>
      <c r="L208" s="1">
        <v>50768.967966065902</v>
      </c>
      <c r="M208" s="1">
        <v>34909.729819645203</v>
      </c>
      <c r="N208" s="1">
        <v>7497.5720235696099</v>
      </c>
      <c r="O208" s="1">
        <v>10155.9183125084</v>
      </c>
      <c r="P208" s="1">
        <v>6882.3822959252202</v>
      </c>
      <c r="Q208" s="1">
        <v>8674.2384983013799</v>
      </c>
      <c r="R208" s="1">
        <v>-1791.8562023761499</v>
      </c>
    </row>
    <row r="209" spans="1:18" x14ac:dyDescent="0.25">
      <c r="A209" s="1" t="s">
        <v>224</v>
      </c>
      <c r="B209" s="1">
        <v>16048.701999999999</v>
      </c>
      <c r="C209" s="1">
        <v>10931.828</v>
      </c>
      <c r="D209" s="1">
        <v>2524.4290000000001</v>
      </c>
      <c r="E209" s="1">
        <v>3172.5349999999999</v>
      </c>
      <c r="F209" s="1">
        <v>2167.652</v>
      </c>
      <c r="G209" s="1">
        <v>2747.221</v>
      </c>
      <c r="H209" s="1">
        <v>-579.56899999999996</v>
      </c>
      <c r="I209" s="1">
        <v>85.689659134187806</v>
      </c>
      <c r="J209" s="1">
        <v>132719.66666666701</v>
      </c>
      <c r="K209" s="1">
        <v>313258</v>
      </c>
      <c r="L209" s="1">
        <v>51231.5790817792</v>
      </c>
      <c r="M209" s="1">
        <v>34897.202944537697</v>
      </c>
      <c r="N209" s="1">
        <v>8058.6257972661497</v>
      </c>
      <c r="O209" s="1">
        <v>10127.546622911501</v>
      </c>
      <c r="P209" s="1">
        <v>6919.7019708993903</v>
      </c>
      <c r="Q209" s="1">
        <v>8769.8350880105208</v>
      </c>
      <c r="R209" s="1">
        <v>-1850.1331171111401</v>
      </c>
    </row>
    <row r="210" spans="1:18" x14ac:dyDescent="0.25">
      <c r="A210" s="1" t="s">
        <v>225</v>
      </c>
      <c r="B210" s="1">
        <v>16179.968000000001</v>
      </c>
      <c r="C210" s="1">
        <v>11010.694</v>
      </c>
      <c r="D210" s="1">
        <v>2577.1570000000002</v>
      </c>
      <c r="E210" s="1">
        <v>3158.9389999999999</v>
      </c>
      <c r="F210" s="1">
        <v>2194.087</v>
      </c>
      <c r="G210" s="1">
        <v>2760.748</v>
      </c>
      <c r="H210" s="1">
        <v>-566.66099999999994</v>
      </c>
      <c r="I210" s="1">
        <v>87.441820053732897</v>
      </c>
      <c r="J210" s="1">
        <v>133502.66666666701</v>
      </c>
      <c r="K210" s="1">
        <v>313813</v>
      </c>
      <c r="L210" s="1">
        <v>51559.266187187903</v>
      </c>
      <c r="M210" s="1">
        <v>35086.800100696899</v>
      </c>
      <c r="N210" s="1">
        <v>8212.3971919582691</v>
      </c>
      <c r="O210" s="1">
        <v>10066.3101911011</v>
      </c>
      <c r="P210" s="1">
        <v>6991.7020646053497</v>
      </c>
      <c r="Q210" s="1">
        <v>8797.4303167810103</v>
      </c>
      <c r="R210" s="1">
        <v>-1805.7282521756599</v>
      </c>
    </row>
    <row r="211" spans="1:18" x14ac:dyDescent="0.25">
      <c r="A211" s="1" t="s">
        <v>226</v>
      </c>
      <c r="B211" s="1">
        <v>16253.726000000001</v>
      </c>
      <c r="C211" s="1">
        <v>11030.026</v>
      </c>
      <c r="D211" s="1">
        <v>2636.4949999999999</v>
      </c>
      <c r="E211" s="1">
        <v>3142.4180000000001</v>
      </c>
      <c r="F211" s="1">
        <v>2215.7530000000002</v>
      </c>
      <c r="G211" s="1">
        <v>2771.011</v>
      </c>
      <c r="H211" s="1">
        <v>-555.25800000000004</v>
      </c>
      <c r="I211" s="1">
        <v>88.762352314727394</v>
      </c>
      <c r="J211" s="1">
        <v>133923</v>
      </c>
      <c r="K211" s="1">
        <v>314373</v>
      </c>
      <c r="L211" s="1">
        <v>51702.0418420157</v>
      </c>
      <c r="M211" s="1">
        <v>35085.792991128401</v>
      </c>
      <c r="N211" s="1">
        <v>8386.5185623447305</v>
      </c>
      <c r="O211" s="1">
        <v>9995.8266136086804</v>
      </c>
      <c r="P211" s="1">
        <v>7048.1657139767103</v>
      </c>
      <c r="Q211" s="1">
        <v>8814.4051811065201</v>
      </c>
      <c r="R211" s="1">
        <v>-1766.23946712981</v>
      </c>
    </row>
    <row r="212" spans="1:18" x14ac:dyDescent="0.25">
      <c r="A212" s="1" t="s">
        <v>227</v>
      </c>
      <c r="B212" s="1">
        <v>16282.151</v>
      </c>
      <c r="C212" s="1">
        <v>11052.368</v>
      </c>
      <c r="D212" s="1">
        <v>2648.4589999999998</v>
      </c>
      <c r="E212" s="1">
        <v>3137.6640000000002</v>
      </c>
      <c r="F212" s="1">
        <v>2229.3530000000001</v>
      </c>
      <c r="G212" s="1">
        <v>2785.8829999999998</v>
      </c>
      <c r="H212" s="1">
        <v>-556.53</v>
      </c>
      <c r="I212" s="1">
        <v>88.587130635346895</v>
      </c>
      <c r="J212" s="1">
        <v>134331.66666666701</v>
      </c>
      <c r="K212" s="1">
        <v>315030</v>
      </c>
      <c r="L212" s="1">
        <v>51684.445925784799</v>
      </c>
      <c r="M212" s="1">
        <v>35083.5412500397</v>
      </c>
      <c r="N212" s="1">
        <v>8407.0056819985402</v>
      </c>
      <c r="O212" s="1">
        <v>9959.8895343300701</v>
      </c>
      <c r="P212" s="1">
        <v>7076.6371456686702</v>
      </c>
      <c r="Q212" s="1">
        <v>8843.2308034155503</v>
      </c>
      <c r="R212" s="1">
        <v>-1766.5936577468799</v>
      </c>
    </row>
    <row r="213" spans="1:18" x14ac:dyDescent="0.25">
      <c r="A213" s="1" t="s">
        <v>228</v>
      </c>
      <c r="B213" s="1">
        <v>16300.035</v>
      </c>
      <c r="C213" s="1">
        <v>11096.365</v>
      </c>
      <c r="D213" s="1">
        <v>2624.9050000000002</v>
      </c>
      <c r="E213" s="1">
        <v>3106.86</v>
      </c>
      <c r="F213" s="1">
        <v>2231.607</v>
      </c>
      <c r="G213" s="1">
        <v>2759.627</v>
      </c>
      <c r="H213" s="1">
        <v>-528.02</v>
      </c>
      <c r="I213" s="1">
        <v>89.6272858596286</v>
      </c>
      <c r="J213" s="1">
        <v>134860</v>
      </c>
      <c r="K213" s="1">
        <v>315685</v>
      </c>
      <c r="L213" s="1">
        <v>51633.859701918103</v>
      </c>
      <c r="M213" s="1">
        <v>35150.117997370799</v>
      </c>
      <c r="N213" s="1">
        <v>8314.9500293013607</v>
      </c>
      <c r="O213" s="1">
        <v>9841.6459445333203</v>
      </c>
      <c r="P213" s="1">
        <v>7069.0941919951902</v>
      </c>
      <c r="Q213" s="1">
        <v>8741.7108826836902</v>
      </c>
      <c r="R213" s="1">
        <v>-1672.6166906885001</v>
      </c>
    </row>
    <row r="214" spans="1:18" x14ac:dyDescent="0.25">
      <c r="A214" s="1" t="s">
        <v>229</v>
      </c>
      <c r="B214" s="1">
        <v>16441.485000000001</v>
      </c>
      <c r="C214" s="1">
        <v>11155.481</v>
      </c>
      <c r="D214" s="1">
        <v>2722.7779999999998</v>
      </c>
      <c r="E214" s="1">
        <v>3078.855</v>
      </c>
      <c r="F214" s="1">
        <v>2242.308</v>
      </c>
      <c r="G214" s="1">
        <v>2757.2649999999999</v>
      </c>
      <c r="H214" s="1">
        <v>-514.95699999999999</v>
      </c>
      <c r="I214" s="1">
        <v>90.494761683360096</v>
      </c>
      <c r="J214" s="1">
        <v>135499.33333333299</v>
      </c>
      <c r="K214" s="1">
        <v>316196</v>
      </c>
      <c r="L214" s="1">
        <v>51997.764045085998</v>
      </c>
      <c r="M214" s="1">
        <v>35280.272362711701</v>
      </c>
      <c r="N214" s="1">
        <v>8611.0450480082</v>
      </c>
      <c r="O214" s="1">
        <v>9737.1725132512802</v>
      </c>
      <c r="P214" s="1">
        <v>7091.5128591127004</v>
      </c>
      <c r="Q214" s="1">
        <v>8720.1134739212393</v>
      </c>
      <c r="R214" s="1">
        <v>-1628.6006148085401</v>
      </c>
    </row>
    <row r="215" spans="1:18" x14ac:dyDescent="0.25">
      <c r="A215" s="1" t="s">
        <v>230</v>
      </c>
      <c r="B215" s="1">
        <v>16464.401999999998</v>
      </c>
      <c r="C215" s="1">
        <v>11172.647000000001</v>
      </c>
      <c r="D215" s="1">
        <v>2753.2370000000001</v>
      </c>
      <c r="E215" s="1">
        <v>3073.6770000000001</v>
      </c>
      <c r="F215" s="1">
        <v>2262.5239999999999</v>
      </c>
      <c r="G215" s="1">
        <v>2797.3</v>
      </c>
      <c r="H215" s="1">
        <v>-534.77599999999995</v>
      </c>
      <c r="I215" s="1">
        <v>91.012241142410701</v>
      </c>
      <c r="J215" s="1">
        <v>136078.66666666701</v>
      </c>
      <c r="K215" s="1">
        <v>316733</v>
      </c>
      <c r="L215" s="1">
        <v>51981.959568469298</v>
      </c>
      <c r="M215" s="1">
        <v>35274.654046152398</v>
      </c>
      <c r="N215" s="1">
        <v>8692.6117581685503</v>
      </c>
      <c r="O215" s="1">
        <v>9704.3156223064907</v>
      </c>
      <c r="P215" s="1">
        <v>7143.3162947971996</v>
      </c>
      <c r="Q215" s="1">
        <v>8831.7289325709698</v>
      </c>
      <c r="R215" s="1">
        <v>-1688.41263777377</v>
      </c>
    </row>
    <row r="216" spans="1:18" x14ac:dyDescent="0.25">
      <c r="A216" s="1" t="s">
        <v>231</v>
      </c>
      <c r="B216" s="1">
        <v>16594.742999999999</v>
      </c>
      <c r="C216" s="1">
        <v>11214.416999999999</v>
      </c>
      <c r="D216" s="1">
        <v>2859.7510000000002</v>
      </c>
      <c r="E216" s="1">
        <v>3057.212</v>
      </c>
      <c r="F216" s="1">
        <v>2281.9789999999998</v>
      </c>
      <c r="G216" s="1">
        <v>2817.3989999999999</v>
      </c>
      <c r="H216" s="1">
        <v>-535.41999999999996</v>
      </c>
      <c r="I216" s="1">
        <v>92.355709787137897</v>
      </c>
      <c r="J216" s="1">
        <v>136615</v>
      </c>
      <c r="K216" s="1">
        <v>317396</v>
      </c>
      <c r="L216" s="1">
        <v>52284.033195125303</v>
      </c>
      <c r="M216" s="1">
        <v>35332.571929072801</v>
      </c>
      <c r="N216" s="1">
        <v>9010.0410843236805</v>
      </c>
      <c r="O216" s="1">
        <v>9632.1692774956191</v>
      </c>
      <c r="P216" s="1">
        <v>7189.69048129151</v>
      </c>
      <c r="Q216" s="1">
        <v>8876.6052502236998</v>
      </c>
      <c r="R216" s="1">
        <v>-1686.9147689321901</v>
      </c>
    </row>
    <row r="217" spans="1:18" x14ac:dyDescent="0.25">
      <c r="A217" s="1" t="s">
        <v>232</v>
      </c>
      <c r="B217" s="1">
        <v>16712.759999999998</v>
      </c>
      <c r="C217" s="1">
        <v>11304.3</v>
      </c>
      <c r="D217" s="1">
        <v>2870.127</v>
      </c>
      <c r="E217" s="1">
        <v>3033.1179999999999</v>
      </c>
      <c r="F217" s="1">
        <v>2347.5790000000002</v>
      </c>
      <c r="G217" s="1">
        <v>2839.6709999999998</v>
      </c>
      <c r="H217" s="1">
        <v>-492.09199999999998</v>
      </c>
      <c r="I217" s="1">
        <v>93.203015003007096</v>
      </c>
      <c r="J217" s="1">
        <v>137240.33333333299</v>
      </c>
      <c r="K217" s="1">
        <v>318072</v>
      </c>
      <c r="L217" s="1">
        <v>52543.952312683898</v>
      </c>
      <c r="M217" s="1">
        <v>35540.066400060401</v>
      </c>
      <c r="N217" s="1">
        <v>9023.5135441032198</v>
      </c>
      <c r="O217" s="1">
        <v>9535.9478357101507</v>
      </c>
      <c r="P217" s="1">
        <v>7380.6528081692204</v>
      </c>
      <c r="Q217" s="1">
        <v>8927.7616388742208</v>
      </c>
      <c r="R217" s="1">
        <v>-1547.1088307049999</v>
      </c>
    </row>
    <row r="218" spans="1:18" x14ac:dyDescent="0.25">
      <c r="A218" s="1" t="s">
        <v>233</v>
      </c>
      <c r="B218" s="1">
        <v>16654.246999999999</v>
      </c>
      <c r="C218" s="1">
        <v>11347.636</v>
      </c>
      <c r="D218" s="1">
        <v>2838.2869999999998</v>
      </c>
      <c r="E218" s="1">
        <v>3020.58</v>
      </c>
      <c r="F218" s="1">
        <v>2324.808</v>
      </c>
      <c r="G218" s="1">
        <v>2876.337</v>
      </c>
      <c r="H218" s="1">
        <v>-551.529</v>
      </c>
      <c r="I218" s="1">
        <v>93.546334393617201</v>
      </c>
      <c r="J218" s="1">
        <v>137748.33333333299</v>
      </c>
      <c r="K218" s="1">
        <v>318645</v>
      </c>
      <c r="L218" s="1">
        <v>52265.835020163497</v>
      </c>
      <c r="M218" s="1">
        <v>35612.157730389597</v>
      </c>
      <c r="N218" s="1">
        <v>8907.3639944138504</v>
      </c>
      <c r="O218" s="1">
        <v>9479.4520547945194</v>
      </c>
      <c r="P218" s="1">
        <v>7295.9186555571296</v>
      </c>
      <c r="Q218" s="1">
        <v>9026.77587911312</v>
      </c>
      <c r="R218" s="1">
        <v>-1730.857223556</v>
      </c>
    </row>
    <row r="219" spans="1:18" x14ac:dyDescent="0.25">
      <c r="A219" s="1" t="s">
        <v>234</v>
      </c>
      <c r="B219" s="1">
        <v>16868.109</v>
      </c>
      <c r="C219" s="1">
        <v>11453.013999999999</v>
      </c>
      <c r="D219" s="1">
        <v>2958.0680000000002</v>
      </c>
      <c r="E219" s="1">
        <v>3024.424</v>
      </c>
      <c r="F219" s="1">
        <v>2375.1210000000001</v>
      </c>
      <c r="G219" s="1">
        <v>2941.8389999999999</v>
      </c>
      <c r="H219" s="1">
        <v>-566.71799999999996</v>
      </c>
      <c r="I219" s="1">
        <v>96.042489022279398</v>
      </c>
      <c r="J219" s="1">
        <v>138544</v>
      </c>
      <c r="K219" s="1">
        <v>319228</v>
      </c>
      <c r="L219" s="1">
        <v>52840.317891914201</v>
      </c>
      <c r="M219" s="1">
        <v>35877.222549400401</v>
      </c>
      <c r="N219" s="1">
        <v>9266.3174909469108</v>
      </c>
      <c r="O219" s="1">
        <v>9474.1814627789499</v>
      </c>
      <c r="P219" s="1">
        <v>7440.20261380581</v>
      </c>
      <c r="Q219" s="1">
        <v>9215.4792186149098</v>
      </c>
      <c r="R219" s="1">
        <v>-1775.2766048091</v>
      </c>
    </row>
    <row r="220" spans="1:18" x14ac:dyDescent="0.25">
      <c r="A220" s="1" t="s">
        <v>235</v>
      </c>
      <c r="B220" s="1">
        <v>17064.616000000002</v>
      </c>
      <c r="C220" s="1">
        <v>11565.682000000001</v>
      </c>
      <c r="D220" s="1">
        <v>3018.5819999999999</v>
      </c>
      <c r="E220" s="1">
        <v>3044.694</v>
      </c>
      <c r="F220" s="1">
        <v>2384.779</v>
      </c>
      <c r="G220" s="1">
        <v>2947.3519999999999</v>
      </c>
      <c r="H220" s="1">
        <v>-562.57299999999998</v>
      </c>
      <c r="I220" s="1">
        <v>97.616466926663605</v>
      </c>
      <c r="J220" s="1">
        <v>139299</v>
      </c>
      <c r="K220" s="1">
        <v>319919</v>
      </c>
      <c r="L220" s="1">
        <v>53340.426795532599</v>
      </c>
      <c r="M220" s="1">
        <v>36151.907201510403</v>
      </c>
      <c r="N220" s="1">
        <v>9435.4571000784599</v>
      </c>
      <c r="O220" s="1">
        <v>9517.0777603080805</v>
      </c>
      <c r="P220" s="1">
        <v>7454.3212500664204</v>
      </c>
      <c r="Q220" s="1">
        <v>9212.8069917697903</v>
      </c>
      <c r="R220" s="1">
        <v>-1758.48574170337</v>
      </c>
    </row>
    <row r="221" spans="1:18" x14ac:dyDescent="0.25">
      <c r="A221" s="1" t="s">
        <v>236</v>
      </c>
      <c r="B221" s="1">
        <v>17141.235000000001</v>
      </c>
      <c r="C221" s="1">
        <v>11694.916999999999</v>
      </c>
      <c r="D221" s="1">
        <v>3021.857</v>
      </c>
      <c r="E221" s="1">
        <v>3043.2150000000001</v>
      </c>
      <c r="F221" s="1">
        <v>2404.4299999999998</v>
      </c>
      <c r="G221" s="1">
        <v>3024.6819999999998</v>
      </c>
      <c r="H221" s="1">
        <v>-620.25199999999995</v>
      </c>
      <c r="I221" s="1">
        <v>98.703472717960807</v>
      </c>
      <c r="J221" s="1">
        <v>140086.66666666701</v>
      </c>
      <c r="K221" s="1">
        <v>320611</v>
      </c>
      <c r="L221" s="1">
        <v>53464.276022968697</v>
      </c>
      <c r="M221" s="1">
        <v>36476.9674153413</v>
      </c>
      <c r="N221" s="1">
        <v>9425.3066800577708</v>
      </c>
      <c r="O221" s="1">
        <v>9491.9232340749404</v>
      </c>
      <c r="P221" s="1">
        <v>7499.5243457024199</v>
      </c>
      <c r="Q221" s="1">
        <v>9434.1179809800706</v>
      </c>
      <c r="R221" s="1">
        <v>-1934.59363527764</v>
      </c>
    </row>
    <row r="222" spans="1:18" x14ac:dyDescent="0.25">
      <c r="A222" s="1" t="s">
        <v>237</v>
      </c>
      <c r="B222" s="1">
        <v>17280.647000000001</v>
      </c>
      <c r="C222" s="1">
        <v>11772.949000000001</v>
      </c>
      <c r="D222" s="1">
        <v>3127.2739999999999</v>
      </c>
      <c r="E222" s="1">
        <v>3058.973</v>
      </c>
      <c r="F222" s="1">
        <v>2384.8429999999998</v>
      </c>
      <c r="G222" s="1">
        <v>3068.49</v>
      </c>
      <c r="H222" s="1">
        <v>-683.64700000000005</v>
      </c>
      <c r="I222" s="1">
        <v>98.804968311262598</v>
      </c>
      <c r="J222" s="1">
        <v>140771.66666666701</v>
      </c>
      <c r="K222" s="1">
        <v>321168</v>
      </c>
      <c r="L222" s="1">
        <v>53805.631320679502</v>
      </c>
      <c r="M222" s="1">
        <v>36656.6687839386</v>
      </c>
      <c r="N222" s="1">
        <v>9737.1905046579996</v>
      </c>
      <c r="O222" s="1">
        <v>9524.5261047177792</v>
      </c>
      <c r="P222" s="1">
        <v>7425.5311861704804</v>
      </c>
      <c r="Q222" s="1">
        <v>9554.15857121507</v>
      </c>
      <c r="R222" s="1">
        <v>-2128.62738504459</v>
      </c>
    </row>
    <row r="223" spans="1:18" x14ac:dyDescent="0.25">
      <c r="A223" s="1" t="s">
        <v>238</v>
      </c>
      <c r="B223" s="1">
        <v>17380.875</v>
      </c>
      <c r="C223" s="1">
        <v>11852.652</v>
      </c>
      <c r="D223" s="1">
        <v>3136.6880000000001</v>
      </c>
      <c r="E223" s="1">
        <v>3085.0889999999999</v>
      </c>
      <c r="F223" s="1">
        <v>2391.145</v>
      </c>
      <c r="G223" s="1">
        <v>3091.0830000000001</v>
      </c>
      <c r="H223" s="1">
        <v>-699.93799999999999</v>
      </c>
      <c r="I223" s="1">
        <v>99.990592171471405</v>
      </c>
      <c r="J223" s="1">
        <v>141479</v>
      </c>
      <c r="K223" s="1">
        <v>321744</v>
      </c>
      <c r="L223" s="1">
        <v>54020.820901089101</v>
      </c>
      <c r="M223" s="1">
        <v>36838.766224078798</v>
      </c>
      <c r="N223" s="1">
        <v>9749.0178527027692</v>
      </c>
      <c r="O223" s="1">
        <v>9588.6450096971494</v>
      </c>
      <c r="P223" s="1">
        <v>7431.8246804913197</v>
      </c>
      <c r="Q223" s="1">
        <v>9607.2747277338494</v>
      </c>
      <c r="R223" s="1">
        <v>-2175.4500472425302</v>
      </c>
    </row>
    <row r="224" spans="1:18" x14ac:dyDescent="0.25">
      <c r="A224" s="1" t="s">
        <v>239</v>
      </c>
      <c r="B224" s="1">
        <v>17437.080000000002</v>
      </c>
      <c r="C224" s="1">
        <v>11943.043</v>
      </c>
      <c r="D224" s="1">
        <v>3130.3539999999998</v>
      </c>
      <c r="E224" s="1">
        <v>3099.0819999999999</v>
      </c>
      <c r="F224" s="1">
        <v>2371.2049999999999</v>
      </c>
      <c r="G224" s="1">
        <v>3117.7620000000002</v>
      </c>
      <c r="H224" s="1">
        <v>-746.55700000000002</v>
      </c>
      <c r="I224" s="1">
        <v>100.77093208672299</v>
      </c>
      <c r="J224" s="1">
        <v>142128</v>
      </c>
      <c r="K224" s="1">
        <v>322428</v>
      </c>
      <c r="L224" s="1">
        <v>54080.5389110127</v>
      </c>
      <c r="M224" s="1">
        <v>37040.961082784401</v>
      </c>
      <c r="N224" s="1">
        <v>9708.6915528428108</v>
      </c>
      <c r="O224" s="1">
        <v>9611.7024576029398</v>
      </c>
      <c r="P224" s="1">
        <v>7354.2155147816002</v>
      </c>
      <c r="Q224" s="1">
        <v>9669.6378726413295</v>
      </c>
      <c r="R224" s="1">
        <v>-2315.4223578597398</v>
      </c>
    </row>
    <row r="225" spans="1:18" x14ac:dyDescent="0.25">
      <c r="A225" s="1" t="s">
        <v>240</v>
      </c>
      <c r="B225" s="1">
        <v>17462.579000000002</v>
      </c>
      <c r="C225" s="1">
        <v>12003.146000000001</v>
      </c>
      <c r="D225" s="1">
        <v>3092.7069999999999</v>
      </c>
      <c r="E225" s="1">
        <v>3110.2570000000001</v>
      </c>
      <c r="F225" s="1">
        <v>2367.6669999999999</v>
      </c>
      <c r="G225" s="1">
        <v>3124.3560000000002</v>
      </c>
      <c r="H225" s="1">
        <v>-756.68899999999996</v>
      </c>
      <c r="I225" s="1">
        <v>100.433507430543</v>
      </c>
      <c r="J225" s="1">
        <v>142826</v>
      </c>
      <c r="K225" s="1">
        <v>323110</v>
      </c>
      <c r="L225" s="1">
        <v>54045.306551948299</v>
      </c>
      <c r="M225" s="1">
        <v>37148.791433257997</v>
      </c>
      <c r="N225" s="1">
        <v>9571.6845656278092</v>
      </c>
      <c r="O225" s="1">
        <v>9626.0004332889694</v>
      </c>
      <c r="P225" s="1">
        <v>7327.7428739438601</v>
      </c>
      <c r="Q225" s="1">
        <v>9669.6357277707302</v>
      </c>
      <c r="R225" s="1">
        <v>-2341.8928538268701</v>
      </c>
    </row>
    <row r="226" spans="1:18" x14ac:dyDescent="0.25">
      <c r="A226" s="1" t="s">
        <v>241</v>
      </c>
      <c r="B226" s="1">
        <v>17565.465</v>
      </c>
      <c r="C226" s="1">
        <v>12091.178</v>
      </c>
      <c r="D226" s="1">
        <v>3079.4490000000001</v>
      </c>
      <c r="E226" s="1">
        <v>3142.8409999999999</v>
      </c>
      <c r="F226" s="1">
        <v>2360.7049999999999</v>
      </c>
      <c r="G226" s="1">
        <v>3119.9780000000001</v>
      </c>
      <c r="H226" s="1">
        <v>-759.27300000000002</v>
      </c>
      <c r="I226" s="1">
        <v>101.351186276891</v>
      </c>
      <c r="J226" s="1">
        <v>143424.66666666701</v>
      </c>
      <c r="K226" s="1">
        <v>323689</v>
      </c>
      <c r="L226" s="1">
        <v>54266.487276367101</v>
      </c>
      <c r="M226" s="1">
        <v>37354.306139535198</v>
      </c>
      <c r="N226" s="1">
        <v>9513.6041076465408</v>
      </c>
      <c r="O226" s="1">
        <v>9709.4464130693395</v>
      </c>
      <c r="P226" s="1">
        <v>7293.1270447868201</v>
      </c>
      <c r="Q226" s="1">
        <v>9638.8137996657297</v>
      </c>
      <c r="R226" s="1">
        <v>-2345.6867548789101</v>
      </c>
    </row>
    <row r="227" spans="1:18" x14ac:dyDescent="0.25">
      <c r="A227" s="1" t="s">
        <v>242</v>
      </c>
      <c r="B227" s="1">
        <v>17618.580999999998</v>
      </c>
      <c r="C227" s="1">
        <v>12152.627</v>
      </c>
      <c r="D227" s="1">
        <v>3063.3330000000001</v>
      </c>
      <c r="E227" s="1">
        <v>3137.91</v>
      </c>
      <c r="F227" s="1">
        <v>2378.6120000000001</v>
      </c>
      <c r="G227" s="1">
        <v>3123.2449999999999</v>
      </c>
      <c r="H227" s="1">
        <v>-744.63300000000004</v>
      </c>
      <c r="I227" s="1">
        <v>101.623601231552</v>
      </c>
      <c r="J227" s="1">
        <v>143969.66666666701</v>
      </c>
      <c r="K227" s="1">
        <v>324265</v>
      </c>
      <c r="L227" s="1">
        <v>54333.896658597099</v>
      </c>
      <c r="M227" s="1">
        <v>37477.455167841101</v>
      </c>
      <c r="N227" s="1">
        <v>9447.0047646215298</v>
      </c>
      <c r="O227" s="1">
        <v>9676.9925832266799</v>
      </c>
      <c r="P227" s="1">
        <v>7335.3954327479096</v>
      </c>
      <c r="Q227" s="1">
        <v>9631.7672274220204</v>
      </c>
      <c r="R227" s="1">
        <v>-2296.3717946741099</v>
      </c>
    </row>
    <row r="228" spans="1:18" x14ac:dyDescent="0.25">
      <c r="A228" s="1" t="s">
        <v>243</v>
      </c>
      <c r="B228" s="1">
        <v>17724.489000000001</v>
      </c>
      <c r="C228" s="1">
        <v>12223.822</v>
      </c>
      <c r="D228" s="1">
        <v>3069.2979999999998</v>
      </c>
      <c r="E228" s="1">
        <v>3153.8939999999998</v>
      </c>
      <c r="F228" s="1">
        <v>2415.5520000000001</v>
      </c>
      <c r="G228" s="1">
        <v>3145.9769999999999</v>
      </c>
      <c r="H228" s="1">
        <v>-730.42499999999995</v>
      </c>
      <c r="I228" s="1">
        <v>102.359884292789</v>
      </c>
      <c r="J228" s="1">
        <v>144713.33333333299</v>
      </c>
      <c r="K228" s="1">
        <v>324926</v>
      </c>
      <c r="L228" s="1">
        <v>54549.3096889753</v>
      </c>
      <c r="M228" s="1">
        <v>37620.325858810902</v>
      </c>
      <c r="N228" s="1">
        <v>9446.1446606304198</v>
      </c>
      <c r="O228" s="1">
        <v>9706.4993260003794</v>
      </c>
      <c r="P228" s="1">
        <v>7434.1603934434297</v>
      </c>
      <c r="Q228" s="1">
        <v>9682.1337781525599</v>
      </c>
      <c r="R228" s="1">
        <v>-2247.9733847091302</v>
      </c>
    </row>
    <row r="229" spans="1:18" x14ac:dyDescent="0.25">
      <c r="A229" s="1" t="s">
        <v>244</v>
      </c>
      <c r="B229" s="1">
        <v>17812.560000000001</v>
      </c>
      <c r="C229" s="1">
        <v>12283.075999999999</v>
      </c>
      <c r="D229" s="1">
        <v>3147.576</v>
      </c>
      <c r="E229" s="1">
        <v>3160.471</v>
      </c>
      <c r="F229" s="1">
        <v>2398.5520000000001</v>
      </c>
      <c r="G229" s="1">
        <v>3192.5250000000001</v>
      </c>
      <c r="H229" s="1">
        <v>-793.97299999999996</v>
      </c>
      <c r="I229" s="1">
        <v>103.17768789937401</v>
      </c>
      <c r="J229" s="1">
        <v>145222</v>
      </c>
      <c r="K229" s="1">
        <v>325557</v>
      </c>
      <c r="L229" s="1">
        <v>54714.105364037598</v>
      </c>
      <c r="M229" s="1">
        <v>37729.417582788898</v>
      </c>
      <c r="N229" s="1">
        <v>9668.2792874980405</v>
      </c>
      <c r="O229" s="1">
        <v>9707.8883267753408</v>
      </c>
      <c r="P229" s="1">
        <v>7367.5331815933896</v>
      </c>
      <c r="Q229" s="1">
        <v>9806.3472755922903</v>
      </c>
      <c r="R229" s="1">
        <v>-2438.8140939988998</v>
      </c>
    </row>
    <row r="230" spans="1:18" x14ac:dyDescent="0.25">
      <c r="A230" s="1" t="s">
        <v>245</v>
      </c>
      <c r="B230" s="1">
        <v>17889.094000000001</v>
      </c>
      <c r="C230" s="1">
        <v>12369.906999999999</v>
      </c>
      <c r="D230" s="1">
        <v>3131.9169999999999</v>
      </c>
      <c r="E230" s="1">
        <v>3152.232</v>
      </c>
      <c r="F230" s="1">
        <v>2460.7539999999999</v>
      </c>
      <c r="G230" s="1">
        <v>3241.8359999999998</v>
      </c>
      <c r="H230" s="1">
        <v>-781.08199999999999</v>
      </c>
      <c r="I230" s="1">
        <v>104.42371183465001</v>
      </c>
      <c r="J230" s="1">
        <v>145819.66666666701</v>
      </c>
      <c r="K230" s="1">
        <v>326053</v>
      </c>
      <c r="L230" s="1">
        <v>54865.601604647098</v>
      </c>
      <c r="M230" s="1">
        <v>37938.332111650598</v>
      </c>
      <c r="N230" s="1">
        <v>9605.5457241614095</v>
      </c>
      <c r="O230" s="1">
        <v>9667.8515456076202</v>
      </c>
      <c r="P230" s="1">
        <v>7547.0981711562199</v>
      </c>
      <c r="Q230" s="1">
        <v>9942.6657629281108</v>
      </c>
      <c r="R230" s="1">
        <v>-2395.56759177189</v>
      </c>
    </row>
    <row r="231" spans="1:18" x14ac:dyDescent="0.25">
      <c r="A231" s="1" t="s">
        <v>246</v>
      </c>
      <c r="B231" s="1">
        <v>17979.218000000001</v>
      </c>
      <c r="C231" s="1">
        <v>12419.406999999999</v>
      </c>
      <c r="D231" s="1">
        <v>3187.7809999999999</v>
      </c>
      <c r="E231" s="1">
        <v>3157.8739999999998</v>
      </c>
      <c r="F231" s="1">
        <v>2468.9459999999999</v>
      </c>
      <c r="G231" s="1">
        <v>3273.4029999999998</v>
      </c>
      <c r="H231" s="1">
        <v>-804.45699999999999</v>
      </c>
      <c r="I231" s="1">
        <v>105.454815428811</v>
      </c>
      <c r="J231" s="1">
        <v>146383</v>
      </c>
      <c r="K231" s="1">
        <v>326554</v>
      </c>
      <c r="L231" s="1">
        <v>55057.411637891397</v>
      </c>
      <c r="M231" s="1">
        <v>38031.709916277301</v>
      </c>
      <c r="N231" s="1">
        <v>9761.8801178365593</v>
      </c>
      <c r="O231" s="1">
        <v>9670.2964900138995</v>
      </c>
      <c r="P231" s="1">
        <v>7560.6055966241402</v>
      </c>
      <c r="Q231" s="1">
        <v>10024.0787128622</v>
      </c>
      <c r="R231" s="1">
        <v>-2463.4731162380499</v>
      </c>
    </row>
    <row r="232" spans="1:18" x14ac:dyDescent="0.25">
      <c r="A232" s="1" t="s">
        <v>247</v>
      </c>
      <c r="B232" s="1">
        <v>18127.993999999999</v>
      </c>
      <c r="C232" s="1">
        <v>12493.466</v>
      </c>
      <c r="D232" s="1">
        <v>3250.8249999999998</v>
      </c>
      <c r="E232" s="1">
        <v>3157.0859999999998</v>
      </c>
      <c r="F232" s="1">
        <v>2483.4670000000001</v>
      </c>
      <c r="G232" s="1">
        <v>3270.7570000000001</v>
      </c>
      <c r="H232" s="1">
        <v>-787.29</v>
      </c>
      <c r="I232" s="1">
        <v>105.98106714668199</v>
      </c>
      <c r="J232" s="1">
        <v>146892.66666666701</v>
      </c>
      <c r="K232" s="1">
        <v>327140</v>
      </c>
      <c r="L232" s="1">
        <v>55413.566057345502</v>
      </c>
      <c r="M232" s="1">
        <v>38189.967597970302</v>
      </c>
      <c r="N232" s="1">
        <v>9937.1064376108097</v>
      </c>
      <c r="O232" s="1">
        <v>9650.56550712233</v>
      </c>
      <c r="P232" s="1">
        <v>7591.4501436693799</v>
      </c>
      <c r="Q232" s="1">
        <v>9998.0344806504909</v>
      </c>
      <c r="R232" s="1">
        <v>-2406.58433698111</v>
      </c>
    </row>
    <row r="233" spans="1:18" x14ac:dyDescent="0.25">
      <c r="A233" s="1" t="s">
        <v>248</v>
      </c>
      <c r="B233" s="1">
        <v>18310.3</v>
      </c>
      <c r="C233" s="1">
        <v>12630.132</v>
      </c>
      <c r="D233" s="1">
        <v>3293.4409999999998</v>
      </c>
      <c r="E233" s="1">
        <v>3181.9989999999998</v>
      </c>
      <c r="F233" s="1">
        <v>2547.9969999999998</v>
      </c>
      <c r="G233" s="1">
        <v>3362.9569999999999</v>
      </c>
      <c r="H233" s="1">
        <v>-814.96</v>
      </c>
      <c r="I233" s="1">
        <v>108.345414395989</v>
      </c>
      <c r="J233" s="1">
        <v>147348.33333333299</v>
      </c>
      <c r="K233" s="1">
        <v>327692</v>
      </c>
      <c r="L233" s="1">
        <v>55876.554813666502</v>
      </c>
      <c r="M233" s="1">
        <v>38542.692528349799</v>
      </c>
      <c r="N233" s="1">
        <v>10050.416244522299</v>
      </c>
      <c r="O233" s="1">
        <v>9710.3347045396295</v>
      </c>
      <c r="P233" s="1">
        <v>7775.5850005493003</v>
      </c>
      <c r="Q233" s="1">
        <v>10262.5544718821</v>
      </c>
      <c r="R233" s="1">
        <v>-2486.9694713328399</v>
      </c>
    </row>
    <row r="234" spans="1:18" x14ac:dyDescent="0.25">
      <c r="A234" s="1" t="s">
        <v>249</v>
      </c>
      <c r="B234" s="1">
        <v>18437.127</v>
      </c>
      <c r="C234" s="1">
        <v>12713.156000000001</v>
      </c>
      <c r="D234" s="1">
        <v>3342.884</v>
      </c>
      <c r="E234" s="1">
        <v>3187.7139999999999</v>
      </c>
      <c r="F234" s="1">
        <v>2564.6610000000001</v>
      </c>
      <c r="G234" s="1">
        <v>3391.2579999999998</v>
      </c>
      <c r="H234" s="1">
        <v>-826.59699999999998</v>
      </c>
      <c r="I234" s="1">
        <v>109.542576290889</v>
      </c>
      <c r="J234" s="1">
        <v>148003</v>
      </c>
      <c r="K234" s="1">
        <v>328091</v>
      </c>
      <c r="L234" s="1">
        <v>56195.162317771603</v>
      </c>
      <c r="M234" s="1">
        <v>38748.871502113703</v>
      </c>
      <c r="N234" s="1">
        <v>10188.8927157405</v>
      </c>
      <c r="O234" s="1">
        <v>9715.9446616944697</v>
      </c>
      <c r="P234" s="1">
        <v>7816.9196960599402</v>
      </c>
      <c r="Q234" s="1">
        <v>10336.333517225399</v>
      </c>
      <c r="R234" s="1">
        <v>-2519.4138211654699</v>
      </c>
    </row>
    <row r="235" spans="1:18" x14ac:dyDescent="0.25">
      <c r="A235" s="1" t="s">
        <v>250</v>
      </c>
      <c r="B235" s="1">
        <v>18565.697</v>
      </c>
      <c r="C235" s="1">
        <v>12805.609</v>
      </c>
      <c r="D235" s="1">
        <v>3349.047</v>
      </c>
      <c r="E235" s="1">
        <v>3210.0369999999998</v>
      </c>
      <c r="F235" s="1">
        <v>2578.61</v>
      </c>
      <c r="G235" s="1">
        <v>3395.2829999999999</v>
      </c>
      <c r="H235" s="1">
        <v>-816.673</v>
      </c>
      <c r="I235" s="1">
        <v>111.18603383759201</v>
      </c>
      <c r="J235" s="1">
        <v>148715.66666666701</v>
      </c>
      <c r="K235" s="1">
        <v>328526</v>
      </c>
      <c r="L235" s="1">
        <v>56512.108630671501</v>
      </c>
      <c r="M235" s="1">
        <v>38978.981876624697</v>
      </c>
      <c r="N235" s="1">
        <v>10194.1611927214</v>
      </c>
      <c r="O235" s="1">
        <v>9771.0287770222203</v>
      </c>
      <c r="P235" s="1">
        <v>7849.0286917930398</v>
      </c>
      <c r="Q235" s="1">
        <v>10334.898912110501</v>
      </c>
      <c r="R235" s="1">
        <v>-2485.8702203174198</v>
      </c>
    </row>
    <row r="236" spans="1:18" x14ac:dyDescent="0.25">
      <c r="A236" s="1" t="s">
        <v>251</v>
      </c>
      <c r="B236" s="1">
        <v>18699.748</v>
      </c>
      <c r="C236" s="1">
        <v>12887.074000000001</v>
      </c>
      <c r="D236" s="1">
        <v>3453.0590000000002</v>
      </c>
      <c r="E236" s="1">
        <v>3231.3359999999998</v>
      </c>
      <c r="F236" s="1">
        <v>2544.5520000000001</v>
      </c>
      <c r="G236" s="1">
        <v>3441.0680000000002</v>
      </c>
      <c r="H236" s="1">
        <v>-896.51599999999996</v>
      </c>
      <c r="I236" s="1">
        <v>111.613052869692</v>
      </c>
      <c r="J236" s="1">
        <v>149218.33333333299</v>
      </c>
      <c r="K236" s="1">
        <v>329040</v>
      </c>
      <c r="L236" s="1">
        <v>56831.230245562903</v>
      </c>
      <c r="M236" s="1">
        <v>39165.675905664997</v>
      </c>
      <c r="N236" s="1">
        <v>10494.344152686601</v>
      </c>
      <c r="O236" s="1">
        <v>9820.4959883296906</v>
      </c>
      <c r="P236" s="1">
        <v>7733.2603938730899</v>
      </c>
      <c r="Q236" s="1">
        <v>10457.9017748602</v>
      </c>
      <c r="R236" s="1">
        <v>-2724.6413809871101</v>
      </c>
    </row>
    <row r="237" spans="1:18" x14ac:dyDescent="0.25">
      <c r="A237" s="1" t="s">
        <v>252</v>
      </c>
      <c r="B237" s="1">
        <v>18733.741000000002</v>
      </c>
      <c r="C237" s="1">
        <v>12943.375</v>
      </c>
      <c r="D237" s="1">
        <v>3450.6080000000002</v>
      </c>
      <c r="E237" s="1">
        <v>3232.3029999999999</v>
      </c>
      <c r="F237" s="1">
        <v>2552.4369999999999</v>
      </c>
      <c r="G237" s="1">
        <v>3474.268</v>
      </c>
      <c r="H237" s="1">
        <v>-921.83100000000002</v>
      </c>
      <c r="I237" s="1">
        <v>111.60992391113101</v>
      </c>
      <c r="J237" s="1">
        <v>149651</v>
      </c>
      <c r="K237" s="1">
        <v>329522</v>
      </c>
      <c r="L237" s="1">
        <v>56851.260310389</v>
      </c>
      <c r="M237" s="1">
        <v>39279.243874460597</v>
      </c>
      <c r="N237" s="1">
        <v>10471.5557686588</v>
      </c>
      <c r="O237" s="1">
        <v>9809.06585903218</v>
      </c>
      <c r="P237" s="1">
        <v>7745.8773617543002</v>
      </c>
      <c r="Q237" s="1">
        <v>10543.3567409763</v>
      </c>
      <c r="R237" s="1">
        <v>-2797.4793792220298</v>
      </c>
    </row>
    <row r="238" spans="1:18" x14ac:dyDescent="0.25">
      <c r="A238" s="1" t="s">
        <v>253</v>
      </c>
      <c r="B238" s="1">
        <v>18835.411</v>
      </c>
      <c r="C238" s="1">
        <v>12955.727000000001</v>
      </c>
      <c r="D238" s="1">
        <v>3484.3490000000002</v>
      </c>
      <c r="E238" s="1">
        <v>3270.9659999999999</v>
      </c>
      <c r="F238" s="1">
        <v>2582.2849999999999</v>
      </c>
      <c r="G238" s="1">
        <v>3485.931</v>
      </c>
      <c r="H238" s="1">
        <v>-903.64599999999996</v>
      </c>
      <c r="I238" s="1">
        <v>112.430577104977</v>
      </c>
      <c r="J238" s="1">
        <v>150175.33333333299</v>
      </c>
      <c r="K238" s="1">
        <v>329868</v>
      </c>
      <c r="L238" s="1">
        <v>57099.842967490004</v>
      </c>
      <c r="M238" s="1">
        <v>39275.488983472198</v>
      </c>
      <c r="N238" s="1">
        <v>10562.858476724001</v>
      </c>
      <c r="O238" s="1">
        <v>9915.9845756484392</v>
      </c>
      <c r="P238" s="1">
        <v>7828.23735554828</v>
      </c>
      <c r="Q238" s="1">
        <v>10567.6543344611</v>
      </c>
      <c r="R238" s="1">
        <v>-2739.41697891278</v>
      </c>
    </row>
    <row r="239" spans="1:18" x14ac:dyDescent="0.25">
      <c r="A239" s="1" t="s">
        <v>254</v>
      </c>
      <c r="B239" s="1">
        <v>18962.174999999999</v>
      </c>
      <c r="C239" s="1">
        <v>13038.853999999999</v>
      </c>
      <c r="D239" s="1">
        <v>3504.855</v>
      </c>
      <c r="E239" s="1">
        <v>3313.8</v>
      </c>
      <c r="F239" s="1">
        <v>2567.2809999999999</v>
      </c>
      <c r="G239" s="1">
        <v>3491.7510000000002</v>
      </c>
      <c r="H239" s="1">
        <v>-924.47</v>
      </c>
      <c r="I239" s="1">
        <v>113.715461588088</v>
      </c>
      <c r="J239" s="1">
        <v>150663.33333333299</v>
      </c>
      <c r="K239" s="1">
        <v>330245</v>
      </c>
      <c r="L239" s="1">
        <v>57418.507471725497</v>
      </c>
      <c r="M239" s="1">
        <v>39482.366122121501</v>
      </c>
      <c r="N239" s="1">
        <v>10612.8934578873</v>
      </c>
      <c r="O239" s="1">
        <v>10034.3684234432</v>
      </c>
      <c r="P239" s="1">
        <v>7773.8678859634501</v>
      </c>
      <c r="Q239" s="1">
        <v>10573.213826098799</v>
      </c>
      <c r="R239" s="1">
        <v>-2799.3459401353598</v>
      </c>
    </row>
    <row r="240" spans="1:18" x14ac:dyDescent="0.25">
      <c r="A240" s="1" t="s">
        <v>255</v>
      </c>
      <c r="B240" s="1">
        <v>19130.932000000001</v>
      </c>
      <c r="C240" s="1">
        <v>13148.857</v>
      </c>
      <c r="D240" s="1">
        <v>3527.1930000000002</v>
      </c>
      <c r="E240" s="1">
        <v>3341.2289999999998</v>
      </c>
      <c r="F240" s="1">
        <v>2567.0100000000002</v>
      </c>
      <c r="G240" s="1">
        <v>3476.3820000000001</v>
      </c>
      <c r="H240" s="1">
        <v>-909.37199999999996</v>
      </c>
      <c r="I240" s="1">
        <v>114.866611029872</v>
      </c>
      <c r="J240" s="1">
        <v>151102.66666666701</v>
      </c>
      <c r="K240" s="1">
        <v>330729</v>
      </c>
      <c r="L240" s="1">
        <v>57844.736929631203</v>
      </c>
      <c r="M240" s="1">
        <v>39757.193956381197</v>
      </c>
      <c r="N240" s="1">
        <v>10664.9038941248</v>
      </c>
      <c r="O240" s="1">
        <v>10102.6187603748</v>
      </c>
      <c r="P240" s="1">
        <v>7761.6719428898004</v>
      </c>
      <c r="Q240" s="1">
        <v>10511.2705568608</v>
      </c>
      <c r="R240" s="1">
        <v>-2749.5986139709598</v>
      </c>
    </row>
    <row r="241" spans="1:18" x14ac:dyDescent="0.25">
      <c r="A241" s="1" t="s">
        <v>256</v>
      </c>
      <c r="B241" s="1">
        <v>19215.690999999999</v>
      </c>
      <c r="C241" s="1">
        <v>13225.609</v>
      </c>
      <c r="D241" s="1">
        <v>3454.3539999999998</v>
      </c>
      <c r="E241" s="1">
        <v>3360.85</v>
      </c>
      <c r="F241" s="1">
        <v>2571.8449999999998</v>
      </c>
      <c r="G241" s="1">
        <v>3404.66</v>
      </c>
      <c r="H241" s="1">
        <v>-832.81500000000005</v>
      </c>
      <c r="I241" s="1">
        <v>114.63409029685501</v>
      </c>
      <c r="J241" s="1">
        <v>151624.33333333299</v>
      </c>
      <c r="K241" s="1">
        <v>331208</v>
      </c>
      <c r="L241" s="1">
        <v>58016.989323929403</v>
      </c>
      <c r="M241" s="1">
        <v>39931.429796381701</v>
      </c>
      <c r="N241" s="1">
        <v>10429.560880172001</v>
      </c>
      <c r="O241" s="1">
        <v>10147.2488587232</v>
      </c>
      <c r="P241" s="1">
        <v>7765.0449264510498</v>
      </c>
      <c r="Q241" s="1">
        <v>10279.5222337625</v>
      </c>
      <c r="R241" s="1">
        <v>-2514.4773073114202</v>
      </c>
    </row>
    <row r="242" spans="1:18" x14ac:dyDescent="0.25">
      <c r="A242" s="1" t="s">
        <v>257</v>
      </c>
      <c r="B242" s="1">
        <v>18989.877</v>
      </c>
      <c r="C242" s="1">
        <v>13016.75</v>
      </c>
      <c r="D242" s="1">
        <v>3409.8829999999998</v>
      </c>
      <c r="E242" s="1">
        <v>3387.944</v>
      </c>
      <c r="F242" s="1">
        <v>2467.3040000000001</v>
      </c>
      <c r="G242" s="1">
        <v>3295.4929999999999</v>
      </c>
      <c r="H242" s="1">
        <v>-828.18899999999996</v>
      </c>
      <c r="I242" s="1">
        <v>114.42207541726</v>
      </c>
      <c r="J242" s="1">
        <v>151804.33333333299</v>
      </c>
      <c r="K242" s="1">
        <v>331534</v>
      </c>
      <c r="L242" s="1">
        <v>57278.822081596503</v>
      </c>
      <c r="M242" s="1">
        <v>39262.187286975102</v>
      </c>
      <c r="N242" s="1">
        <v>10285.1683386923</v>
      </c>
      <c r="O242" s="1">
        <v>10218.994130315399</v>
      </c>
      <c r="P242" s="1">
        <v>7442.0843714370203</v>
      </c>
      <c r="Q242" s="1">
        <v>9940.1358533363109</v>
      </c>
      <c r="R242" s="1">
        <v>-2498.0514818992901</v>
      </c>
    </row>
    <row r="243" spans="1:18" x14ac:dyDescent="0.25">
      <c r="A243" s="1" t="s">
        <v>258</v>
      </c>
      <c r="B243" s="1">
        <v>17378.712</v>
      </c>
      <c r="C243" s="1">
        <v>11817.147000000001</v>
      </c>
      <c r="D243" s="1">
        <v>2884.223</v>
      </c>
      <c r="E243" s="1">
        <v>3448.0430000000001</v>
      </c>
      <c r="F243" s="1">
        <v>1951.3679999999999</v>
      </c>
      <c r="G243" s="1">
        <v>2718.6190000000001</v>
      </c>
      <c r="H243" s="1">
        <v>-767.25099999999998</v>
      </c>
      <c r="I243" s="1">
        <v>106.748835353432</v>
      </c>
      <c r="J243" s="1">
        <v>133701.66666666701</v>
      </c>
      <c r="K243" s="1">
        <v>331699</v>
      </c>
      <c r="L243" s="1">
        <v>52393.018972019803</v>
      </c>
      <c r="M243" s="1">
        <v>35626.115845992899</v>
      </c>
      <c r="N243" s="1">
        <v>8695.3020660297407</v>
      </c>
      <c r="O243" s="1">
        <v>10395.0961564551</v>
      </c>
      <c r="P243" s="1">
        <v>5882.9480945073701</v>
      </c>
      <c r="Q243" s="1">
        <v>8196.0421948815001</v>
      </c>
      <c r="R243" s="1">
        <v>-2313.09410037414</v>
      </c>
    </row>
    <row r="244" spans="1:18" x14ac:dyDescent="0.25">
      <c r="A244" s="1" t="s">
        <v>259</v>
      </c>
      <c r="B244" s="1">
        <v>18743.72</v>
      </c>
      <c r="C244" s="1">
        <v>12922.380999999999</v>
      </c>
      <c r="D244" s="1">
        <v>3394.1419999999998</v>
      </c>
      <c r="E244" s="1">
        <v>3395.877</v>
      </c>
      <c r="F244" s="1">
        <v>2193.0329999999999</v>
      </c>
      <c r="G244" s="1">
        <v>3184.18</v>
      </c>
      <c r="H244" s="1">
        <v>-991.14700000000005</v>
      </c>
      <c r="I244" s="1">
        <v>112.459045040451</v>
      </c>
      <c r="J244" s="1">
        <v>140541</v>
      </c>
      <c r="K244" s="1">
        <v>331872</v>
      </c>
      <c r="L244" s="1">
        <v>56478.762896538399</v>
      </c>
      <c r="M244" s="1">
        <v>38937.846519139901</v>
      </c>
      <c r="N244" s="1">
        <v>10227.2623180021</v>
      </c>
      <c r="O244" s="1">
        <v>10232.4902371999</v>
      </c>
      <c r="P244" s="1">
        <v>6608.0687735030397</v>
      </c>
      <c r="Q244" s="1">
        <v>9594.6027384051704</v>
      </c>
      <c r="R244" s="1">
        <v>-2986.5339649021298</v>
      </c>
    </row>
    <row r="245" spans="1:18" x14ac:dyDescent="0.25">
      <c r="A245" s="1" t="s">
        <v>260</v>
      </c>
      <c r="B245" s="1">
        <v>18924.261999999999</v>
      </c>
      <c r="C245" s="1">
        <v>13046.614</v>
      </c>
      <c r="D245" s="1">
        <v>3537.645</v>
      </c>
      <c r="E245" s="1">
        <v>3394.7950000000001</v>
      </c>
      <c r="F245" s="1">
        <v>2315.0329999999999</v>
      </c>
      <c r="G245" s="1">
        <v>3419.0010000000002</v>
      </c>
      <c r="H245" s="1">
        <v>-1103.9680000000001</v>
      </c>
      <c r="I245" s="1">
        <v>116.392481196391</v>
      </c>
      <c r="J245" s="1">
        <v>142565.66666666701</v>
      </c>
      <c r="K245" s="1">
        <v>332045</v>
      </c>
      <c r="L245" s="1">
        <v>56993.064193106402</v>
      </c>
      <c r="M245" s="1">
        <v>39291.704437651497</v>
      </c>
      <c r="N245" s="1">
        <v>10654.1131473144</v>
      </c>
      <c r="O245" s="1">
        <v>10223.9003749492</v>
      </c>
      <c r="P245" s="1">
        <v>6972.0459576262301</v>
      </c>
      <c r="Q245" s="1">
        <v>10296.8001325122</v>
      </c>
      <c r="R245" s="1">
        <v>-3324.7541748859398</v>
      </c>
    </row>
    <row r="246" spans="1:18" x14ac:dyDescent="0.25">
      <c r="A246" s="1" t="s">
        <v>261</v>
      </c>
      <c r="B246" s="1">
        <v>19216.223999999998</v>
      </c>
      <c r="C246" s="1">
        <v>13386.763000000001</v>
      </c>
      <c r="D246" s="1">
        <v>3489.2939999999999</v>
      </c>
      <c r="E246" s="1">
        <v>3448.7429999999999</v>
      </c>
      <c r="F246" s="1">
        <v>2317.5050000000001</v>
      </c>
      <c r="G246" s="1">
        <v>3482.0349999999999</v>
      </c>
      <c r="H246" s="1">
        <v>-1164.53</v>
      </c>
      <c r="I246" s="1">
        <v>118.283042657972</v>
      </c>
      <c r="J246" s="1">
        <v>143613.66666666701</v>
      </c>
      <c r="K246" s="1">
        <v>331989</v>
      </c>
      <c r="L246" s="1">
        <v>57882.1105518556</v>
      </c>
      <c r="M246" s="1">
        <v>40322.911301278102</v>
      </c>
      <c r="N246" s="1">
        <v>10510.2699185816</v>
      </c>
      <c r="O246" s="1">
        <v>10388.124305323399</v>
      </c>
      <c r="P246" s="1">
        <v>6980.6680341818601</v>
      </c>
      <c r="Q246" s="1">
        <v>10488.4047363015</v>
      </c>
      <c r="R246" s="1">
        <v>-3507.7367021196501</v>
      </c>
    </row>
    <row r="247" spans="1:18" x14ac:dyDescent="0.25">
      <c r="A247" s="1" t="s">
        <v>262</v>
      </c>
      <c r="B247" s="1">
        <v>19544.248</v>
      </c>
      <c r="C247" s="1">
        <v>13773.688</v>
      </c>
      <c r="D247" s="1">
        <v>3496.8670000000002</v>
      </c>
      <c r="E247" s="1">
        <v>3422.3629999999998</v>
      </c>
      <c r="F247" s="1">
        <v>2345.1320000000001</v>
      </c>
      <c r="G247" s="1">
        <v>3549.002</v>
      </c>
      <c r="H247" s="1">
        <v>-1203.8699999999999</v>
      </c>
      <c r="I247" s="1">
        <v>119.31970574100301</v>
      </c>
      <c r="J247" s="1">
        <v>145166.33333333299</v>
      </c>
      <c r="K247" s="1">
        <v>332149</v>
      </c>
      <c r="L247" s="1">
        <v>58841.808947189398</v>
      </c>
      <c r="M247" s="1">
        <v>41468.401229568699</v>
      </c>
      <c r="N247" s="1">
        <v>10528.007008902599</v>
      </c>
      <c r="O247" s="1">
        <v>10303.698039133</v>
      </c>
      <c r="P247" s="1">
        <v>7060.4818921628603</v>
      </c>
      <c r="Q247" s="1">
        <v>10684.9696973346</v>
      </c>
      <c r="R247" s="1">
        <v>-3624.4878051717801</v>
      </c>
    </row>
    <row r="248" spans="1:18" x14ac:dyDescent="0.25">
      <c r="A248" s="1" t="s">
        <v>263</v>
      </c>
      <c r="B248" s="1">
        <v>19672.594000000001</v>
      </c>
      <c r="C248" s="1">
        <v>13874.396000000001</v>
      </c>
      <c r="D248" s="1">
        <v>3584.05</v>
      </c>
      <c r="E248" s="1">
        <v>3421.0459999999998</v>
      </c>
      <c r="F248" s="1">
        <v>2338.8249999999998</v>
      </c>
      <c r="G248" s="1">
        <v>3606.2829999999999</v>
      </c>
      <c r="H248" s="1">
        <v>-1267.4580000000001</v>
      </c>
      <c r="I248" s="1">
        <v>119.061901905333</v>
      </c>
      <c r="J248" s="1">
        <v>147185.66666666701</v>
      </c>
      <c r="K248" s="1">
        <v>332480</v>
      </c>
      <c r="L248" s="1">
        <v>59169.255293551498</v>
      </c>
      <c r="M248" s="1">
        <v>41730.016843118399</v>
      </c>
      <c r="N248" s="1">
        <v>10779.7461501444</v>
      </c>
      <c r="O248" s="1">
        <v>10289.47906641</v>
      </c>
      <c r="P248" s="1">
        <v>7034.4832771896099</v>
      </c>
      <c r="Q248" s="1">
        <v>10846.6163378248</v>
      </c>
      <c r="R248" s="1">
        <v>-3812.1330606352299</v>
      </c>
    </row>
    <row r="249" spans="1:18" x14ac:dyDescent="0.25">
      <c r="A249" s="1" t="s">
        <v>264</v>
      </c>
      <c r="B249" s="1">
        <v>20006.181</v>
      </c>
      <c r="C249" s="1">
        <v>13981.513999999999</v>
      </c>
      <c r="D249" s="1">
        <v>3841.7710000000002</v>
      </c>
      <c r="E249" s="1">
        <v>3412.8580000000002</v>
      </c>
      <c r="F249" s="1">
        <v>2465.672</v>
      </c>
      <c r="G249" s="1">
        <v>3763.3159999999998</v>
      </c>
      <c r="H249" s="1">
        <v>-1297.644</v>
      </c>
      <c r="I249" s="1">
        <v>119.094113416227</v>
      </c>
      <c r="J249" s="1">
        <v>149158</v>
      </c>
      <c r="K249" s="1">
        <v>332786</v>
      </c>
      <c r="L249" s="1">
        <v>60117.255533586198</v>
      </c>
      <c r="M249" s="1">
        <v>42013.528213326303</v>
      </c>
      <c r="N249" s="1">
        <v>11544.2686891876</v>
      </c>
      <c r="O249" s="1">
        <v>10255.4133887844</v>
      </c>
      <c r="P249" s="1">
        <v>7409.1818766414499</v>
      </c>
      <c r="Q249" s="1">
        <v>11308.5165842313</v>
      </c>
      <c r="R249" s="1">
        <v>-3899.33470758986</v>
      </c>
    </row>
    <row r="250" spans="1:18" x14ac:dyDescent="0.25">
      <c r="A250" s="1" t="s">
        <v>265</v>
      </c>
      <c r="B250" s="1">
        <v>19924.088</v>
      </c>
      <c r="C250" s="1">
        <v>14028.383</v>
      </c>
      <c r="D250" s="1">
        <v>3892.48</v>
      </c>
      <c r="E250" s="1">
        <v>3393.3890000000001</v>
      </c>
      <c r="F250" s="1">
        <v>2436.9340000000002</v>
      </c>
      <c r="G250" s="1">
        <v>3925.6329999999998</v>
      </c>
      <c r="H250" s="1">
        <v>-1488.6990000000001</v>
      </c>
      <c r="I250" s="1">
        <v>119.97650766738001</v>
      </c>
      <c r="J250" s="1">
        <v>150846.66666666701</v>
      </c>
      <c r="K250" s="1">
        <v>332978</v>
      </c>
      <c r="L250" s="1">
        <v>59836.049228477597</v>
      </c>
      <c r="M250" s="1">
        <v>42130.059643580098</v>
      </c>
      <c r="N250" s="1">
        <v>11689.901434929599</v>
      </c>
      <c r="O250" s="1">
        <v>10191.030638660801</v>
      </c>
      <c r="P250" s="1">
        <v>7318.60363147115</v>
      </c>
      <c r="Q250" s="1">
        <v>11789.466571365099</v>
      </c>
      <c r="R250" s="1">
        <v>-4470.8629398939302</v>
      </c>
    </row>
    <row r="251" spans="1:18" x14ac:dyDescent="0.25">
      <c r="A251" s="1" t="s">
        <v>266</v>
      </c>
      <c r="B251" s="1">
        <v>19895.271000000001</v>
      </c>
      <c r="C251" s="1">
        <v>14099.456</v>
      </c>
      <c r="D251" s="1">
        <v>3746.973</v>
      </c>
      <c r="E251" s="1">
        <v>3379.4989999999998</v>
      </c>
      <c r="F251" s="1">
        <v>2516.9279999999999</v>
      </c>
      <c r="G251" s="1">
        <v>3947.4720000000002</v>
      </c>
      <c r="H251" s="1">
        <v>-1430.5440000000001</v>
      </c>
      <c r="I251" s="1">
        <v>118.411022650517</v>
      </c>
      <c r="J251" s="1">
        <v>152044</v>
      </c>
      <c r="K251" s="1">
        <v>333321</v>
      </c>
      <c r="L251" s="1">
        <v>59688.021456793897</v>
      </c>
      <c r="M251" s="1">
        <v>42299.933097524598</v>
      </c>
      <c r="N251" s="1">
        <v>11241.3349293924</v>
      </c>
      <c r="O251" s="1">
        <v>10138.8721382691</v>
      </c>
      <c r="P251" s="1">
        <v>7551.0633893454096</v>
      </c>
      <c r="Q251" s="1">
        <v>11842.8541856049</v>
      </c>
      <c r="R251" s="1">
        <v>-4291.79079625946</v>
      </c>
    </row>
    <row r="252" spans="1:18" x14ac:dyDescent="0.25">
      <c r="A252" s="1" t="s">
        <v>267</v>
      </c>
      <c r="B252" s="1">
        <v>20054.663</v>
      </c>
      <c r="C252" s="1">
        <v>14178.562</v>
      </c>
      <c r="D252" s="1">
        <v>3653.85</v>
      </c>
      <c r="E252" s="1">
        <v>3410.625</v>
      </c>
      <c r="F252" s="1">
        <v>2604.1370000000002</v>
      </c>
      <c r="G252" s="1">
        <v>3872.9079999999999</v>
      </c>
      <c r="H252" s="1">
        <v>-1268.771</v>
      </c>
      <c r="I252" s="1">
        <v>117.889352621966</v>
      </c>
      <c r="J252" s="1">
        <v>153331.33333333299</v>
      </c>
      <c r="K252" s="1">
        <v>333799</v>
      </c>
      <c r="L252" s="1">
        <v>60080.057160147298</v>
      </c>
      <c r="M252" s="1">
        <v>42476.3465438782</v>
      </c>
      <c r="N252" s="1">
        <v>10946.2580774658</v>
      </c>
      <c r="O252" s="1">
        <v>10217.6010113871</v>
      </c>
      <c r="P252" s="1">
        <v>7801.5122873345899</v>
      </c>
      <c r="Q252" s="1">
        <v>11602.515286145301</v>
      </c>
      <c r="R252" s="1">
        <v>-3801.0029988106598</v>
      </c>
    </row>
    <row r="253" spans="1:18" x14ac:dyDescent="0.25">
      <c r="A253" s="1" t="s">
        <v>268</v>
      </c>
      <c r="B253" s="1">
        <v>20182.491000000002</v>
      </c>
      <c r="C253" s="1">
        <v>14214.862999999999</v>
      </c>
      <c r="D253" s="1">
        <v>3694.1280000000002</v>
      </c>
      <c r="E253" s="1">
        <v>3442.4659999999999</v>
      </c>
      <c r="F253" s="1">
        <v>2579.558</v>
      </c>
      <c r="G253" s="1">
        <v>3818.1729999999998</v>
      </c>
      <c r="H253" s="1">
        <v>-1238.615</v>
      </c>
      <c r="I253" s="1">
        <v>117.222046334708</v>
      </c>
      <c r="J253" s="1">
        <v>154279</v>
      </c>
      <c r="K253" s="1">
        <v>334282</v>
      </c>
      <c r="L253" s="1">
        <v>60375.6439174111</v>
      </c>
      <c r="M253" s="1">
        <v>42523.566928521403</v>
      </c>
      <c r="N253" s="1">
        <v>11050.9330445552</v>
      </c>
      <c r="O253" s="1">
        <v>10298.089636893401</v>
      </c>
      <c r="P253" s="1">
        <v>7716.7122369735698</v>
      </c>
      <c r="Q253" s="1">
        <v>11422.011953978999</v>
      </c>
      <c r="R253" s="1">
        <v>-3705.2997170054</v>
      </c>
    </row>
    <row r="254" spans="1:18" x14ac:dyDescent="0.25">
      <c r="A254" s="1" t="s">
        <v>269</v>
      </c>
      <c r="B254" s="1">
        <v>20246.438999999998</v>
      </c>
      <c r="C254" s="1">
        <v>14346.593000000001</v>
      </c>
      <c r="D254" s="1">
        <v>3583.3229999999999</v>
      </c>
      <c r="E254" s="1">
        <v>3486.2159999999999</v>
      </c>
      <c r="F254" s="1">
        <v>2612.152</v>
      </c>
      <c r="G254" s="1">
        <v>3855.6179999999999</v>
      </c>
      <c r="H254" s="1">
        <v>-1243.4659999999999</v>
      </c>
      <c r="I254" s="1">
        <v>117.22042598116801</v>
      </c>
      <c r="J254" s="1">
        <v>155007</v>
      </c>
      <c r="K254" s="1">
        <v>334641</v>
      </c>
      <c r="L254" s="1">
        <v>60501.967780397499</v>
      </c>
      <c r="M254" s="1">
        <v>42871.5937377667</v>
      </c>
      <c r="N254" s="1">
        <v>10707.9616663828</v>
      </c>
      <c r="O254" s="1">
        <v>10417.779052776001</v>
      </c>
      <c r="P254" s="1">
        <v>7805.8337143386498</v>
      </c>
      <c r="Q254" s="1">
        <v>11521.6545492035</v>
      </c>
      <c r="R254" s="1">
        <v>-3715.82083486483</v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C06A7-6D3F-4A09-B6EF-409CE151F034}">
  <dimension ref="A1:AP258"/>
  <sheetViews>
    <sheetView topLeftCell="T57" zoomScale="85" zoomScaleNormal="85" workbookViewId="0">
      <selection activeCell="AH256" sqref="AH256"/>
    </sheetView>
  </sheetViews>
  <sheetFormatPr defaultRowHeight="14" x14ac:dyDescent="0.25"/>
  <cols>
    <col min="1" max="1" width="12.54296875" style="1" customWidth="1"/>
    <col min="2" max="18" width="8.7265625" style="1"/>
    <col min="19" max="19" width="9.26953125" style="1" customWidth="1"/>
    <col min="20" max="16384" width="8.7265625" style="1"/>
  </cols>
  <sheetData>
    <row r="1" spans="1:42" x14ac:dyDescent="0.25">
      <c r="A1" s="1" t="s">
        <v>270</v>
      </c>
      <c r="B1" s="1" t="s">
        <v>271</v>
      </c>
      <c r="C1" s="1" t="s">
        <v>0</v>
      </c>
      <c r="D1" s="2" t="s">
        <v>272</v>
      </c>
      <c r="E1" s="1" t="s">
        <v>1</v>
      </c>
      <c r="F1" s="2" t="s">
        <v>273</v>
      </c>
      <c r="G1" s="1" t="s">
        <v>2</v>
      </c>
      <c r="H1" s="2" t="s">
        <v>274</v>
      </c>
      <c r="I1" s="1" t="s">
        <v>3</v>
      </c>
      <c r="J1" s="2" t="s">
        <v>275</v>
      </c>
      <c r="K1" s="2" t="s">
        <v>276</v>
      </c>
      <c r="L1" s="1" t="s">
        <v>4</v>
      </c>
      <c r="M1" s="2" t="s">
        <v>277</v>
      </c>
      <c r="N1" s="1" t="s">
        <v>5</v>
      </c>
      <c r="O1" s="2" t="s">
        <v>278</v>
      </c>
      <c r="P1" s="1" t="s">
        <v>6</v>
      </c>
      <c r="Q1" s="2" t="s">
        <v>279</v>
      </c>
      <c r="R1" s="1" t="s">
        <v>280</v>
      </c>
      <c r="S1" s="1" t="s">
        <v>7</v>
      </c>
      <c r="T1" s="1" t="s">
        <v>8</v>
      </c>
      <c r="U1" s="1" t="s">
        <v>281</v>
      </c>
      <c r="V1" s="2" t="s">
        <v>282</v>
      </c>
      <c r="W1" s="1" t="s">
        <v>283</v>
      </c>
      <c r="X1" s="2" t="s">
        <v>284</v>
      </c>
      <c r="Y1" s="1" t="s">
        <v>285</v>
      </c>
      <c r="Z1" s="2" t="s">
        <v>286</v>
      </c>
      <c r="AA1" s="1" t="s">
        <v>287</v>
      </c>
      <c r="AB1" s="2" t="s">
        <v>288</v>
      </c>
      <c r="AC1" s="1" t="s">
        <v>289</v>
      </c>
      <c r="AD1" s="2" t="s">
        <v>290</v>
      </c>
      <c r="AE1" s="1" t="s">
        <v>291</v>
      </c>
      <c r="AF1" s="2" t="s">
        <v>292</v>
      </c>
      <c r="AG1" s="1" t="s">
        <v>293</v>
      </c>
      <c r="AH1" s="2" t="s">
        <v>294</v>
      </c>
      <c r="AI1" s="2" t="s">
        <v>295</v>
      </c>
      <c r="AJ1" s="2" t="s">
        <v>296</v>
      </c>
      <c r="AK1" s="3" t="s">
        <v>297</v>
      </c>
      <c r="AL1" s="2" t="s">
        <v>298</v>
      </c>
      <c r="AN1" s="1" t="s">
        <v>299</v>
      </c>
      <c r="AO1" s="1" t="s">
        <v>300</v>
      </c>
      <c r="AP1" s="1" t="s">
        <v>301</v>
      </c>
    </row>
    <row r="2" spans="1:42" x14ac:dyDescent="0.25">
      <c r="A2" s="1" t="s">
        <v>17</v>
      </c>
      <c r="B2" s="1">
        <v>1</v>
      </c>
      <c r="C2" s="1">
        <v>3277.8470000000002</v>
      </c>
      <c r="D2" s="1">
        <f>LOG(C2)</f>
        <v>3.5155886781525765</v>
      </c>
      <c r="E2" s="1">
        <v>1998.8109999999999</v>
      </c>
      <c r="F2" s="1">
        <f>LOG(E2)</f>
        <v>3.3007717308176554</v>
      </c>
      <c r="G2" s="1">
        <v>390.21</v>
      </c>
      <c r="H2" s="1">
        <f>LOG(G2)</f>
        <v>2.5912983949641113</v>
      </c>
      <c r="I2" s="1">
        <v>1062.3119999999999</v>
      </c>
      <c r="J2" s="1">
        <f>I2/C2</f>
        <v>0.32408834213433385</v>
      </c>
      <c r="K2" s="1">
        <f>LOG(I2)</f>
        <v>3.0262520873464993</v>
      </c>
      <c r="L2" s="1">
        <v>108.999</v>
      </c>
      <c r="M2" s="1">
        <f>LOG(L2)</f>
        <v>2.0374225135693016</v>
      </c>
      <c r="N2" s="1">
        <v>138.60599999999999</v>
      </c>
      <c r="O2" s="1">
        <f>LOG(N2)</f>
        <v>2.141782030495782</v>
      </c>
      <c r="P2" s="1">
        <v>-29.606999999999999</v>
      </c>
      <c r="Q2" s="1" t="e">
        <f t="array" aca="1" ref="Q2:Q254" ca="1">[1]!HP(C2:C254,1600)</f>
        <v>#NAME?</v>
      </c>
      <c r="R2" s="1" t="e">
        <f t="shared" ref="R2:R65" ca="1" si="0">P2/Q2</f>
        <v>#NAME?</v>
      </c>
      <c r="T2" s="1">
        <v>54413.666666666701</v>
      </c>
      <c r="U2" s="1" t="e">
        <f t="array" aca="1" ref="U2:U254" ca="1">[1]!HP(D2:D254,1600)</f>
        <v>#NAME?</v>
      </c>
      <c r="V2" s="1" t="e">
        <f t="shared" ref="V2:V65" ca="1" si="1">100*(D2-U2)/U2</f>
        <v>#NAME?</v>
      </c>
      <c r="W2" s="1" t="e">
        <f t="array" aca="1" ref="W2:W254" ca="1">[1]!HP(F2:F254,1600)</f>
        <v>#NAME?</v>
      </c>
      <c r="X2" s="1" t="e">
        <f t="shared" ref="X2:X65" ca="1" si="2">100*(F2-W2)/W2</f>
        <v>#NAME?</v>
      </c>
      <c r="Y2" s="1" t="e">
        <f t="array" aca="1" ref="Y2:Y254" ca="1">[1]!HP(H2:H254,1600)</f>
        <v>#NAME?</v>
      </c>
      <c r="Z2" s="1" t="e">
        <f t="shared" ref="Z2:Z65" ca="1" si="3">100*(H2-Y2)/Y2</f>
        <v>#NAME?</v>
      </c>
      <c r="AA2" s="1" t="e">
        <f t="array" aca="1" ref="AA2:AA254" ca="1">[1]!HP(K2:K254,1600)</f>
        <v>#NAME?</v>
      </c>
      <c r="AB2" s="1" t="e">
        <f t="shared" ref="AB2:AB65" ca="1" si="4">100*(K2-AA2)/AA2</f>
        <v>#NAME?</v>
      </c>
      <c r="AC2" s="1" t="e">
        <f t="array" aca="1" ref="AC2:AC254" ca="1">[1]!HP(M2:M254,1600)</f>
        <v>#NAME?</v>
      </c>
      <c r="AD2" s="1" t="e">
        <f t="shared" ref="AD2:AD65" ca="1" si="5">100*(M2-AC2)/AC2</f>
        <v>#NAME?</v>
      </c>
      <c r="AE2" s="1" t="e">
        <f t="array" aca="1" ref="AE2:AE254" ca="1">[1]!HP(O2:O254,1600)</f>
        <v>#NAME?</v>
      </c>
      <c r="AF2" s="1" t="e">
        <f t="shared" ref="AF2:AF65" ca="1" si="6">100*(O2-AE2)/AE2</f>
        <v>#NAME?</v>
      </c>
      <c r="AG2" s="1" t="e">
        <f t="array" aca="1" ref="AG2:AG254" ca="1">[1]!HP(R2:R254,1600)</f>
        <v>#NAME?</v>
      </c>
      <c r="AH2" s="1" t="e">
        <f t="shared" ref="AH2:AH65" ca="1" si="7">100*(R2-AG2)</f>
        <v>#NAME?</v>
      </c>
      <c r="AI2" s="1" t="e">
        <f t="array" aca="1" ref="AI2:AI254" ca="1">[1]!HP(P2:P254,1600)</f>
        <v>#NAME?</v>
      </c>
      <c r="AJ2" s="1" t="e">
        <f ca="1">-100*(P2-AI2)/AI2</f>
        <v>#NAME?</v>
      </c>
      <c r="AK2" s="1" t="e">
        <f t="array" aca="1" ref="AK2:AK254" ca="1">[1]!HP(J2:J254,1600)</f>
        <v>#NAME?</v>
      </c>
      <c r="AL2" s="1" t="e">
        <f t="shared" ref="AL2:AL65" ca="1" si="8">100*(J2-AK2)</f>
        <v>#NAME?</v>
      </c>
    </row>
    <row r="3" spans="1:42" x14ac:dyDescent="0.25">
      <c r="A3" s="1" t="s">
        <v>18</v>
      </c>
      <c r="B3" s="1">
        <v>2</v>
      </c>
      <c r="C3" s="1">
        <v>3260.1770000000001</v>
      </c>
      <c r="D3" s="1">
        <f t="shared" ref="D3:D66" si="9">LOG(C3)</f>
        <v>3.5132411792202585</v>
      </c>
      <c r="E3" s="1">
        <v>2024.0250000000001</v>
      </c>
      <c r="F3" s="1">
        <f t="shared" ref="F3:F66" si="10">LOG(E3)</f>
        <v>3.3062158724439445</v>
      </c>
      <c r="G3" s="1">
        <v>353.84100000000001</v>
      </c>
      <c r="H3" s="1">
        <f t="shared" ref="H3:H66" si="11">LOG(G3)</f>
        <v>2.5488081537351293</v>
      </c>
      <c r="I3" s="1">
        <v>1074.24</v>
      </c>
      <c r="J3" s="1">
        <f t="shared" ref="J3:J66" si="12">I3/C3</f>
        <v>0.32950358216747128</v>
      </c>
      <c r="K3" s="1">
        <f t="shared" ref="K3:K66" si="13">LOG(I3)</f>
        <v>3.0311013195679184</v>
      </c>
      <c r="L3" s="1">
        <v>112.126</v>
      </c>
      <c r="M3" s="1">
        <f t="shared" ref="M3:M66" si="14">LOG(L3)</f>
        <v>2.0497063293412925</v>
      </c>
      <c r="N3" s="1">
        <v>139.636</v>
      </c>
      <c r="O3" s="1">
        <f t="shared" ref="O3:O66" si="15">LOG(N3)</f>
        <v>2.1449973995605824</v>
      </c>
      <c r="P3" s="1">
        <v>-27.51</v>
      </c>
      <c r="Q3" s="1" t="e">
        <f ca="1"/>
        <v>#NAME?</v>
      </c>
      <c r="R3" s="1" t="e">
        <f t="shared" ca="1" si="0"/>
        <v>#NAME?</v>
      </c>
      <c r="T3" s="1">
        <v>54545.333333333299</v>
      </c>
      <c r="U3" s="1" t="e">
        <f ca="1"/>
        <v>#NAME?</v>
      </c>
      <c r="V3" s="1" t="e">
        <f t="shared" ca="1" si="1"/>
        <v>#NAME?</v>
      </c>
      <c r="W3" s="1" t="e">
        <f ca="1"/>
        <v>#NAME?</v>
      </c>
      <c r="X3" s="1" t="e">
        <f t="shared" ca="1" si="2"/>
        <v>#NAME?</v>
      </c>
      <c r="Y3" s="1" t="e">
        <f ca="1"/>
        <v>#NAME?</v>
      </c>
      <c r="Z3" s="1" t="e">
        <f t="shared" ca="1" si="3"/>
        <v>#NAME?</v>
      </c>
      <c r="AA3" s="1" t="e">
        <f ca="1"/>
        <v>#NAME?</v>
      </c>
      <c r="AB3" s="1" t="e">
        <f t="shared" ca="1" si="4"/>
        <v>#NAME?</v>
      </c>
      <c r="AC3" s="1" t="e">
        <f ca="1"/>
        <v>#NAME?</v>
      </c>
      <c r="AD3" s="1" t="e">
        <f t="shared" ca="1" si="5"/>
        <v>#NAME?</v>
      </c>
      <c r="AE3" s="1" t="e">
        <f ca="1"/>
        <v>#NAME?</v>
      </c>
      <c r="AF3" s="1" t="e">
        <f t="shared" ca="1" si="6"/>
        <v>#NAME?</v>
      </c>
      <c r="AG3" s="1" t="e">
        <f ca="1"/>
        <v>#NAME?</v>
      </c>
      <c r="AH3" s="1" t="e">
        <f t="shared" ca="1" si="7"/>
        <v>#NAME?</v>
      </c>
      <c r="AI3" s="1" t="e">
        <f ca="1"/>
        <v>#NAME?</v>
      </c>
      <c r="AJ3" s="1" t="e">
        <f t="shared" ref="AJ3:AJ66" ca="1" si="16">-100*(P3-AI3)/AI3</f>
        <v>#NAME?</v>
      </c>
      <c r="AK3" s="1" t="e">
        <f ca="1"/>
        <v>#NAME?</v>
      </c>
      <c r="AL3" s="1" t="e">
        <f t="shared" ca="1" si="8"/>
        <v>#NAME?</v>
      </c>
    </row>
    <row r="4" spans="1:42" x14ac:dyDescent="0.25">
      <c r="A4" s="1" t="s">
        <v>19</v>
      </c>
      <c r="B4" s="1">
        <v>3</v>
      </c>
      <c r="C4" s="1">
        <v>3276.1329999999998</v>
      </c>
      <c r="D4" s="1">
        <f t="shared" si="9"/>
        <v>3.5153615243440655</v>
      </c>
      <c r="E4" s="1">
        <v>2015.934</v>
      </c>
      <c r="F4" s="1">
        <f t="shared" si="10"/>
        <v>3.3044763095666378</v>
      </c>
      <c r="G4" s="1">
        <v>352.94200000000001</v>
      </c>
      <c r="H4" s="1">
        <f t="shared" si="11"/>
        <v>2.5477033423579787</v>
      </c>
      <c r="I4" s="1">
        <v>1100.511</v>
      </c>
      <c r="J4" s="1">
        <f t="shared" si="12"/>
        <v>0.33591768099768843</v>
      </c>
      <c r="K4" s="1">
        <f t="shared" si="13"/>
        <v>3.0415943878393219</v>
      </c>
      <c r="L4" s="1">
        <v>114.57</v>
      </c>
      <c r="M4" s="1">
        <f t="shared" si="14"/>
        <v>2.0590709130929801</v>
      </c>
      <c r="N4" s="1">
        <v>135.52099999999999</v>
      </c>
      <c r="O4" s="1">
        <f t="shared" si="15"/>
        <v>2.1320065976271243</v>
      </c>
      <c r="P4" s="1">
        <v>-20.951000000000001</v>
      </c>
      <c r="Q4" s="1" t="e">
        <f ca="1"/>
        <v>#NAME?</v>
      </c>
      <c r="R4" s="1" t="e">
        <f t="shared" ca="1" si="0"/>
        <v>#NAME?</v>
      </c>
      <c r="T4" s="1">
        <v>54268.333333333299</v>
      </c>
      <c r="U4" s="1" t="e">
        <f ca="1"/>
        <v>#NAME?</v>
      </c>
      <c r="V4" s="1" t="e">
        <f t="shared" ca="1" si="1"/>
        <v>#NAME?</v>
      </c>
      <c r="W4" s="1" t="e">
        <f ca="1"/>
        <v>#NAME?</v>
      </c>
      <c r="X4" s="1" t="e">
        <f t="shared" ca="1" si="2"/>
        <v>#NAME?</v>
      </c>
      <c r="Y4" s="1" t="e">
        <f ca="1"/>
        <v>#NAME?</v>
      </c>
      <c r="Z4" s="1" t="e">
        <f t="shared" ca="1" si="3"/>
        <v>#NAME?</v>
      </c>
      <c r="AA4" s="1" t="e">
        <f ca="1"/>
        <v>#NAME?</v>
      </c>
      <c r="AB4" s="1" t="e">
        <f t="shared" ca="1" si="4"/>
        <v>#NAME?</v>
      </c>
      <c r="AC4" s="1" t="e">
        <f ca="1"/>
        <v>#NAME?</v>
      </c>
      <c r="AD4" s="1" t="e">
        <f t="shared" ca="1" si="5"/>
        <v>#NAME?</v>
      </c>
      <c r="AE4" s="1" t="e">
        <f ca="1"/>
        <v>#NAME?</v>
      </c>
      <c r="AF4" s="1" t="e">
        <f t="shared" ca="1" si="6"/>
        <v>#NAME?</v>
      </c>
      <c r="AG4" s="1" t="e">
        <f ca="1"/>
        <v>#NAME?</v>
      </c>
      <c r="AH4" s="1" t="e">
        <f t="shared" ca="1" si="7"/>
        <v>#NAME?</v>
      </c>
      <c r="AI4" s="1" t="e">
        <f ca="1"/>
        <v>#NAME?</v>
      </c>
      <c r="AJ4" s="1" t="e">
        <f t="shared" ca="1" si="16"/>
        <v>#NAME?</v>
      </c>
      <c r="AK4" s="1" t="e">
        <f ca="1"/>
        <v>#NAME?</v>
      </c>
      <c r="AL4" s="1" t="e">
        <f t="shared" ca="1" si="8"/>
        <v>#NAME?</v>
      </c>
    </row>
    <row r="5" spans="1:42" x14ac:dyDescent="0.25">
      <c r="A5" s="1" t="s">
        <v>20</v>
      </c>
      <c r="B5" s="1">
        <v>4</v>
      </c>
      <c r="C5" s="1">
        <v>3234.087</v>
      </c>
      <c r="D5" s="1">
        <f t="shared" si="9"/>
        <v>3.5097516986599659</v>
      </c>
      <c r="E5" s="1">
        <v>2018.5450000000001</v>
      </c>
      <c r="F5" s="1">
        <f t="shared" si="10"/>
        <v>3.3050384357051357</v>
      </c>
      <c r="G5" s="1">
        <v>313.84300000000002</v>
      </c>
      <c r="H5" s="1">
        <f t="shared" si="11"/>
        <v>2.4967124465273507</v>
      </c>
      <c r="I5" s="1">
        <v>1108.1420000000001</v>
      </c>
      <c r="J5" s="1">
        <f t="shared" si="12"/>
        <v>0.34264446194551973</v>
      </c>
      <c r="K5" s="1">
        <f t="shared" si="13"/>
        <v>3.0445954155052282</v>
      </c>
      <c r="L5" s="1">
        <v>115.18</v>
      </c>
      <c r="M5" s="1">
        <f t="shared" si="14"/>
        <v>2.0613770741938877</v>
      </c>
      <c r="N5" s="1">
        <v>129.12799999999999</v>
      </c>
      <c r="O5" s="1">
        <f t="shared" si="15"/>
        <v>2.1110204245049147</v>
      </c>
      <c r="P5" s="1">
        <v>-13.948</v>
      </c>
      <c r="Q5" s="1" t="e">
        <f ca="1"/>
        <v>#NAME?</v>
      </c>
      <c r="R5" s="1" t="e">
        <f t="shared" ca="1" si="0"/>
        <v>#NAME?</v>
      </c>
      <c r="T5" s="1">
        <v>53948.333333333299</v>
      </c>
      <c r="U5" s="1" t="e">
        <f ca="1"/>
        <v>#NAME?</v>
      </c>
      <c r="V5" s="1" t="e">
        <f t="shared" ca="1" si="1"/>
        <v>#NAME?</v>
      </c>
      <c r="W5" s="1" t="e">
        <f ca="1"/>
        <v>#NAME?</v>
      </c>
      <c r="X5" s="1" t="e">
        <f t="shared" ca="1" si="2"/>
        <v>#NAME?</v>
      </c>
      <c r="Y5" s="1" t="e">
        <f ca="1"/>
        <v>#NAME?</v>
      </c>
      <c r="Z5" s="1" t="e">
        <f t="shared" ca="1" si="3"/>
        <v>#NAME?</v>
      </c>
      <c r="AA5" s="1" t="e">
        <f ca="1"/>
        <v>#NAME?</v>
      </c>
      <c r="AB5" s="1" t="e">
        <f t="shared" ca="1" si="4"/>
        <v>#NAME?</v>
      </c>
      <c r="AC5" s="1" t="e">
        <f ca="1"/>
        <v>#NAME?</v>
      </c>
      <c r="AD5" s="1" t="e">
        <f t="shared" ca="1" si="5"/>
        <v>#NAME?</v>
      </c>
      <c r="AE5" s="1" t="e">
        <f ca="1"/>
        <v>#NAME?</v>
      </c>
      <c r="AF5" s="1" t="e">
        <f t="shared" ca="1" si="6"/>
        <v>#NAME?</v>
      </c>
      <c r="AG5" s="1" t="e">
        <f ca="1"/>
        <v>#NAME?</v>
      </c>
      <c r="AH5" s="1" t="e">
        <f t="shared" ca="1" si="7"/>
        <v>#NAME?</v>
      </c>
      <c r="AI5" s="1" t="e">
        <f ca="1"/>
        <v>#NAME?</v>
      </c>
      <c r="AJ5" s="1" t="e">
        <f t="shared" ca="1" si="16"/>
        <v>#NAME?</v>
      </c>
      <c r="AK5" s="1" t="e">
        <f ca="1"/>
        <v>#NAME?</v>
      </c>
      <c r="AL5" s="1" t="e">
        <f t="shared" ca="1" si="8"/>
        <v>#NAME?</v>
      </c>
    </row>
    <row r="6" spans="1:42" x14ac:dyDescent="0.25">
      <c r="A6" s="1" t="s">
        <v>21</v>
      </c>
      <c r="B6" s="1">
        <v>5</v>
      </c>
      <c r="C6" s="1">
        <v>3255.9140000000002</v>
      </c>
      <c r="D6" s="1">
        <f t="shared" si="9"/>
        <v>3.5126729251426236</v>
      </c>
      <c r="E6" s="1">
        <v>2017.7950000000001</v>
      </c>
      <c r="F6" s="1">
        <f t="shared" si="10"/>
        <v>3.3048770415385507</v>
      </c>
      <c r="G6" s="1">
        <v>321.988</v>
      </c>
      <c r="H6" s="1">
        <f t="shared" si="11"/>
        <v>2.5078396865067174</v>
      </c>
      <c r="I6" s="1">
        <v>1124.596</v>
      </c>
      <c r="J6" s="1">
        <f t="shared" si="12"/>
        <v>0.34540101489167097</v>
      </c>
      <c r="K6" s="1">
        <f t="shared" si="13"/>
        <v>3.0509965344632497</v>
      </c>
      <c r="L6" s="1">
        <v>114.38800000000001</v>
      </c>
      <c r="M6" s="1">
        <f t="shared" si="14"/>
        <v>2.0583804667023364</v>
      </c>
      <c r="N6" s="1">
        <v>128.50299999999999</v>
      </c>
      <c r="O6" s="1">
        <f t="shared" si="15"/>
        <v>2.108913266719743</v>
      </c>
      <c r="P6" s="1">
        <v>-14.115</v>
      </c>
      <c r="Q6" s="1" t="e">
        <f ca="1"/>
        <v>#NAME?</v>
      </c>
      <c r="R6" s="1" t="e">
        <f t="shared" ca="1" si="0"/>
        <v>#NAME?</v>
      </c>
      <c r="T6" s="1">
        <v>53633</v>
      </c>
      <c r="U6" s="1" t="e">
        <f ca="1"/>
        <v>#NAME?</v>
      </c>
      <c r="V6" s="1" t="e">
        <f t="shared" ca="1" si="1"/>
        <v>#NAME?</v>
      </c>
      <c r="W6" s="1" t="e">
        <f ca="1"/>
        <v>#NAME?</v>
      </c>
      <c r="X6" s="1" t="e">
        <f t="shared" ca="1" si="2"/>
        <v>#NAME?</v>
      </c>
      <c r="Y6" s="1" t="e">
        <f ca="1"/>
        <v>#NAME?</v>
      </c>
      <c r="Z6" s="1" t="e">
        <f t="shared" ca="1" si="3"/>
        <v>#NAME?</v>
      </c>
      <c r="AA6" s="1" t="e">
        <f ca="1"/>
        <v>#NAME?</v>
      </c>
      <c r="AB6" s="1" t="e">
        <f t="shared" ca="1" si="4"/>
        <v>#NAME?</v>
      </c>
      <c r="AC6" s="1" t="e">
        <f ca="1"/>
        <v>#NAME?</v>
      </c>
      <c r="AD6" s="1" t="e">
        <f t="shared" ca="1" si="5"/>
        <v>#NAME?</v>
      </c>
      <c r="AE6" s="1" t="e">
        <f ca="1"/>
        <v>#NAME?</v>
      </c>
      <c r="AF6" s="1" t="e">
        <f t="shared" ca="1" si="6"/>
        <v>#NAME?</v>
      </c>
      <c r="AG6" s="1" t="e">
        <f ca="1"/>
        <v>#NAME?</v>
      </c>
      <c r="AH6" s="1" t="e">
        <f t="shared" ca="1" si="7"/>
        <v>#NAME?</v>
      </c>
      <c r="AI6" s="1" t="e">
        <f ca="1"/>
        <v>#NAME?</v>
      </c>
      <c r="AJ6" s="1" t="e">
        <f t="shared" ca="1" si="16"/>
        <v>#NAME?</v>
      </c>
      <c r="AK6" s="1" t="e">
        <f ca="1"/>
        <v>#NAME?</v>
      </c>
      <c r="AL6" s="1" t="e">
        <f t="shared" ca="1" si="8"/>
        <v>#NAME?</v>
      </c>
    </row>
    <row r="7" spans="1:42" x14ac:dyDescent="0.25">
      <c r="A7" s="1" t="s">
        <v>22</v>
      </c>
      <c r="B7" s="1">
        <v>6</v>
      </c>
      <c r="C7" s="1">
        <v>3311.181</v>
      </c>
      <c r="D7" s="1">
        <f t="shared" si="9"/>
        <v>3.5199829213599569</v>
      </c>
      <c r="E7" s="1">
        <v>2047.8230000000001</v>
      </c>
      <c r="F7" s="1">
        <f t="shared" si="10"/>
        <v>3.3112924164418458</v>
      </c>
      <c r="G7" s="1">
        <v>344.54899999999998</v>
      </c>
      <c r="H7" s="1">
        <f t="shared" si="11"/>
        <v>2.5372509937802032</v>
      </c>
      <c r="I7" s="1">
        <v>1127.4110000000001</v>
      </c>
      <c r="J7" s="1">
        <f t="shared" si="12"/>
        <v>0.34048606826386113</v>
      </c>
      <c r="K7" s="1">
        <f t="shared" si="13"/>
        <v>3.0520822678586552</v>
      </c>
      <c r="L7" s="1">
        <v>109.06399999999999</v>
      </c>
      <c r="M7" s="1">
        <f t="shared" si="14"/>
        <v>2.0376814217028207</v>
      </c>
      <c r="N7" s="1">
        <v>130.07300000000001</v>
      </c>
      <c r="O7" s="1">
        <f t="shared" si="15"/>
        <v>2.1141871569156314</v>
      </c>
      <c r="P7" s="1">
        <v>-21.009</v>
      </c>
      <c r="Q7" s="1" t="e">
        <f ca="1"/>
        <v>#NAME?</v>
      </c>
      <c r="R7" s="1" t="e">
        <f t="shared" ca="1" si="0"/>
        <v>#NAME?</v>
      </c>
      <c r="T7" s="1">
        <v>53796.666666666701</v>
      </c>
      <c r="U7" s="1" t="e">
        <f ca="1"/>
        <v>#NAME?</v>
      </c>
      <c r="V7" s="1" t="e">
        <f t="shared" ca="1" si="1"/>
        <v>#NAME?</v>
      </c>
      <c r="W7" s="1" t="e">
        <f ca="1"/>
        <v>#NAME?</v>
      </c>
      <c r="X7" s="1" t="e">
        <f t="shared" ca="1" si="2"/>
        <v>#NAME?</v>
      </c>
      <c r="Y7" s="1" t="e">
        <f ca="1"/>
        <v>#NAME?</v>
      </c>
      <c r="Z7" s="1" t="e">
        <f t="shared" ca="1" si="3"/>
        <v>#NAME?</v>
      </c>
      <c r="AA7" s="1" t="e">
        <f ca="1"/>
        <v>#NAME?</v>
      </c>
      <c r="AB7" s="1" t="e">
        <f t="shared" ca="1" si="4"/>
        <v>#NAME?</v>
      </c>
      <c r="AC7" s="1" t="e">
        <f ca="1"/>
        <v>#NAME?</v>
      </c>
      <c r="AD7" s="1" t="e">
        <f t="shared" ca="1" si="5"/>
        <v>#NAME?</v>
      </c>
      <c r="AE7" s="1" t="e">
        <f ca="1"/>
        <v>#NAME?</v>
      </c>
      <c r="AF7" s="1" t="e">
        <f t="shared" ca="1" si="6"/>
        <v>#NAME?</v>
      </c>
      <c r="AG7" s="1" t="e">
        <f ca="1"/>
        <v>#NAME?</v>
      </c>
      <c r="AH7" s="1" t="e">
        <f t="shared" ca="1" si="7"/>
        <v>#NAME?</v>
      </c>
      <c r="AI7" s="1" t="e">
        <f ca="1"/>
        <v>#NAME?</v>
      </c>
      <c r="AJ7" s="1" t="e">
        <f t="shared" ca="1" si="16"/>
        <v>#NAME?</v>
      </c>
      <c r="AK7" s="1" t="e">
        <f ca="1"/>
        <v>#NAME?</v>
      </c>
      <c r="AL7" s="1" t="e">
        <f t="shared" ca="1" si="8"/>
        <v>#NAME?</v>
      </c>
    </row>
    <row r="8" spans="1:42" x14ac:dyDescent="0.25">
      <c r="A8" s="1" t="s">
        <v>23</v>
      </c>
      <c r="B8" s="1">
        <v>7</v>
      </c>
      <c r="C8" s="1">
        <v>3374.7420000000002</v>
      </c>
      <c r="D8" s="1">
        <f t="shared" si="9"/>
        <v>3.5282405764976299</v>
      </c>
      <c r="E8" s="1">
        <v>2057.7820000000002</v>
      </c>
      <c r="F8" s="1">
        <f t="shared" si="10"/>
        <v>3.3133993640066652</v>
      </c>
      <c r="G8" s="1">
        <v>371.33499999999998</v>
      </c>
      <c r="H8" s="1">
        <f t="shared" si="11"/>
        <v>2.5697658853707734</v>
      </c>
      <c r="I8" s="1">
        <v>1151.491</v>
      </c>
      <c r="J8" s="1">
        <f t="shared" si="12"/>
        <v>0.3412086020205396</v>
      </c>
      <c r="K8" s="1">
        <f t="shared" si="13"/>
        <v>3.0612605478880814</v>
      </c>
      <c r="L8" s="1">
        <v>113.99299999999999</v>
      </c>
      <c r="M8" s="1">
        <f t="shared" si="14"/>
        <v>2.0568781833126799</v>
      </c>
      <c r="N8" s="1">
        <v>138.68799999999999</v>
      </c>
      <c r="O8" s="1">
        <f t="shared" si="15"/>
        <v>2.1420388853037049</v>
      </c>
      <c r="P8" s="1">
        <v>-24.695</v>
      </c>
      <c r="Q8" s="1" t="e">
        <f ca="1"/>
        <v>#NAME?</v>
      </c>
      <c r="R8" s="1" t="e">
        <f t="shared" ca="1" si="0"/>
        <v>#NAME?</v>
      </c>
      <c r="T8" s="1">
        <v>54269.666666666701</v>
      </c>
      <c r="U8" s="1" t="e">
        <f ca="1"/>
        <v>#NAME?</v>
      </c>
      <c r="V8" s="1" t="e">
        <f t="shared" ca="1" si="1"/>
        <v>#NAME?</v>
      </c>
      <c r="W8" s="1" t="e">
        <f ca="1"/>
        <v>#NAME?</v>
      </c>
      <c r="X8" s="1" t="e">
        <f t="shared" ca="1" si="2"/>
        <v>#NAME?</v>
      </c>
      <c r="Y8" s="1" t="e">
        <f ca="1"/>
        <v>#NAME?</v>
      </c>
      <c r="Z8" s="1" t="e">
        <f t="shared" ca="1" si="3"/>
        <v>#NAME?</v>
      </c>
      <c r="AA8" s="1" t="e">
        <f ca="1"/>
        <v>#NAME?</v>
      </c>
      <c r="AB8" s="1" t="e">
        <f t="shared" ca="1" si="4"/>
        <v>#NAME?</v>
      </c>
      <c r="AC8" s="1" t="e">
        <f ca="1"/>
        <v>#NAME?</v>
      </c>
      <c r="AD8" s="1" t="e">
        <f t="shared" ca="1" si="5"/>
        <v>#NAME?</v>
      </c>
      <c r="AE8" s="1" t="e">
        <f ca="1"/>
        <v>#NAME?</v>
      </c>
      <c r="AF8" s="1" t="e">
        <f t="shared" ca="1" si="6"/>
        <v>#NAME?</v>
      </c>
      <c r="AG8" s="1" t="e">
        <f ca="1"/>
        <v>#NAME?</v>
      </c>
      <c r="AH8" s="1" t="e">
        <f t="shared" ca="1" si="7"/>
        <v>#NAME?</v>
      </c>
      <c r="AI8" s="1" t="e">
        <f ca="1"/>
        <v>#NAME?</v>
      </c>
      <c r="AJ8" s="1" t="e">
        <f t="shared" ca="1" si="16"/>
        <v>#NAME?</v>
      </c>
      <c r="AK8" s="1" t="e">
        <f ca="1"/>
        <v>#NAME?</v>
      </c>
      <c r="AL8" s="1" t="e">
        <f t="shared" ca="1" si="8"/>
        <v>#NAME?</v>
      </c>
    </row>
    <row r="9" spans="1:42" x14ac:dyDescent="0.25">
      <c r="A9" s="1" t="s">
        <v>24</v>
      </c>
      <c r="B9" s="1">
        <v>8</v>
      </c>
      <c r="C9" s="1">
        <v>3440.924</v>
      </c>
      <c r="D9" s="1">
        <f t="shared" si="9"/>
        <v>3.5366750804253098</v>
      </c>
      <c r="E9" s="1">
        <v>2099.1729999999998</v>
      </c>
      <c r="F9" s="1">
        <f t="shared" si="10"/>
        <v>3.3220482317454794</v>
      </c>
      <c r="G9" s="1">
        <v>377.47899999999998</v>
      </c>
      <c r="H9" s="1">
        <f t="shared" si="11"/>
        <v>2.5768927958650658</v>
      </c>
      <c r="I9" s="1">
        <v>1176.7370000000001</v>
      </c>
      <c r="J9" s="1">
        <f t="shared" si="12"/>
        <v>0.34198285111789745</v>
      </c>
      <c r="K9" s="1">
        <f t="shared" si="13"/>
        <v>3.0706794091375906</v>
      </c>
      <c r="L9" s="1">
        <v>115.852</v>
      </c>
      <c r="M9" s="1">
        <f t="shared" si="14"/>
        <v>2.0639035355922557</v>
      </c>
      <c r="N9" s="1">
        <v>141.98599999999999</v>
      </c>
      <c r="O9" s="1">
        <f t="shared" si="15"/>
        <v>2.1522455245063612</v>
      </c>
      <c r="P9" s="1">
        <v>-26.134</v>
      </c>
      <c r="Q9" s="1" t="e">
        <f ca="1"/>
        <v>#NAME?</v>
      </c>
      <c r="R9" s="1" t="e">
        <f t="shared" ca="1" si="0"/>
        <v>#NAME?</v>
      </c>
      <c r="T9" s="1">
        <v>54712</v>
      </c>
      <c r="U9" s="1" t="e">
        <f ca="1"/>
        <v>#NAME?</v>
      </c>
      <c r="V9" s="1" t="e">
        <f t="shared" ca="1" si="1"/>
        <v>#NAME?</v>
      </c>
      <c r="W9" s="1" t="e">
        <f ca="1"/>
        <v>#NAME?</v>
      </c>
      <c r="X9" s="1" t="e">
        <f t="shared" ca="1" si="2"/>
        <v>#NAME?</v>
      </c>
      <c r="Y9" s="1" t="e">
        <f ca="1"/>
        <v>#NAME?</v>
      </c>
      <c r="Z9" s="1" t="e">
        <f t="shared" ca="1" si="3"/>
        <v>#NAME?</v>
      </c>
      <c r="AA9" s="1" t="e">
        <f ca="1"/>
        <v>#NAME?</v>
      </c>
      <c r="AB9" s="1" t="e">
        <f t="shared" ca="1" si="4"/>
        <v>#NAME?</v>
      </c>
      <c r="AC9" s="1" t="e">
        <f ca="1"/>
        <v>#NAME?</v>
      </c>
      <c r="AD9" s="1" t="e">
        <f t="shared" ca="1" si="5"/>
        <v>#NAME?</v>
      </c>
      <c r="AE9" s="1" t="e">
        <f ca="1"/>
        <v>#NAME?</v>
      </c>
      <c r="AF9" s="1" t="e">
        <f t="shared" ca="1" si="6"/>
        <v>#NAME?</v>
      </c>
      <c r="AG9" s="1" t="e">
        <f ca="1"/>
        <v>#NAME?</v>
      </c>
      <c r="AH9" s="1" t="e">
        <f t="shared" ca="1" si="7"/>
        <v>#NAME?</v>
      </c>
      <c r="AI9" s="1" t="e">
        <f ca="1"/>
        <v>#NAME?</v>
      </c>
      <c r="AJ9" s="1" t="e">
        <f t="shared" ca="1" si="16"/>
        <v>#NAME?</v>
      </c>
      <c r="AK9" s="1" t="e">
        <f ca="1"/>
        <v>#NAME?</v>
      </c>
      <c r="AL9" s="1" t="e">
        <f t="shared" ca="1" si="8"/>
        <v>#NAME?</v>
      </c>
    </row>
    <row r="10" spans="1:42" x14ac:dyDescent="0.25">
      <c r="A10" s="1" t="s">
        <v>25</v>
      </c>
      <c r="B10" s="1">
        <v>9</v>
      </c>
      <c r="C10" s="1">
        <v>3502.2979999999998</v>
      </c>
      <c r="D10" s="1">
        <f t="shared" si="9"/>
        <v>3.544353096130489</v>
      </c>
      <c r="E10" s="1">
        <v>2121.4090000000001</v>
      </c>
      <c r="F10" s="1">
        <f t="shared" si="10"/>
        <v>3.3266244069979996</v>
      </c>
      <c r="G10" s="1">
        <v>397.83100000000002</v>
      </c>
      <c r="H10" s="1">
        <f t="shared" si="11"/>
        <v>2.5996986214339293</v>
      </c>
      <c r="I10" s="1">
        <v>1199.4449999999999</v>
      </c>
      <c r="J10" s="1">
        <f t="shared" si="12"/>
        <v>0.34247371297359619</v>
      </c>
      <c r="K10" s="1">
        <f t="shared" si="13"/>
        <v>3.0789803383862657</v>
      </c>
      <c r="L10" s="1">
        <v>115.17</v>
      </c>
      <c r="M10" s="1">
        <f t="shared" si="14"/>
        <v>2.0613393668370672</v>
      </c>
      <c r="N10" s="1">
        <v>146.30799999999999</v>
      </c>
      <c r="O10" s="1">
        <f t="shared" si="15"/>
        <v>2.1652680736363568</v>
      </c>
      <c r="P10" s="1">
        <v>-31.138000000000002</v>
      </c>
      <c r="Q10" s="1" t="e">
        <f ca="1"/>
        <v>#NAME?</v>
      </c>
      <c r="R10" s="1" t="e">
        <f t="shared" ca="1" si="0"/>
        <v>#NAME?</v>
      </c>
      <c r="T10" s="1">
        <v>55118</v>
      </c>
      <c r="U10" s="1" t="e">
        <f ca="1"/>
        <v>#NAME?</v>
      </c>
      <c r="V10" s="1" t="e">
        <f t="shared" ca="1" si="1"/>
        <v>#NAME?</v>
      </c>
      <c r="W10" s="1" t="e">
        <f ca="1"/>
        <v>#NAME?</v>
      </c>
      <c r="X10" s="1" t="e">
        <f t="shared" ca="1" si="2"/>
        <v>#NAME?</v>
      </c>
      <c r="Y10" s="1" t="e">
        <f ca="1"/>
        <v>#NAME?</v>
      </c>
      <c r="Z10" s="1" t="e">
        <f t="shared" ca="1" si="3"/>
        <v>#NAME?</v>
      </c>
      <c r="AA10" s="1" t="e">
        <f ca="1"/>
        <v>#NAME?</v>
      </c>
      <c r="AB10" s="1" t="e">
        <f t="shared" ca="1" si="4"/>
        <v>#NAME?</v>
      </c>
      <c r="AC10" s="1" t="e">
        <f ca="1"/>
        <v>#NAME?</v>
      </c>
      <c r="AD10" s="1" t="e">
        <f t="shared" ca="1" si="5"/>
        <v>#NAME?</v>
      </c>
      <c r="AE10" s="1" t="e">
        <f ca="1"/>
        <v>#NAME?</v>
      </c>
      <c r="AF10" s="1" t="e">
        <f t="shared" ca="1" si="6"/>
        <v>#NAME?</v>
      </c>
      <c r="AG10" s="1" t="e">
        <f ca="1"/>
        <v>#NAME?</v>
      </c>
      <c r="AH10" s="1" t="e">
        <f t="shared" ca="1" si="7"/>
        <v>#NAME?</v>
      </c>
      <c r="AI10" s="1" t="e">
        <f ca="1"/>
        <v>#NAME?</v>
      </c>
      <c r="AJ10" s="1" t="e">
        <f t="shared" ca="1" si="16"/>
        <v>#NAME?</v>
      </c>
      <c r="AK10" s="1" t="e">
        <f ca="1"/>
        <v>#NAME?</v>
      </c>
      <c r="AL10" s="1" t="e">
        <f t="shared" ca="1" si="8"/>
        <v>#NAME?</v>
      </c>
    </row>
    <row r="11" spans="1:42" x14ac:dyDescent="0.25">
      <c r="A11" s="1" t="s">
        <v>26</v>
      </c>
      <c r="B11" s="1">
        <v>10</v>
      </c>
      <c r="C11" s="1">
        <v>3533.9470000000001</v>
      </c>
      <c r="D11" s="1">
        <f t="shared" si="9"/>
        <v>3.5482600319335802</v>
      </c>
      <c r="E11" s="1">
        <v>2147.489</v>
      </c>
      <c r="F11" s="1">
        <f t="shared" si="10"/>
        <v>3.3319309479391186</v>
      </c>
      <c r="G11" s="1">
        <v>394.69400000000002</v>
      </c>
      <c r="H11" s="1">
        <f t="shared" si="11"/>
        <v>2.5962605244530343</v>
      </c>
      <c r="I11" s="1">
        <v>1205.5039999999999</v>
      </c>
      <c r="J11" s="1">
        <f t="shared" si="12"/>
        <v>0.34112113169778718</v>
      </c>
      <c r="K11" s="1">
        <f t="shared" si="13"/>
        <v>3.0811686557545719</v>
      </c>
      <c r="L11" s="1">
        <v>121.789</v>
      </c>
      <c r="M11" s="1">
        <f t="shared" si="14"/>
        <v>2.0856080645280972</v>
      </c>
      <c r="N11" s="1">
        <v>149.5</v>
      </c>
      <c r="O11" s="1">
        <f t="shared" si="15"/>
        <v>2.1746411926604483</v>
      </c>
      <c r="P11" s="1">
        <v>-27.710999999999999</v>
      </c>
      <c r="Q11" s="1" t="e">
        <f ca="1"/>
        <v>#NAME?</v>
      </c>
      <c r="R11" s="1" t="e">
        <f t="shared" ca="1" si="0"/>
        <v>#NAME?</v>
      </c>
      <c r="T11" s="1">
        <v>55624.666666666701</v>
      </c>
      <c r="U11" s="1" t="e">
        <f ca="1"/>
        <v>#NAME?</v>
      </c>
      <c r="V11" s="1" t="e">
        <f t="shared" ca="1" si="1"/>
        <v>#NAME?</v>
      </c>
      <c r="W11" s="1" t="e">
        <f ca="1"/>
        <v>#NAME?</v>
      </c>
      <c r="X11" s="1" t="e">
        <f t="shared" ca="1" si="2"/>
        <v>#NAME?</v>
      </c>
      <c r="Y11" s="1" t="e">
        <f ca="1"/>
        <v>#NAME?</v>
      </c>
      <c r="Z11" s="1" t="e">
        <f t="shared" ca="1" si="3"/>
        <v>#NAME?</v>
      </c>
      <c r="AA11" s="1" t="e">
        <f ca="1"/>
        <v>#NAME?</v>
      </c>
      <c r="AB11" s="1" t="e">
        <f t="shared" ca="1" si="4"/>
        <v>#NAME?</v>
      </c>
      <c r="AC11" s="1" t="e">
        <f ca="1"/>
        <v>#NAME?</v>
      </c>
      <c r="AD11" s="1" t="e">
        <f t="shared" ca="1" si="5"/>
        <v>#NAME?</v>
      </c>
      <c r="AE11" s="1" t="e">
        <f ca="1"/>
        <v>#NAME?</v>
      </c>
      <c r="AF11" s="1" t="e">
        <f t="shared" ca="1" si="6"/>
        <v>#NAME?</v>
      </c>
      <c r="AG11" s="1" t="e">
        <f ca="1"/>
        <v>#NAME?</v>
      </c>
      <c r="AH11" s="1" t="e">
        <f t="shared" ca="1" si="7"/>
        <v>#NAME?</v>
      </c>
      <c r="AI11" s="1" t="e">
        <f ca="1"/>
        <v>#NAME?</v>
      </c>
      <c r="AJ11" s="1" t="e">
        <f t="shared" ca="1" si="16"/>
        <v>#NAME?</v>
      </c>
      <c r="AK11" s="1" t="e">
        <f ca="1"/>
        <v>#NAME?</v>
      </c>
      <c r="AL11" s="1" t="e">
        <f t="shared" ca="1" si="8"/>
        <v>#NAME?</v>
      </c>
    </row>
    <row r="12" spans="1:42" x14ac:dyDescent="0.25">
      <c r="A12" s="1" t="s">
        <v>27</v>
      </c>
      <c r="B12" s="1">
        <v>11</v>
      </c>
      <c r="C12" s="1">
        <v>3577.3620000000001</v>
      </c>
      <c r="D12" s="1">
        <f t="shared" si="9"/>
        <v>3.5535628894494335</v>
      </c>
      <c r="E12" s="1">
        <v>2164.7959999999998</v>
      </c>
      <c r="F12" s="1">
        <f t="shared" si="10"/>
        <v>3.3354169767870232</v>
      </c>
      <c r="G12" s="1">
        <v>401.40100000000001</v>
      </c>
      <c r="H12" s="1">
        <f t="shared" si="11"/>
        <v>2.603578450099501</v>
      </c>
      <c r="I12" s="1">
        <v>1233.3320000000001</v>
      </c>
      <c r="J12" s="1">
        <f t="shared" si="12"/>
        <v>0.3447601892120507</v>
      </c>
      <c r="K12" s="1">
        <f t="shared" si="13"/>
        <v>3.0910799998395309</v>
      </c>
      <c r="L12" s="1">
        <v>121.57599999999999</v>
      </c>
      <c r="M12" s="1">
        <f t="shared" si="14"/>
        <v>2.0848478504606205</v>
      </c>
      <c r="N12" s="1">
        <v>151.39500000000001</v>
      </c>
      <c r="O12" s="1">
        <f t="shared" si="15"/>
        <v>2.1801115323089229</v>
      </c>
      <c r="P12" s="1">
        <v>-29.818999999999999</v>
      </c>
      <c r="Q12" s="1" t="e">
        <f ca="1"/>
        <v>#NAME?</v>
      </c>
      <c r="R12" s="1" t="e">
        <f t="shared" ca="1" si="0"/>
        <v>#NAME?</v>
      </c>
      <c r="T12" s="1">
        <v>55854</v>
      </c>
      <c r="U12" s="1" t="e">
        <f ca="1"/>
        <v>#NAME?</v>
      </c>
      <c r="V12" s="1" t="e">
        <f t="shared" ca="1" si="1"/>
        <v>#NAME?</v>
      </c>
      <c r="W12" s="1" t="e">
        <f ca="1"/>
        <v>#NAME?</v>
      </c>
      <c r="X12" s="1" t="e">
        <f t="shared" ca="1" si="2"/>
        <v>#NAME?</v>
      </c>
      <c r="Y12" s="1" t="e">
        <f ca="1"/>
        <v>#NAME?</v>
      </c>
      <c r="Z12" s="1" t="e">
        <f t="shared" ca="1" si="3"/>
        <v>#NAME?</v>
      </c>
      <c r="AA12" s="1" t="e">
        <f ca="1"/>
        <v>#NAME?</v>
      </c>
      <c r="AB12" s="1" t="e">
        <f t="shared" ca="1" si="4"/>
        <v>#NAME?</v>
      </c>
      <c r="AC12" s="1" t="e">
        <f ca="1"/>
        <v>#NAME?</v>
      </c>
      <c r="AD12" s="1" t="e">
        <f t="shared" ca="1" si="5"/>
        <v>#NAME?</v>
      </c>
      <c r="AE12" s="1" t="e">
        <f ca="1"/>
        <v>#NAME?</v>
      </c>
      <c r="AF12" s="1" t="e">
        <f t="shared" ca="1" si="6"/>
        <v>#NAME?</v>
      </c>
      <c r="AG12" s="1" t="e">
        <f ca="1"/>
        <v>#NAME?</v>
      </c>
      <c r="AH12" s="1" t="e">
        <f t="shared" ca="1" si="7"/>
        <v>#NAME?</v>
      </c>
      <c r="AI12" s="1" t="e">
        <f ca="1"/>
        <v>#NAME?</v>
      </c>
      <c r="AJ12" s="1" t="e">
        <f t="shared" ca="1" si="16"/>
        <v>#NAME?</v>
      </c>
      <c r="AK12" s="1" t="e">
        <f ca="1"/>
        <v>#NAME?</v>
      </c>
      <c r="AL12" s="1" t="e">
        <f t="shared" ca="1" si="8"/>
        <v>#NAME?</v>
      </c>
    </row>
    <row r="13" spans="1:42" x14ac:dyDescent="0.25">
      <c r="A13" s="1" t="s">
        <v>28</v>
      </c>
      <c r="B13" s="1">
        <v>12</v>
      </c>
      <c r="C13" s="1">
        <v>3589.1280000000002</v>
      </c>
      <c r="D13" s="1">
        <f t="shared" si="9"/>
        <v>3.5549889469658442</v>
      </c>
      <c r="E13" s="1">
        <v>2195.4270000000001</v>
      </c>
      <c r="F13" s="1">
        <f t="shared" si="10"/>
        <v>3.34151900098299</v>
      </c>
      <c r="G13" s="1">
        <v>389.65699999999998</v>
      </c>
      <c r="H13" s="1">
        <f t="shared" si="11"/>
        <v>2.5906824825361063</v>
      </c>
      <c r="I13" s="1">
        <v>1241.8510000000001</v>
      </c>
      <c r="J13" s="1">
        <f t="shared" si="12"/>
        <v>0.34600354180736936</v>
      </c>
      <c r="K13" s="1">
        <f t="shared" si="13"/>
        <v>3.0940694913641806</v>
      </c>
      <c r="L13" s="1">
        <v>117.64400000000001</v>
      </c>
      <c r="M13" s="1">
        <f t="shared" si="14"/>
        <v>2.0705697824823837</v>
      </c>
      <c r="N13" s="1">
        <v>153.24600000000001</v>
      </c>
      <c r="O13" s="1">
        <f t="shared" si="15"/>
        <v>2.1853891474606049</v>
      </c>
      <c r="P13" s="1">
        <v>-35.601999999999997</v>
      </c>
      <c r="Q13" s="1" t="e">
        <f ca="1"/>
        <v>#NAME?</v>
      </c>
      <c r="R13" s="1" t="e">
        <f t="shared" ca="1" si="0"/>
        <v>#NAME?</v>
      </c>
      <c r="T13" s="1">
        <v>56041.666666666701</v>
      </c>
      <c r="U13" s="1" t="e">
        <f ca="1"/>
        <v>#NAME?</v>
      </c>
      <c r="V13" s="1" t="e">
        <f t="shared" ca="1" si="1"/>
        <v>#NAME?</v>
      </c>
      <c r="W13" s="1" t="e">
        <f ca="1"/>
        <v>#NAME?</v>
      </c>
      <c r="X13" s="1" t="e">
        <f t="shared" ca="1" si="2"/>
        <v>#NAME?</v>
      </c>
      <c r="Y13" s="1" t="e">
        <f ca="1"/>
        <v>#NAME?</v>
      </c>
      <c r="Z13" s="1" t="e">
        <f t="shared" ca="1" si="3"/>
        <v>#NAME?</v>
      </c>
      <c r="AA13" s="1" t="e">
        <f ca="1"/>
        <v>#NAME?</v>
      </c>
      <c r="AB13" s="1" t="e">
        <f t="shared" ca="1" si="4"/>
        <v>#NAME?</v>
      </c>
      <c r="AC13" s="1" t="e">
        <f ca="1"/>
        <v>#NAME?</v>
      </c>
      <c r="AD13" s="1" t="e">
        <f t="shared" ca="1" si="5"/>
        <v>#NAME?</v>
      </c>
      <c r="AE13" s="1" t="e">
        <f ca="1"/>
        <v>#NAME?</v>
      </c>
      <c r="AF13" s="1" t="e">
        <f t="shared" ca="1" si="6"/>
        <v>#NAME?</v>
      </c>
      <c r="AG13" s="1" t="e">
        <f ca="1"/>
        <v>#NAME?</v>
      </c>
      <c r="AH13" s="1" t="e">
        <f t="shared" ca="1" si="7"/>
        <v>#NAME?</v>
      </c>
      <c r="AI13" s="1" t="e">
        <f ca="1"/>
        <v>#NAME?</v>
      </c>
      <c r="AJ13" s="1" t="e">
        <f t="shared" ca="1" si="16"/>
        <v>#NAME?</v>
      </c>
      <c r="AK13" s="1" t="e">
        <f ca="1"/>
        <v>#NAME?</v>
      </c>
      <c r="AL13" s="1" t="e">
        <f t="shared" ca="1" si="8"/>
        <v>#NAME?</v>
      </c>
    </row>
    <row r="14" spans="1:42" x14ac:dyDescent="0.25">
      <c r="A14" s="1" t="s">
        <v>29</v>
      </c>
      <c r="B14" s="1">
        <v>13</v>
      </c>
      <c r="C14" s="1">
        <v>3628.306</v>
      </c>
      <c r="D14" s="1">
        <f t="shared" si="9"/>
        <v>3.5597039069733301</v>
      </c>
      <c r="E14" s="1">
        <v>2210.8049999999998</v>
      </c>
      <c r="F14" s="1">
        <f t="shared" si="10"/>
        <v>3.3445504381197764</v>
      </c>
      <c r="G14" s="1">
        <v>410.15800000000002</v>
      </c>
      <c r="H14" s="1">
        <f t="shared" si="11"/>
        <v>2.612951186743925</v>
      </c>
      <c r="I14" s="1">
        <v>1225.0050000000001</v>
      </c>
      <c r="J14" s="1">
        <f t="shared" si="12"/>
        <v>0.33762450024887652</v>
      </c>
      <c r="K14" s="1">
        <f t="shared" si="13"/>
        <v>3.0881378613274721</v>
      </c>
      <c r="L14" s="1">
        <v>119.43</v>
      </c>
      <c r="M14" s="1">
        <f t="shared" si="14"/>
        <v>2.0771134323037606</v>
      </c>
      <c r="N14" s="1">
        <v>149.69900000000001</v>
      </c>
      <c r="O14" s="1">
        <f t="shared" si="15"/>
        <v>2.1752188992346193</v>
      </c>
      <c r="P14" s="1">
        <v>-30.268999999999998</v>
      </c>
      <c r="Q14" s="1" t="e">
        <f ca="1"/>
        <v>#NAME?</v>
      </c>
      <c r="R14" s="1" t="e">
        <f t="shared" ca="1" si="0"/>
        <v>#NAME?</v>
      </c>
      <c r="T14" s="1">
        <v>56221.666666666701</v>
      </c>
      <c r="U14" s="1" t="e">
        <f ca="1"/>
        <v>#NAME?</v>
      </c>
      <c r="V14" s="1" t="e">
        <f t="shared" ca="1" si="1"/>
        <v>#NAME?</v>
      </c>
      <c r="W14" s="1" t="e">
        <f ca="1"/>
        <v>#NAME?</v>
      </c>
      <c r="X14" s="1" t="e">
        <f t="shared" ca="1" si="2"/>
        <v>#NAME?</v>
      </c>
      <c r="Y14" s="1" t="e">
        <f ca="1"/>
        <v>#NAME?</v>
      </c>
      <c r="Z14" s="1" t="e">
        <f t="shared" ca="1" si="3"/>
        <v>#NAME?</v>
      </c>
      <c r="AA14" s="1" t="e">
        <f ca="1"/>
        <v>#NAME?</v>
      </c>
      <c r="AB14" s="1" t="e">
        <f t="shared" ca="1" si="4"/>
        <v>#NAME?</v>
      </c>
      <c r="AC14" s="1" t="e">
        <f ca="1"/>
        <v>#NAME?</v>
      </c>
      <c r="AD14" s="1" t="e">
        <f t="shared" ca="1" si="5"/>
        <v>#NAME?</v>
      </c>
      <c r="AE14" s="1" t="e">
        <f ca="1"/>
        <v>#NAME?</v>
      </c>
      <c r="AF14" s="1" t="e">
        <f t="shared" ca="1" si="6"/>
        <v>#NAME?</v>
      </c>
      <c r="AG14" s="1" t="e">
        <f ca="1"/>
        <v>#NAME?</v>
      </c>
      <c r="AH14" s="1" t="e">
        <f t="shared" ca="1" si="7"/>
        <v>#NAME?</v>
      </c>
      <c r="AI14" s="1" t="e">
        <f ca="1"/>
        <v>#NAME?</v>
      </c>
      <c r="AJ14" s="1" t="e">
        <f t="shared" ca="1" si="16"/>
        <v>#NAME?</v>
      </c>
      <c r="AK14" s="1" t="e">
        <f ca="1"/>
        <v>#NAME?</v>
      </c>
      <c r="AL14" s="1" t="e">
        <f t="shared" ca="1" si="8"/>
        <v>#NAME?</v>
      </c>
    </row>
    <row r="15" spans="1:42" x14ac:dyDescent="0.25">
      <c r="A15" s="1" t="s">
        <v>30</v>
      </c>
      <c r="B15" s="1">
        <v>14</v>
      </c>
      <c r="C15" s="1">
        <v>3669.02</v>
      </c>
      <c r="D15" s="1">
        <f t="shared" si="9"/>
        <v>3.564550079121978</v>
      </c>
      <c r="E15" s="1">
        <v>2231.6669999999999</v>
      </c>
      <c r="F15" s="1">
        <f t="shared" si="10"/>
        <v>3.3486293914968419</v>
      </c>
      <c r="G15" s="1">
        <v>416.68299999999999</v>
      </c>
      <c r="H15" s="1">
        <f t="shared" si="11"/>
        <v>2.6198057822984162</v>
      </c>
      <c r="I15" s="1">
        <v>1225.904</v>
      </c>
      <c r="J15" s="1">
        <f t="shared" si="12"/>
        <v>0.33412300832374858</v>
      </c>
      <c r="K15" s="1">
        <f t="shared" si="13"/>
        <v>3.0884564621051762</v>
      </c>
      <c r="L15" s="1">
        <v>128.977</v>
      </c>
      <c r="M15" s="1">
        <f t="shared" si="14"/>
        <v>2.110512271046058</v>
      </c>
      <c r="N15" s="1">
        <v>153.22300000000001</v>
      </c>
      <c r="O15" s="1">
        <f t="shared" si="15"/>
        <v>2.1853239612714468</v>
      </c>
      <c r="P15" s="1">
        <v>-24.245999999999999</v>
      </c>
      <c r="Q15" s="1" t="e">
        <f ca="1"/>
        <v>#NAME?</v>
      </c>
      <c r="R15" s="1" t="e">
        <f t="shared" ca="1" si="0"/>
        <v>#NAME?</v>
      </c>
      <c r="T15" s="1">
        <v>56618.333333333299</v>
      </c>
      <c r="U15" s="1" t="e">
        <f ca="1"/>
        <v>#NAME?</v>
      </c>
      <c r="V15" s="1" t="e">
        <f t="shared" ca="1" si="1"/>
        <v>#NAME?</v>
      </c>
      <c r="W15" s="1" t="e">
        <f ca="1"/>
        <v>#NAME?</v>
      </c>
      <c r="X15" s="1" t="e">
        <f t="shared" ca="1" si="2"/>
        <v>#NAME?</v>
      </c>
      <c r="Y15" s="1" t="e">
        <f ca="1"/>
        <v>#NAME?</v>
      </c>
      <c r="Z15" s="1" t="e">
        <f t="shared" ca="1" si="3"/>
        <v>#NAME?</v>
      </c>
      <c r="AA15" s="1" t="e">
        <f ca="1"/>
        <v>#NAME?</v>
      </c>
      <c r="AB15" s="1" t="e">
        <f t="shared" ca="1" si="4"/>
        <v>#NAME?</v>
      </c>
      <c r="AC15" s="1" t="e">
        <f ca="1"/>
        <v>#NAME?</v>
      </c>
      <c r="AD15" s="1" t="e">
        <f t="shared" ca="1" si="5"/>
        <v>#NAME?</v>
      </c>
      <c r="AE15" s="1" t="e">
        <f ca="1"/>
        <v>#NAME?</v>
      </c>
      <c r="AF15" s="1" t="e">
        <f t="shared" ca="1" si="6"/>
        <v>#NAME?</v>
      </c>
      <c r="AG15" s="1" t="e">
        <f ca="1"/>
        <v>#NAME?</v>
      </c>
      <c r="AH15" s="1" t="e">
        <f t="shared" ca="1" si="7"/>
        <v>#NAME?</v>
      </c>
      <c r="AI15" s="1" t="e">
        <f ca="1"/>
        <v>#NAME?</v>
      </c>
      <c r="AJ15" s="1" t="e">
        <f t="shared" ca="1" si="16"/>
        <v>#NAME?</v>
      </c>
      <c r="AK15" s="1" t="e">
        <f ca="1"/>
        <v>#NAME?</v>
      </c>
      <c r="AL15" s="1" t="e">
        <f t="shared" ca="1" si="8"/>
        <v>#NAME?</v>
      </c>
    </row>
    <row r="16" spans="1:42" x14ac:dyDescent="0.25">
      <c r="A16" s="1" t="s">
        <v>31</v>
      </c>
      <c r="B16" s="1">
        <v>15</v>
      </c>
      <c r="C16" s="1">
        <v>3749.681</v>
      </c>
      <c r="D16" s="1">
        <f t="shared" si="9"/>
        <v>3.5739943221723518</v>
      </c>
      <c r="E16" s="1">
        <v>2261.942</v>
      </c>
      <c r="F16" s="1">
        <f t="shared" si="10"/>
        <v>3.3544814646907217</v>
      </c>
      <c r="G16" s="1">
        <v>429.512</v>
      </c>
      <c r="H16" s="1">
        <f t="shared" si="11"/>
        <v>2.6329753019530129</v>
      </c>
      <c r="I16" s="1">
        <v>1280.2950000000001</v>
      </c>
      <c r="J16" s="1">
        <f t="shared" si="12"/>
        <v>0.34144104525158275</v>
      </c>
      <c r="K16" s="1">
        <f t="shared" si="13"/>
        <v>3.1073100494220571</v>
      </c>
      <c r="L16" s="1">
        <v>128.33099999999999</v>
      </c>
      <c r="M16" s="1">
        <f t="shared" si="14"/>
        <v>2.108331578453746</v>
      </c>
      <c r="N16" s="1">
        <v>157.114</v>
      </c>
      <c r="O16" s="1">
        <f t="shared" si="15"/>
        <v>2.19621488556096</v>
      </c>
      <c r="P16" s="1">
        <v>-28.783000000000001</v>
      </c>
      <c r="Q16" s="1" t="e">
        <f ca="1"/>
        <v>#NAME?</v>
      </c>
      <c r="R16" s="1" t="e">
        <f t="shared" ca="1" si="0"/>
        <v>#NAME?</v>
      </c>
      <c r="T16" s="1">
        <v>56927.333333333299</v>
      </c>
      <c r="U16" s="1" t="e">
        <f ca="1"/>
        <v>#NAME?</v>
      </c>
      <c r="V16" s="1" t="e">
        <f t="shared" ca="1" si="1"/>
        <v>#NAME?</v>
      </c>
      <c r="W16" s="1" t="e">
        <f ca="1"/>
        <v>#NAME?</v>
      </c>
      <c r="X16" s="1" t="e">
        <f t="shared" ca="1" si="2"/>
        <v>#NAME?</v>
      </c>
      <c r="Y16" s="1" t="e">
        <f ca="1"/>
        <v>#NAME?</v>
      </c>
      <c r="Z16" s="1" t="e">
        <f t="shared" ca="1" si="3"/>
        <v>#NAME?</v>
      </c>
      <c r="AA16" s="1" t="e">
        <f ca="1"/>
        <v>#NAME?</v>
      </c>
      <c r="AB16" s="1" t="e">
        <f t="shared" ca="1" si="4"/>
        <v>#NAME?</v>
      </c>
      <c r="AC16" s="1" t="e">
        <f ca="1"/>
        <v>#NAME?</v>
      </c>
      <c r="AD16" s="1" t="e">
        <f t="shared" ca="1" si="5"/>
        <v>#NAME?</v>
      </c>
      <c r="AE16" s="1" t="e">
        <f ca="1"/>
        <v>#NAME?</v>
      </c>
      <c r="AF16" s="1" t="e">
        <f t="shared" ca="1" si="6"/>
        <v>#NAME?</v>
      </c>
      <c r="AG16" s="1" t="e">
        <f ca="1"/>
        <v>#NAME?</v>
      </c>
      <c r="AH16" s="1" t="e">
        <f t="shared" ca="1" si="7"/>
        <v>#NAME?</v>
      </c>
      <c r="AI16" s="1" t="e">
        <f ca="1"/>
        <v>#NAME?</v>
      </c>
      <c r="AJ16" s="1" t="e">
        <f t="shared" ca="1" si="16"/>
        <v>#NAME?</v>
      </c>
      <c r="AK16" s="1" t="e">
        <f ca="1"/>
        <v>#NAME?</v>
      </c>
      <c r="AL16" s="1" t="e">
        <f t="shared" ca="1" si="8"/>
        <v>#NAME?</v>
      </c>
    </row>
    <row r="17" spans="1:38" x14ac:dyDescent="0.25">
      <c r="A17" s="1" t="s">
        <v>32</v>
      </c>
      <c r="B17" s="1">
        <v>16</v>
      </c>
      <c r="C17" s="1">
        <v>3774.2640000000001</v>
      </c>
      <c r="D17" s="1">
        <f t="shared" si="9"/>
        <v>3.5768322746665548</v>
      </c>
      <c r="E17" s="1">
        <v>2280.79</v>
      </c>
      <c r="F17" s="1">
        <f t="shared" si="10"/>
        <v>3.3580853001649866</v>
      </c>
      <c r="G17" s="1">
        <v>434.72699999999998</v>
      </c>
      <c r="H17" s="1">
        <f t="shared" si="11"/>
        <v>2.6382166141656853</v>
      </c>
      <c r="I17" s="1">
        <v>1267.0450000000001</v>
      </c>
      <c r="J17" s="1">
        <f t="shared" si="12"/>
        <v>0.33570651125623435</v>
      </c>
      <c r="K17" s="1">
        <f t="shared" si="13"/>
        <v>3.1027920394332718</v>
      </c>
      <c r="L17" s="1">
        <v>133.34700000000001</v>
      </c>
      <c r="M17" s="1">
        <f t="shared" si="14"/>
        <v>2.1249832495114478</v>
      </c>
      <c r="N17" s="1">
        <v>156.59800000000001</v>
      </c>
      <c r="O17" s="1">
        <f t="shared" si="15"/>
        <v>2.1947862111413983</v>
      </c>
      <c r="P17" s="1">
        <v>-23.251000000000001</v>
      </c>
      <c r="Q17" s="1" t="e">
        <f ca="1"/>
        <v>#NAME?</v>
      </c>
      <c r="R17" s="1" t="e">
        <f t="shared" ca="1" si="0"/>
        <v>#NAME?</v>
      </c>
      <c r="T17" s="1">
        <v>57299.666666666701</v>
      </c>
      <c r="U17" s="1" t="e">
        <f ca="1"/>
        <v>#NAME?</v>
      </c>
      <c r="V17" s="1" t="e">
        <f t="shared" ca="1" si="1"/>
        <v>#NAME?</v>
      </c>
      <c r="W17" s="1" t="e">
        <f ca="1"/>
        <v>#NAME?</v>
      </c>
      <c r="X17" s="1" t="e">
        <f t="shared" ca="1" si="2"/>
        <v>#NAME?</v>
      </c>
      <c r="Y17" s="1" t="e">
        <f ca="1"/>
        <v>#NAME?</v>
      </c>
      <c r="Z17" s="1" t="e">
        <f t="shared" ca="1" si="3"/>
        <v>#NAME?</v>
      </c>
      <c r="AA17" s="1" t="e">
        <f ca="1"/>
        <v>#NAME?</v>
      </c>
      <c r="AB17" s="1" t="e">
        <f t="shared" ca="1" si="4"/>
        <v>#NAME?</v>
      </c>
      <c r="AC17" s="1" t="e">
        <f ca="1"/>
        <v>#NAME?</v>
      </c>
      <c r="AD17" s="1" t="e">
        <f t="shared" ca="1" si="5"/>
        <v>#NAME?</v>
      </c>
      <c r="AE17" s="1" t="e">
        <f ca="1"/>
        <v>#NAME?</v>
      </c>
      <c r="AF17" s="1" t="e">
        <f t="shared" ca="1" si="6"/>
        <v>#NAME?</v>
      </c>
      <c r="AG17" s="1" t="e">
        <f ca="1"/>
        <v>#NAME?</v>
      </c>
      <c r="AH17" s="1" t="e">
        <f t="shared" ca="1" si="7"/>
        <v>#NAME?</v>
      </c>
      <c r="AI17" s="1" t="e">
        <f ca="1"/>
        <v>#NAME?</v>
      </c>
      <c r="AJ17" s="1" t="e">
        <f t="shared" ca="1" si="16"/>
        <v>#NAME?</v>
      </c>
      <c r="AK17" s="1" t="e">
        <f ca="1"/>
        <v>#NAME?</v>
      </c>
      <c r="AL17" s="1" t="e">
        <f t="shared" ca="1" si="8"/>
        <v>#NAME?</v>
      </c>
    </row>
    <row r="18" spans="1:38" x14ac:dyDescent="0.25">
      <c r="A18" s="1" t="s">
        <v>33</v>
      </c>
      <c r="B18" s="1">
        <v>17</v>
      </c>
      <c r="C18" s="1">
        <v>3853.835</v>
      </c>
      <c r="D18" s="1">
        <f t="shared" si="9"/>
        <v>3.5858931166184727</v>
      </c>
      <c r="E18" s="1">
        <v>2325.5540000000001</v>
      </c>
      <c r="F18" s="1">
        <f t="shared" si="10"/>
        <v>3.3665264284012832</v>
      </c>
      <c r="G18" s="1">
        <v>450.99700000000001</v>
      </c>
      <c r="H18" s="1">
        <f t="shared" si="11"/>
        <v>2.6541736529915325</v>
      </c>
      <c r="I18" s="1">
        <v>1270.9970000000001</v>
      </c>
      <c r="J18" s="1">
        <f t="shared" si="12"/>
        <v>0.32980057527112605</v>
      </c>
      <c r="K18" s="1">
        <f t="shared" si="13"/>
        <v>3.1041445254674751</v>
      </c>
      <c r="L18" s="1">
        <v>140.09100000000001</v>
      </c>
      <c r="M18" s="1">
        <f t="shared" si="14"/>
        <v>2.1464102353865027</v>
      </c>
      <c r="N18" s="1">
        <v>156.45099999999999</v>
      </c>
      <c r="O18" s="1">
        <f t="shared" si="15"/>
        <v>2.1943783434048325</v>
      </c>
      <c r="P18" s="1">
        <v>-16.36</v>
      </c>
      <c r="Q18" s="1" t="e">
        <f ca="1"/>
        <v>#NAME?</v>
      </c>
      <c r="R18" s="1" t="e">
        <f t="shared" ca="1" si="0"/>
        <v>#NAME?</v>
      </c>
      <c r="T18" s="1">
        <v>57712.333333333299</v>
      </c>
      <c r="U18" s="1" t="e">
        <f ca="1"/>
        <v>#NAME?</v>
      </c>
      <c r="V18" s="1" t="e">
        <f t="shared" ca="1" si="1"/>
        <v>#NAME?</v>
      </c>
      <c r="W18" s="1" t="e">
        <f ca="1"/>
        <v>#NAME?</v>
      </c>
      <c r="X18" s="1" t="e">
        <f t="shared" ca="1" si="2"/>
        <v>#NAME?</v>
      </c>
      <c r="Y18" s="1" t="e">
        <f ca="1"/>
        <v>#NAME?</v>
      </c>
      <c r="Z18" s="1" t="e">
        <f t="shared" ca="1" si="3"/>
        <v>#NAME?</v>
      </c>
      <c r="AA18" s="1" t="e">
        <f ca="1"/>
        <v>#NAME?</v>
      </c>
      <c r="AB18" s="1" t="e">
        <f t="shared" ca="1" si="4"/>
        <v>#NAME?</v>
      </c>
      <c r="AC18" s="1" t="e">
        <f ca="1"/>
        <v>#NAME?</v>
      </c>
      <c r="AD18" s="1" t="e">
        <f t="shared" ca="1" si="5"/>
        <v>#NAME?</v>
      </c>
      <c r="AE18" s="1" t="e">
        <f ca="1"/>
        <v>#NAME?</v>
      </c>
      <c r="AF18" s="1" t="e">
        <f t="shared" ca="1" si="6"/>
        <v>#NAME?</v>
      </c>
      <c r="AG18" s="1" t="e">
        <f ca="1"/>
        <v>#NAME?</v>
      </c>
      <c r="AH18" s="1" t="e">
        <f t="shared" ca="1" si="7"/>
        <v>#NAME?</v>
      </c>
      <c r="AI18" s="1" t="e">
        <f ca="1"/>
        <v>#NAME?</v>
      </c>
      <c r="AJ18" s="1" t="e">
        <f t="shared" ca="1" si="16"/>
        <v>#NAME?</v>
      </c>
      <c r="AK18" s="1" t="e">
        <f ca="1"/>
        <v>#NAME?</v>
      </c>
      <c r="AL18" s="1" t="e">
        <f t="shared" ca="1" si="8"/>
        <v>#NAME?</v>
      </c>
    </row>
    <row r="19" spans="1:38" x14ac:dyDescent="0.25">
      <c r="A19" s="1" t="s">
        <v>34</v>
      </c>
      <c r="B19" s="1">
        <v>18</v>
      </c>
      <c r="C19" s="1">
        <v>3895.7930000000001</v>
      </c>
      <c r="D19" s="1">
        <f t="shared" si="9"/>
        <v>3.5905958729124126</v>
      </c>
      <c r="E19" s="1">
        <v>2366.6909999999998</v>
      </c>
      <c r="F19" s="1">
        <f t="shared" si="10"/>
        <v>3.3741415592577506</v>
      </c>
      <c r="G19" s="1">
        <v>449.37299999999999</v>
      </c>
      <c r="H19" s="1">
        <f t="shared" si="11"/>
        <v>2.6526069748404004</v>
      </c>
      <c r="I19" s="1">
        <v>1282.412</v>
      </c>
      <c r="J19" s="1">
        <f t="shared" si="12"/>
        <v>0.3291786806947905</v>
      </c>
      <c r="K19" s="1">
        <f t="shared" si="13"/>
        <v>3.1080275732180471</v>
      </c>
      <c r="L19" s="1">
        <v>139.51900000000001</v>
      </c>
      <c r="M19" s="1">
        <f t="shared" si="14"/>
        <v>2.1446333548015204</v>
      </c>
      <c r="N19" s="1">
        <v>159.97300000000001</v>
      </c>
      <c r="O19" s="1">
        <f t="shared" si="15"/>
        <v>2.204046689277801</v>
      </c>
      <c r="P19" s="1">
        <v>-20.454000000000001</v>
      </c>
      <c r="Q19" s="1" t="e">
        <f ca="1"/>
        <v>#NAME?</v>
      </c>
      <c r="R19" s="1" t="e">
        <f t="shared" ca="1" si="0"/>
        <v>#NAME?</v>
      </c>
      <c r="T19" s="1">
        <v>58076.666666666701</v>
      </c>
      <c r="U19" s="1" t="e">
        <f ca="1"/>
        <v>#NAME?</v>
      </c>
      <c r="V19" s="1" t="e">
        <f t="shared" ca="1" si="1"/>
        <v>#NAME?</v>
      </c>
      <c r="W19" s="1" t="e">
        <f ca="1"/>
        <v>#NAME?</v>
      </c>
      <c r="X19" s="1" t="e">
        <f t="shared" ca="1" si="2"/>
        <v>#NAME?</v>
      </c>
      <c r="Y19" s="1" t="e">
        <f ca="1"/>
        <v>#NAME?</v>
      </c>
      <c r="Z19" s="1" t="e">
        <f t="shared" ca="1" si="3"/>
        <v>#NAME?</v>
      </c>
      <c r="AA19" s="1" t="e">
        <f ca="1"/>
        <v>#NAME?</v>
      </c>
      <c r="AB19" s="1" t="e">
        <f t="shared" ca="1" si="4"/>
        <v>#NAME?</v>
      </c>
      <c r="AC19" s="1" t="e">
        <f ca="1"/>
        <v>#NAME?</v>
      </c>
      <c r="AD19" s="1" t="e">
        <f t="shared" ca="1" si="5"/>
        <v>#NAME?</v>
      </c>
      <c r="AE19" s="1" t="e">
        <f ca="1"/>
        <v>#NAME?</v>
      </c>
      <c r="AF19" s="1" t="e">
        <f t="shared" ca="1" si="6"/>
        <v>#NAME?</v>
      </c>
      <c r="AG19" s="1" t="e">
        <f ca="1"/>
        <v>#NAME?</v>
      </c>
      <c r="AH19" s="1" t="e">
        <f t="shared" ca="1" si="7"/>
        <v>#NAME?</v>
      </c>
      <c r="AI19" s="1" t="e">
        <f ca="1"/>
        <v>#NAME?</v>
      </c>
      <c r="AJ19" s="1" t="e">
        <f t="shared" ca="1" si="16"/>
        <v>#NAME?</v>
      </c>
      <c r="AK19" s="1" t="e">
        <f ca="1"/>
        <v>#NAME?</v>
      </c>
      <c r="AL19" s="1" t="e">
        <f t="shared" ca="1" si="8"/>
        <v>#NAME?</v>
      </c>
    </row>
    <row r="20" spans="1:38" x14ac:dyDescent="0.25">
      <c r="A20" s="1" t="s">
        <v>35</v>
      </c>
      <c r="B20" s="1">
        <v>19</v>
      </c>
      <c r="C20" s="1">
        <v>3956.6570000000002</v>
      </c>
      <c r="D20" s="1">
        <f t="shared" si="9"/>
        <v>3.5973284031940391</v>
      </c>
      <c r="E20" s="1">
        <v>2410.4079999999999</v>
      </c>
      <c r="F20" s="1">
        <f t="shared" si="10"/>
        <v>3.3820905600651057</v>
      </c>
      <c r="G20" s="1">
        <v>459.86099999999999</v>
      </c>
      <c r="H20" s="1">
        <f t="shared" si="11"/>
        <v>2.6626265793870556</v>
      </c>
      <c r="I20" s="1">
        <v>1283.9290000000001</v>
      </c>
      <c r="J20" s="1">
        <f t="shared" si="12"/>
        <v>0.32449843390518818</v>
      </c>
      <c r="K20" s="1">
        <f t="shared" si="13"/>
        <v>3.1085410083428271</v>
      </c>
      <c r="L20" s="1">
        <v>143.887</v>
      </c>
      <c r="M20" s="1">
        <f t="shared" si="14"/>
        <v>2.1580215577774418</v>
      </c>
      <c r="N20" s="1">
        <v>164.26599999999999</v>
      </c>
      <c r="O20" s="1">
        <f t="shared" si="15"/>
        <v>2.215547681874356</v>
      </c>
      <c r="P20" s="1">
        <v>-20.379000000000001</v>
      </c>
      <c r="Q20" s="1" t="e">
        <f ca="1"/>
        <v>#NAME?</v>
      </c>
      <c r="R20" s="1" t="e">
        <f t="shared" ca="1" si="0"/>
        <v>#NAME?</v>
      </c>
      <c r="T20" s="1">
        <v>58644.666666666701</v>
      </c>
      <c r="U20" s="1" t="e">
        <f ca="1"/>
        <v>#NAME?</v>
      </c>
      <c r="V20" s="1" t="e">
        <f t="shared" ca="1" si="1"/>
        <v>#NAME?</v>
      </c>
      <c r="W20" s="1" t="e">
        <f ca="1"/>
        <v>#NAME?</v>
      </c>
      <c r="X20" s="1" t="e">
        <f t="shared" ca="1" si="2"/>
        <v>#NAME?</v>
      </c>
      <c r="Y20" s="1" t="e">
        <f ca="1"/>
        <v>#NAME?</v>
      </c>
      <c r="Z20" s="1" t="e">
        <f t="shared" ca="1" si="3"/>
        <v>#NAME?</v>
      </c>
      <c r="AA20" s="1" t="e">
        <f ca="1"/>
        <v>#NAME?</v>
      </c>
      <c r="AB20" s="1" t="e">
        <f t="shared" ca="1" si="4"/>
        <v>#NAME?</v>
      </c>
      <c r="AC20" s="1" t="e">
        <f ca="1"/>
        <v>#NAME?</v>
      </c>
      <c r="AD20" s="1" t="e">
        <f t="shared" ca="1" si="5"/>
        <v>#NAME?</v>
      </c>
      <c r="AE20" s="1" t="e">
        <f ca="1"/>
        <v>#NAME?</v>
      </c>
      <c r="AF20" s="1" t="e">
        <f t="shared" ca="1" si="6"/>
        <v>#NAME?</v>
      </c>
      <c r="AG20" s="1" t="e">
        <f ca="1"/>
        <v>#NAME?</v>
      </c>
      <c r="AH20" s="1" t="e">
        <f t="shared" ca="1" si="7"/>
        <v>#NAME?</v>
      </c>
      <c r="AI20" s="1" t="e">
        <f ca="1"/>
        <v>#NAME?</v>
      </c>
      <c r="AJ20" s="1" t="e">
        <f t="shared" ca="1" si="16"/>
        <v>#NAME?</v>
      </c>
      <c r="AK20" s="1" t="e">
        <f ca="1"/>
        <v>#NAME?</v>
      </c>
      <c r="AL20" s="1" t="e">
        <f t="shared" ca="1" si="8"/>
        <v>#NAME?</v>
      </c>
    </row>
    <row r="21" spans="1:38" x14ac:dyDescent="0.25">
      <c r="A21" s="1" t="s">
        <v>36</v>
      </c>
      <c r="B21" s="1">
        <v>20</v>
      </c>
      <c r="C21" s="1">
        <v>3968.8780000000002</v>
      </c>
      <c r="D21" s="1">
        <f t="shared" si="9"/>
        <v>3.5986677492621331</v>
      </c>
      <c r="E21" s="1">
        <v>2417.288</v>
      </c>
      <c r="F21" s="1">
        <f t="shared" si="10"/>
        <v>3.383328396108749</v>
      </c>
      <c r="G21" s="1">
        <v>464.22899999999998</v>
      </c>
      <c r="H21" s="1">
        <f t="shared" si="11"/>
        <v>2.6667322669828497</v>
      </c>
      <c r="I21" s="1">
        <v>1283.386</v>
      </c>
      <c r="J21" s="1">
        <f t="shared" si="12"/>
        <v>0.323362421319073</v>
      </c>
      <c r="K21" s="1">
        <f t="shared" si="13"/>
        <v>3.1083572974174518</v>
      </c>
      <c r="L21" s="1">
        <v>146.78399999999999</v>
      </c>
      <c r="M21" s="1">
        <f t="shared" si="14"/>
        <v>2.1666787184518883</v>
      </c>
      <c r="N21" s="1">
        <v>168.709</v>
      </c>
      <c r="O21" s="1">
        <f t="shared" si="15"/>
        <v>2.2271382512084452</v>
      </c>
      <c r="P21" s="1">
        <v>-21.925000000000001</v>
      </c>
      <c r="Q21" s="1" t="e">
        <f ca="1"/>
        <v>#NAME?</v>
      </c>
      <c r="R21" s="1" t="e">
        <f t="shared" ca="1" si="0"/>
        <v>#NAME?</v>
      </c>
      <c r="T21" s="1">
        <v>59144</v>
      </c>
      <c r="U21" s="1" t="e">
        <f ca="1"/>
        <v>#NAME?</v>
      </c>
      <c r="V21" s="1" t="e">
        <f t="shared" ca="1" si="1"/>
        <v>#NAME?</v>
      </c>
      <c r="W21" s="1" t="e">
        <f ca="1"/>
        <v>#NAME?</v>
      </c>
      <c r="X21" s="1" t="e">
        <f t="shared" ca="1" si="2"/>
        <v>#NAME?</v>
      </c>
      <c r="Y21" s="1" t="e">
        <f ca="1"/>
        <v>#NAME?</v>
      </c>
      <c r="Z21" s="1" t="e">
        <f t="shared" ca="1" si="3"/>
        <v>#NAME?</v>
      </c>
      <c r="AA21" s="1" t="e">
        <f ca="1"/>
        <v>#NAME?</v>
      </c>
      <c r="AB21" s="1" t="e">
        <f t="shared" ca="1" si="4"/>
        <v>#NAME?</v>
      </c>
      <c r="AC21" s="1" t="e">
        <f ca="1"/>
        <v>#NAME?</v>
      </c>
      <c r="AD21" s="1" t="e">
        <f t="shared" ca="1" si="5"/>
        <v>#NAME?</v>
      </c>
      <c r="AE21" s="1" t="e">
        <f ca="1"/>
        <v>#NAME?</v>
      </c>
      <c r="AF21" s="1" t="e">
        <f t="shared" ca="1" si="6"/>
        <v>#NAME?</v>
      </c>
      <c r="AG21" s="1" t="e">
        <f ca="1"/>
        <v>#NAME?</v>
      </c>
      <c r="AH21" s="1" t="e">
        <f t="shared" ca="1" si="7"/>
        <v>#NAME?</v>
      </c>
      <c r="AI21" s="1" t="e">
        <f ca="1"/>
        <v>#NAME?</v>
      </c>
      <c r="AJ21" s="1" t="e">
        <f t="shared" ca="1" si="16"/>
        <v>#NAME?</v>
      </c>
      <c r="AK21" s="1" t="e">
        <f ca="1"/>
        <v>#NAME?</v>
      </c>
      <c r="AL21" s="1" t="e">
        <f t="shared" ca="1" si="8"/>
        <v>#NAME?</v>
      </c>
    </row>
    <row r="22" spans="1:38" x14ac:dyDescent="0.25">
      <c r="A22" s="1" t="s">
        <v>37</v>
      </c>
      <c r="B22" s="1">
        <v>21</v>
      </c>
      <c r="C22" s="1">
        <v>4064.915</v>
      </c>
      <c r="D22" s="1">
        <f t="shared" si="9"/>
        <v>3.6090514686467126</v>
      </c>
      <c r="E22" s="1">
        <v>2471.1959999999999</v>
      </c>
      <c r="F22" s="1">
        <f t="shared" si="10"/>
        <v>3.3929071923234471</v>
      </c>
      <c r="G22" s="1">
        <v>508.49099999999999</v>
      </c>
      <c r="H22" s="1">
        <f t="shared" si="11"/>
        <v>2.7062832705627411</v>
      </c>
      <c r="I22" s="1">
        <v>1281.9100000000001</v>
      </c>
      <c r="J22" s="1">
        <f t="shared" si="12"/>
        <v>0.31535960776547606</v>
      </c>
      <c r="K22" s="1">
        <f t="shared" si="13"/>
        <v>3.1078575354203752</v>
      </c>
      <c r="L22" s="1">
        <v>129.69999999999999</v>
      </c>
      <c r="M22" s="1">
        <f t="shared" si="14"/>
        <v>2.1129399760840801</v>
      </c>
      <c r="N22" s="1">
        <v>162.63499999999999</v>
      </c>
      <c r="O22" s="1">
        <f t="shared" si="15"/>
        <v>2.2112140140203613</v>
      </c>
      <c r="P22" s="1">
        <v>-32.935000000000002</v>
      </c>
      <c r="Q22" s="1" t="e">
        <f ca="1"/>
        <v>#NAME?</v>
      </c>
      <c r="R22" s="1" t="e">
        <f t="shared" ca="1" si="0"/>
        <v>#NAME?</v>
      </c>
      <c r="T22" s="1">
        <v>59795</v>
      </c>
      <c r="U22" s="1" t="e">
        <f ca="1"/>
        <v>#NAME?</v>
      </c>
      <c r="V22" s="1" t="e">
        <f t="shared" ca="1" si="1"/>
        <v>#NAME?</v>
      </c>
      <c r="W22" s="1" t="e">
        <f ca="1"/>
        <v>#NAME?</v>
      </c>
      <c r="X22" s="1" t="e">
        <f t="shared" ca="1" si="2"/>
        <v>#NAME?</v>
      </c>
      <c r="Y22" s="1" t="e">
        <f ca="1"/>
        <v>#NAME?</v>
      </c>
      <c r="Z22" s="1" t="e">
        <f t="shared" ca="1" si="3"/>
        <v>#NAME?</v>
      </c>
      <c r="AA22" s="1" t="e">
        <f ca="1"/>
        <v>#NAME?</v>
      </c>
      <c r="AB22" s="1" t="e">
        <f t="shared" ca="1" si="4"/>
        <v>#NAME?</v>
      </c>
      <c r="AC22" s="1" t="e">
        <f ca="1"/>
        <v>#NAME?</v>
      </c>
      <c r="AD22" s="1" t="e">
        <f t="shared" ca="1" si="5"/>
        <v>#NAME?</v>
      </c>
      <c r="AE22" s="1" t="e">
        <f ca="1"/>
        <v>#NAME?</v>
      </c>
      <c r="AF22" s="1" t="e">
        <f t="shared" ca="1" si="6"/>
        <v>#NAME?</v>
      </c>
      <c r="AG22" s="1" t="e">
        <f ca="1"/>
        <v>#NAME?</v>
      </c>
      <c r="AH22" s="1" t="e">
        <f t="shared" ca="1" si="7"/>
        <v>#NAME?</v>
      </c>
      <c r="AI22" s="1" t="e">
        <f ca="1"/>
        <v>#NAME?</v>
      </c>
      <c r="AJ22" s="1" t="e">
        <f t="shared" ca="1" si="16"/>
        <v>#NAME?</v>
      </c>
      <c r="AK22" s="1" t="e">
        <f ca="1"/>
        <v>#NAME?</v>
      </c>
      <c r="AL22" s="1" t="e">
        <f t="shared" ca="1" si="8"/>
        <v>#NAME?</v>
      </c>
    </row>
    <row r="23" spans="1:38" x14ac:dyDescent="0.25">
      <c r="A23" s="1" t="s">
        <v>38</v>
      </c>
      <c r="B23" s="1">
        <v>22</v>
      </c>
      <c r="C23" s="1">
        <v>4116.2669999999998</v>
      </c>
      <c r="D23" s="1">
        <f t="shared" si="9"/>
        <v>3.6145035373406009</v>
      </c>
      <c r="E23" s="1">
        <v>2498.4499999999998</v>
      </c>
      <c r="F23" s="1">
        <f t="shared" si="10"/>
        <v>3.3976706625873407</v>
      </c>
      <c r="G23" s="1">
        <v>509.827</v>
      </c>
      <c r="H23" s="1">
        <f t="shared" si="11"/>
        <v>2.7074228316050175</v>
      </c>
      <c r="I23" s="1">
        <v>1297.0740000000001</v>
      </c>
      <c r="J23" s="1">
        <f t="shared" si="12"/>
        <v>0.31510929684590433</v>
      </c>
      <c r="K23" s="1">
        <f t="shared" si="13"/>
        <v>3.1129647539367316</v>
      </c>
      <c r="L23" s="1">
        <v>151.411</v>
      </c>
      <c r="M23" s="1">
        <f t="shared" si="14"/>
        <v>2.1801574277780809</v>
      </c>
      <c r="N23" s="1">
        <v>181.828</v>
      </c>
      <c r="O23" s="1">
        <f t="shared" si="15"/>
        <v>2.2596607617746005</v>
      </c>
      <c r="P23" s="1">
        <v>-30.417000000000002</v>
      </c>
      <c r="Q23" s="1" t="e">
        <f ca="1"/>
        <v>#NAME?</v>
      </c>
      <c r="R23" s="1" t="e">
        <f t="shared" ca="1" si="0"/>
        <v>#NAME?</v>
      </c>
      <c r="T23" s="1">
        <v>60480</v>
      </c>
      <c r="U23" s="1" t="e">
        <f ca="1"/>
        <v>#NAME?</v>
      </c>
      <c r="V23" s="1" t="e">
        <f t="shared" ca="1" si="1"/>
        <v>#NAME?</v>
      </c>
      <c r="W23" s="1" t="e">
        <f ca="1"/>
        <v>#NAME?</v>
      </c>
      <c r="X23" s="1" t="e">
        <f t="shared" ca="1" si="2"/>
        <v>#NAME?</v>
      </c>
      <c r="Y23" s="1" t="e">
        <f ca="1"/>
        <v>#NAME?</v>
      </c>
      <c r="Z23" s="1" t="e">
        <f t="shared" ca="1" si="3"/>
        <v>#NAME?</v>
      </c>
      <c r="AA23" s="1" t="e">
        <f ca="1"/>
        <v>#NAME?</v>
      </c>
      <c r="AB23" s="1" t="e">
        <f t="shared" ca="1" si="4"/>
        <v>#NAME?</v>
      </c>
      <c r="AC23" s="1" t="e">
        <f ca="1"/>
        <v>#NAME?</v>
      </c>
      <c r="AD23" s="1" t="e">
        <f t="shared" ca="1" si="5"/>
        <v>#NAME?</v>
      </c>
      <c r="AE23" s="1" t="e">
        <f ca="1"/>
        <v>#NAME?</v>
      </c>
      <c r="AF23" s="1" t="e">
        <f t="shared" ca="1" si="6"/>
        <v>#NAME?</v>
      </c>
      <c r="AG23" s="1" t="e">
        <f ca="1"/>
        <v>#NAME?</v>
      </c>
      <c r="AH23" s="1" t="e">
        <f t="shared" ca="1" si="7"/>
        <v>#NAME?</v>
      </c>
      <c r="AI23" s="1" t="e">
        <f ca="1"/>
        <v>#NAME?</v>
      </c>
      <c r="AJ23" s="1" t="e">
        <f t="shared" ca="1" si="16"/>
        <v>#NAME?</v>
      </c>
      <c r="AK23" s="1" t="e">
        <f ca="1"/>
        <v>#NAME?</v>
      </c>
      <c r="AL23" s="1" t="e">
        <f t="shared" ca="1" si="8"/>
        <v>#NAME?</v>
      </c>
    </row>
    <row r="24" spans="1:38" x14ac:dyDescent="0.25">
      <c r="A24" s="1" t="s">
        <v>39</v>
      </c>
      <c r="B24" s="1">
        <v>23</v>
      </c>
      <c r="C24" s="1">
        <v>4207.7820000000002</v>
      </c>
      <c r="D24" s="1">
        <f t="shared" si="9"/>
        <v>3.6240532314666094</v>
      </c>
      <c r="E24" s="1">
        <v>2541.38</v>
      </c>
      <c r="F24" s="1">
        <f t="shared" si="10"/>
        <v>3.4050696078147555</v>
      </c>
      <c r="G24" s="1">
        <v>527.57799999999997</v>
      </c>
      <c r="H24" s="1">
        <f t="shared" si="11"/>
        <v>2.7222866771741572</v>
      </c>
      <c r="I24" s="1">
        <v>1340.1089999999999</v>
      </c>
      <c r="J24" s="1">
        <f t="shared" si="12"/>
        <v>0.31848346706174413</v>
      </c>
      <c r="K24" s="1">
        <f t="shared" si="13"/>
        <v>3.1271401238672807</v>
      </c>
      <c r="L24" s="1">
        <v>148.04599999999999</v>
      </c>
      <c r="M24" s="1">
        <f t="shared" si="14"/>
        <v>2.1703966778422008</v>
      </c>
      <c r="N24" s="1">
        <v>182.57400000000001</v>
      </c>
      <c r="O24" s="1">
        <f t="shared" si="15"/>
        <v>2.2614389305887377</v>
      </c>
      <c r="P24" s="1">
        <v>-34.527999999999999</v>
      </c>
      <c r="Q24" s="1" t="e">
        <f ca="1"/>
        <v>#NAME?</v>
      </c>
      <c r="R24" s="1" t="e">
        <f t="shared" ca="1" si="0"/>
        <v>#NAME?</v>
      </c>
      <c r="T24" s="1">
        <v>61227.666666666701</v>
      </c>
      <c r="U24" s="1" t="e">
        <f ca="1"/>
        <v>#NAME?</v>
      </c>
      <c r="V24" s="1" t="e">
        <f t="shared" ca="1" si="1"/>
        <v>#NAME?</v>
      </c>
      <c r="W24" s="1" t="e">
        <f ca="1"/>
        <v>#NAME?</v>
      </c>
      <c r="X24" s="1" t="e">
        <f t="shared" ca="1" si="2"/>
        <v>#NAME?</v>
      </c>
      <c r="Y24" s="1" t="e">
        <f ca="1"/>
        <v>#NAME?</v>
      </c>
      <c r="Z24" s="1" t="e">
        <f t="shared" ca="1" si="3"/>
        <v>#NAME?</v>
      </c>
      <c r="AA24" s="1" t="e">
        <f ca="1"/>
        <v>#NAME?</v>
      </c>
      <c r="AB24" s="1" t="e">
        <f t="shared" ca="1" si="4"/>
        <v>#NAME?</v>
      </c>
      <c r="AC24" s="1" t="e">
        <f ca="1"/>
        <v>#NAME?</v>
      </c>
      <c r="AD24" s="1" t="e">
        <f t="shared" ca="1" si="5"/>
        <v>#NAME?</v>
      </c>
      <c r="AE24" s="1" t="e">
        <f ca="1"/>
        <v>#NAME?</v>
      </c>
      <c r="AF24" s="1" t="e">
        <f t="shared" ca="1" si="6"/>
        <v>#NAME?</v>
      </c>
      <c r="AG24" s="1" t="e">
        <f ca="1"/>
        <v>#NAME?</v>
      </c>
      <c r="AH24" s="1" t="e">
        <f t="shared" ca="1" si="7"/>
        <v>#NAME?</v>
      </c>
      <c r="AI24" s="1" t="e">
        <f ca="1"/>
        <v>#NAME?</v>
      </c>
      <c r="AJ24" s="1" t="e">
        <f t="shared" ca="1" si="16"/>
        <v>#NAME?</v>
      </c>
      <c r="AK24" s="1" t="e">
        <f ca="1"/>
        <v>#NAME?</v>
      </c>
      <c r="AL24" s="1" t="e">
        <f t="shared" ca="1" si="8"/>
        <v>#NAME?</v>
      </c>
    </row>
    <row r="25" spans="1:38" x14ac:dyDescent="0.25">
      <c r="A25" s="1" t="s">
        <v>40</v>
      </c>
      <c r="B25" s="1">
        <v>24</v>
      </c>
      <c r="C25" s="1">
        <v>4304.7309999999998</v>
      </c>
      <c r="D25" s="1">
        <f t="shared" si="9"/>
        <v>3.6339460178417702</v>
      </c>
      <c r="E25" s="1">
        <v>2612.826</v>
      </c>
      <c r="F25" s="1">
        <f t="shared" si="10"/>
        <v>3.417110489040001</v>
      </c>
      <c r="G25" s="1">
        <v>531.072</v>
      </c>
      <c r="H25" s="1">
        <f t="shared" si="11"/>
        <v>2.7251534044768415</v>
      </c>
      <c r="I25" s="1">
        <v>1365.498</v>
      </c>
      <c r="J25" s="1">
        <f t="shared" si="12"/>
        <v>0.31720867111092427</v>
      </c>
      <c r="K25" s="1">
        <f t="shared" si="13"/>
        <v>3.1352910683793773</v>
      </c>
      <c r="L25" s="1">
        <v>157.095</v>
      </c>
      <c r="M25" s="1">
        <f t="shared" si="14"/>
        <v>2.1961623625895226</v>
      </c>
      <c r="N25" s="1">
        <v>191.482</v>
      </c>
      <c r="O25" s="1">
        <f t="shared" si="15"/>
        <v>2.2821279549725788</v>
      </c>
      <c r="P25" s="1">
        <v>-34.387</v>
      </c>
      <c r="Q25" s="1" t="e">
        <f ca="1"/>
        <v>#NAME?</v>
      </c>
      <c r="R25" s="1" t="e">
        <f t="shared" ca="1" si="0"/>
        <v>#NAME?</v>
      </c>
      <c r="T25" s="1">
        <v>62012.333333333299</v>
      </c>
      <c r="U25" s="1" t="e">
        <f ca="1"/>
        <v>#NAME?</v>
      </c>
      <c r="V25" s="1" t="e">
        <f t="shared" ca="1" si="1"/>
        <v>#NAME?</v>
      </c>
      <c r="W25" s="1" t="e">
        <f ca="1"/>
        <v>#NAME?</v>
      </c>
      <c r="X25" s="1" t="e">
        <f t="shared" ca="1" si="2"/>
        <v>#NAME?</v>
      </c>
      <c r="Y25" s="1" t="e">
        <f ca="1"/>
        <v>#NAME?</v>
      </c>
      <c r="Z25" s="1" t="e">
        <f t="shared" ca="1" si="3"/>
        <v>#NAME?</v>
      </c>
      <c r="AA25" s="1" t="e">
        <f ca="1"/>
        <v>#NAME?</v>
      </c>
      <c r="AB25" s="1" t="e">
        <f t="shared" ca="1" si="4"/>
        <v>#NAME?</v>
      </c>
      <c r="AC25" s="1" t="e">
        <f ca="1"/>
        <v>#NAME?</v>
      </c>
      <c r="AD25" s="1" t="e">
        <f t="shared" ca="1" si="5"/>
        <v>#NAME?</v>
      </c>
      <c r="AE25" s="1" t="e">
        <f ca="1"/>
        <v>#NAME?</v>
      </c>
      <c r="AF25" s="1" t="e">
        <f t="shared" ca="1" si="6"/>
        <v>#NAME?</v>
      </c>
      <c r="AG25" s="1" t="e">
        <f ca="1"/>
        <v>#NAME?</v>
      </c>
      <c r="AH25" s="1" t="e">
        <f t="shared" ca="1" si="7"/>
        <v>#NAME?</v>
      </c>
      <c r="AI25" s="1" t="e">
        <f ca="1"/>
        <v>#NAME?</v>
      </c>
      <c r="AJ25" s="1" t="e">
        <f t="shared" ca="1" si="16"/>
        <v>#NAME?</v>
      </c>
      <c r="AK25" s="1" t="e">
        <f ca="1"/>
        <v>#NAME?</v>
      </c>
      <c r="AL25" s="1" t="e">
        <f t="shared" ca="1" si="8"/>
        <v>#NAME?</v>
      </c>
    </row>
    <row r="26" spans="1:38" x14ac:dyDescent="0.25">
      <c r="A26" s="1" t="s">
        <v>41</v>
      </c>
      <c r="B26" s="1">
        <v>25</v>
      </c>
      <c r="C26" s="1">
        <v>4409.518</v>
      </c>
      <c r="D26" s="1">
        <f t="shared" si="9"/>
        <v>3.6443911197670031</v>
      </c>
      <c r="E26" s="1">
        <v>2651.3969999999999</v>
      </c>
      <c r="F26" s="1">
        <f t="shared" si="10"/>
        <v>3.4234747605511333</v>
      </c>
      <c r="G26" s="1">
        <v>573.50199999999995</v>
      </c>
      <c r="H26" s="1">
        <f t="shared" si="11"/>
        <v>2.7585349367751228</v>
      </c>
      <c r="I26" s="1">
        <v>1390.9469999999999</v>
      </c>
      <c r="J26" s="1">
        <f t="shared" si="12"/>
        <v>0.31544195986953671</v>
      </c>
      <c r="K26" s="1">
        <f t="shared" si="13"/>
        <v>3.1433105821515994</v>
      </c>
      <c r="L26" s="1">
        <v>153.22399999999999</v>
      </c>
      <c r="M26" s="1">
        <f t="shared" si="14"/>
        <v>2.1853267956570464</v>
      </c>
      <c r="N26" s="1">
        <v>196.417</v>
      </c>
      <c r="O26" s="1">
        <f t="shared" si="15"/>
        <v>2.2931790735053172</v>
      </c>
      <c r="P26" s="1">
        <v>-43.192999999999998</v>
      </c>
      <c r="Q26" s="1" t="e">
        <f ca="1"/>
        <v>#NAME?</v>
      </c>
      <c r="R26" s="1" t="e">
        <f t="shared" ca="1" si="0"/>
        <v>#NAME?</v>
      </c>
      <c r="T26" s="1">
        <v>62839</v>
      </c>
      <c r="U26" s="1" t="e">
        <f ca="1"/>
        <v>#NAME?</v>
      </c>
      <c r="V26" s="1" t="e">
        <f t="shared" ca="1" si="1"/>
        <v>#NAME?</v>
      </c>
      <c r="W26" s="1" t="e">
        <f ca="1"/>
        <v>#NAME?</v>
      </c>
      <c r="X26" s="1" t="e">
        <f t="shared" ca="1" si="2"/>
        <v>#NAME?</v>
      </c>
      <c r="Y26" s="1" t="e">
        <f ca="1"/>
        <v>#NAME?</v>
      </c>
      <c r="Z26" s="1" t="e">
        <f t="shared" ca="1" si="3"/>
        <v>#NAME?</v>
      </c>
      <c r="AA26" s="1" t="e">
        <f ca="1"/>
        <v>#NAME?</v>
      </c>
      <c r="AB26" s="1" t="e">
        <f t="shared" ca="1" si="4"/>
        <v>#NAME?</v>
      </c>
      <c r="AC26" s="1" t="e">
        <f ca="1"/>
        <v>#NAME?</v>
      </c>
      <c r="AD26" s="1" t="e">
        <f t="shared" ca="1" si="5"/>
        <v>#NAME?</v>
      </c>
      <c r="AE26" s="1" t="e">
        <f ca="1"/>
        <v>#NAME?</v>
      </c>
      <c r="AF26" s="1" t="e">
        <f t="shared" ca="1" si="6"/>
        <v>#NAME?</v>
      </c>
      <c r="AG26" s="1" t="e">
        <f ca="1"/>
        <v>#NAME?</v>
      </c>
      <c r="AH26" s="1" t="e">
        <f t="shared" ca="1" si="7"/>
        <v>#NAME?</v>
      </c>
      <c r="AI26" s="1" t="e">
        <f ca="1"/>
        <v>#NAME?</v>
      </c>
      <c r="AJ26" s="1" t="e">
        <f t="shared" ca="1" si="16"/>
        <v>#NAME?</v>
      </c>
      <c r="AK26" s="1" t="e">
        <f ca="1"/>
        <v>#NAME?</v>
      </c>
      <c r="AL26" s="1" t="e">
        <f t="shared" ca="1" si="8"/>
        <v>#NAME?</v>
      </c>
    </row>
    <row r="27" spans="1:38" x14ac:dyDescent="0.25">
      <c r="A27" s="1" t="s">
        <v>42</v>
      </c>
      <c r="B27" s="1">
        <v>26</v>
      </c>
      <c r="C27" s="1">
        <v>4424.5810000000001</v>
      </c>
      <c r="D27" s="1">
        <f t="shared" si="9"/>
        <v>3.6458721500612485</v>
      </c>
      <c r="E27" s="1">
        <v>2658.1909999999998</v>
      </c>
      <c r="F27" s="1">
        <f t="shared" si="10"/>
        <v>3.4245861832530053</v>
      </c>
      <c r="G27" s="1">
        <v>565.01199999999994</v>
      </c>
      <c r="H27" s="1">
        <f t="shared" si="11"/>
        <v>2.7520576716750842</v>
      </c>
      <c r="I27" s="1">
        <v>1417.2260000000001</v>
      </c>
      <c r="J27" s="1">
        <f t="shared" si="12"/>
        <v>0.32030739181856993</v>
      </c>
      <c r="K27" s="1">
        <f t="shared" si="13"/>
        <v>3.1514391111695734</v>
      </c>
      <c r="L27" s="1">
        <v>157.828</v>
      </c>
      <c r="M27" s="1">
        <f t="shared" si="14"/>
        <v>2.1981840531621542</v>
      </c>
      <c r="N27" s="1">
        <v>201.30199999999999</v>
      </c>
      <c r="O27" s="1">
        <f t="shared" si="15"/>
        <v>2.3038480897652018</v>
      </c>
      <c r="P27" s="1">
        <v>-43.473999999999997</v>
      </c>
      <c r="Q27" s="1" t="e">
        <f ca="1"/>
        <v>#NAME?</v>
      </c>
      <c r="R27" s="1" t="e">
        <f t="shared" ca="1" si="0"/>
        <v>#NAME?</v>
      </c>
      <c r="T27" s="1">
        <v>63753.333333333299</v>
      </c>
      <c r="U27" s="1" t="e">
        <f ca="1"/>
        <v>#NAME?</v>
      </c>
      <c r="V27" s="1" t="e">
        <f t="shared" ca="1" si="1"/>
        <v>#NAME?</v>
      </c>
      <c r="W27" s="1" t="e">
        <f ca="1"/>
        <v>#NAME?</v>
      </c>
      <c r="X27" s="1" t="e">
        <f t="shared" ca="1" si="2"/>
        <v>#NAME?</v>
      </c>
      <c r="Y27" s="1" t="e">
        <f ca="1"/>
        <v>#NAME?</v>
      </c>
      <c r="Z27" s="1" t="e">
        <f t="shared" ca="1" si="3"/>
        <v>#NAME?</v>
      </c>
      <c r="AA27" s="1" t="e">
        <f ca="1"/>
        <v>#NAME?</v>
      </c>
      <c r="AB27" s="1" t="e">
        <f t="shared" ca="1" si="4"/>
        <v>#NAME?</v>
      </c>
      <c r="AC27" s="1" t="e">
        <f ca="1"/>
        <v>#NAME?</v>
      </c>
      <c r="AD27" s="1" t="e">
        <f t="shared" ca="1" si="5"/>
        <v>#NAME?</v>
      </c>
      <c r="AE27" s="1" t="e">
        <f ca="1"/>
        <v>#NAME?</v>
      </c>
      <c r="AF27" s="1" t="e">
        <f t="shared" ca="1" si="6"/>
        <v>#NAME?</v>
      </c>
      <c r="AG27" s="1" t="e">
        <f ca="1"/>
        <v>#NAME?</v>
      </c>
      <c r="AH27" s="1" t="e">
        <f t="shared" ca="1" si="7"/>
        <v>#NAME?</v>
      </c>
      <c r="AI27" s="1" t="e">
        <f ca="1"/>
        <v>#NAME?</v>
      </c>
      <c r="AJ27" s="1" t="e">
        <f t="shared" ca="1" si="16"/>
        <v>#NAME?</v>
      </c>
      <c r="AK27" s="1" t="e">
        <f ca="1"/>
        <v>#NAME?</v>
      </c>
      <c r="AL27" s="1" t="e">
        <f t="shared" ca="1" si="8"/>
        <v>#NAME?</v>
      </c>
    </row>
    <row r="28" spans="1:38" x14ac:dyDescent="0.25">
      <c r="A28" s="1" t="s">
        <v>43</v>
      </c>
      <c r="B28" s="1">
        <v>27</v>
      </c>
      <c r="C28" s="1">
        <v>4462.0529999999999</v>
      </c>
      <c r="D28" s="1">
        <f t="shared" si="9"/>
        <v>3.649534724502467</v>
      </c>
      <c r="E28" s="1">
        <v>2688.5459999999998</v>
      </c>
      <c r="F28" s="1">
        <f t="shared" si="10"/>
        <v>3.4295174714901928</v>
      </c>
      <c r="G28" s="1">
        <v>560.84400000000005</v>
      </c>
      <c r="H28" s="1">
        <f t="shared" si="11"/>
        <v>2.748842078082006</v>
      </c>
      <c r="I28" s="1">
        <v>1455.85</v>
      </c>
      <c r="J28" s="1">
        <f t="shared" si="12"/>
        <v>0.32627357855229416</v>
      </c>
      <c r="K28" s="1">
        <f t="shared" si="13"/>
        <v>3.1631166307955922</v>
      </c>
      <c r="L28" s="1">
        <v>155.94200000000001</v>
      </c>
      <c r="M28" s="1">
        <f t="shared" si="14"/>
        <v>2.192963099869226</v>
      </c>
      <c r="N28" s="1">
        <v>212.59299999999999</v>
      </c>
      <c r="O28" s="1">
        <f t="shared" si="15"/>
        <v>2.3275489605098438</v>
      </c>
      <c r="P28" s="1">
        <v>-56.651000000000003</v>
      </c>
      <c r="Q28" s="1" t="e">
        <f ca="1"/>
        <v>#NAME?</v>
      </c>
      <c r="R28" s="1" t="e">
        <f t="shared" ca="1" si="0"/>
        <v>#NAME?</v>
      </c>
      <c r="T28" s="1">
        <v>64483.666666666701</v>
      </c>
      <c r="U28" s="1" t="e">
        <f ca="1"/>
        <v>#NAME?</v>
      </c>
      <c r="V28" s="1" t="e">
        <f t="shared" ca="1" si="1"/>
        <v>#NAME?</v>
      </c>
      <c r="W28" s="1" t="e">
        <f ca="1"/>
        <v>#NAME?</v>
      </c>
      <c r="X28" s="1" t="e">
        <f t="shared" ca="1" si="2"/>
        <v>#NAME?</v>
      </c>
      <c r="Y28" s="1" t="e">
        <f ca="1"/>
        <v>#NAME?</v>
      </c>
      <c r="Z28" s="1" t="e">
        <f t="shared" ca="1" si="3"/>
        <v>#NAME?</v>
      </c>
      <c r="AA28" s="1" t="e">
        <f ca="1"/>
        <v>#NAME?</v>
      </c>
      <c r="AB28" s="1" t="e">
        <f t="shared" ca="1" si="4"/>
        <v>#NAME?</v>
      </c>
      <c r="AC28" s="1" t="e">
        <f ca="1"/>
        <v>#NAME?</v>
      </c>
      <c r="AD28" s="1" t="e">
        <f t="shared" ca="1" si="5"/>
        <v>#NAME?</v>
      </c>
      <c r="AE28" s="1" t="e">
        <f ca="1"/>
        <v>#NAME?</v>
      </c>
      <c r="AF28" s="1" t="e">
        <f t="shared" ca="1" si="6"/>
        <v>#NAME?</v>
      </c>
      <c r="AG28" s="1" t="e">
        <f ca="1"/>
        <v>#NAME?</v>
      </c>
      <c r="AH28" s="1" t="e">
        <f t="shared" ca="1" si="7"/>
        <v>#NAME?</v>
      </c>
      <c r="AI28" s="1" t="e">
        <f ca="1"/>
        <v>#NAME?</v>
      </c>
      <c r="AJ28" s="1" t="e">
        <f t="shared" ca="1" si="16"/>
        <v>#NAME?</v>
      </c>
      <c r="AK28" s="1" t="e">
        <f ca="1"/>
        <v>#NAME?</v>
      </c>
      <c r="AL28" s="1" t="e">
        <f t="shared" ca="1" si="8"/>
        <v>#NAME?</v>
      </c>
    </row>
    <row r="29" spans="1:38" x14ac:dyDescent="0.25">
      <c r="A29" s="1" t="s">
        <v>44</v>
      </c>
      <c r="B29" s="1">
        <v>28</v>
      </c>
      <c r="C29" s="1">
        <v>4498.66</v>
      </c>
      <c r="D29" s="1">
        <f t="shared" si="9"/>
        <v>3.6530831712710037</v>
      </c>
      <c r="E29" s="1">
        <v>2699.7469999999998</v>
      </c>
      <c r="F29" s="1">
        <f t="shared" si="10"/>
        <v>3.4313230672507795</v>
      </c>
      <c r="G29" s="1">
        <v>564.13099999999997</v>
      </c>
      <c r="H29" s="1">
        <f t="shared" si="11"/>
        <v>2.7513799656339573</v>
      </c>
      <c r="I29" s="1">
        <v>1480.9849999999999</v>
      </c>
      <c r="J29" s="1">
        <f t="shared" si="12"/>
        <v>0.32920580795170118</v>
      </c>
      <c r="K29" s="1">
        <f t="shared" si="13"/>
        <v>3.1705506598377386</v>
      </c>
      <c r="L29" s="1">
        <v>159.81899999999999</v>
      </c>
      <c r="M29" s="1">
        <f t="shared" si="14"/>
        <v>2.2036284089244269</v>
      </c>
      <c r="N29" s="1">
        <v>214.98699999999999</v>
      </c>
      <c r="O29" s="1">
        <f t="shared" si="15"/>
        <v>2.3324121994553288</v>
      </c>
      <c r="P29" s="1">
        <v>-55.167999999999999</v>
      </c>
      <c r="Q29" s="1" t="e">
        <f ca="1"/>
        <v>#NAME?</v>
      </c>
      <c r="R29" s="1" t="e">
        <f t="shared" ca="1" si="0"/>
        <v>#NAME?</v>
      </c>
      <c r="T29" s="1">
        <v>65024</v>
      </c>
      <c r="U29" s="1" t="e">
        <f ca="1"/>
        <v>#NAME?</v>
      </c>
      <c r="V29" s="1" t="e">
        <f t="shared" ca="1" si="1"/>
        <v>#NAME?</v>
      </c>
      <c r="W29" s="1" t="e">
        <f ca="1"/>
        <v>#NAME?</v>
      </c>
      <c r="X29" s="1" t="e">
        <f t="shared" ca="1" si="2"/>
        <v>#NAME?</v>
      </c>
      <c r="Y29" s="1" t="e">
        <f ca="1"/>
        <v>#NAME?</v>
      </c>
      <c r="Z29" s="1" t="e">
        <f t="shared" ca="1" si="3"/>
        <v>#NAME?</v>
      </c>
      <c r="AA29" s="1" t="e">
        <f ca="1"/>
        <v>#NAME?</v>
      </c>
      <c r="AB29" s="1" t="e">
        <f t="shared" ca="1" si="4"/>
        <v>#NAME?</v>
      </c>
      <c r="AC29" s="1" t="e">
        <f ca="1"/>
        <v>#NAME?</v>
      </c>
      <c r="AD29" s="1" t="e">
        <f t="shared" ca="1" si="5"/>
        <v>#NAME?</v>
      </c>
      <c r="AE29" s="1" t="e">
        <f ca="1"/>
        <v>#NAME?</v>
      </c>
      <c r="AF29" s="1" t="e">
        <f t="shared" ca="1" si="6"/>
        <v>#NAME?</v>
      </c>
      <c r="AG29" s="1" t="e">
        <f ca="1"/>
        <v>#NAME?</v>
      </c>
      <c r="AH29" s="1" t="e">
        <f t="shared" ca="1" si="7"/>
        <v>#NAME?</v>
      </c>
      <c r="AI29" s="1" t="e">
        <f ca="1"/>
        <v>#NAME?</v>
      </c>
      <c r="AJ29" s="1" t="e">
        <f t="shared" ca="1" si="16"/>
        <v>#NAME?</v>
      </c>
      <c r="AK29" s="1" t="e">
        <f ca="1"/>
        <v>#NAME?</v>
      </c>
      <c r="AL29" s="1" t="e">
        <f t="shared" ca="1" si="8"/>
        <v>#NAME?</v>
      </c>
    </row>
    <row r="30" spans="1:38" x14ac:dyDescent="0.25">
      <c r="A30" s="1" t="s">
        <v>45</v>
      </c>
      <c r="B30" s="1">
        <v>29</v>
      </c>
      <c r="C30" s="1">
        <v>4538.4979999999996</v>
      </c>
      <c r="D30" s="1">
        <f t="shared" si="9"/>
        <v>3.6569121483989941</v>
      </c>
      <c r="E30" s="1">
        <v>2715.3029999999999</v>
      </c>
      <c r="F30" s="1">
        <f t="shared" si="10"/>
        <v>3.4338182994444337</v>
      </c>
      <c r="G30" s="1">
        <v>550.28599999999994</v>
      </c>
      <c r="H30" s="1">
        <f t="shared" si="11"/>
        <v>2.7405884639285665</v>
      </c>
      <c r="I30" s="1">
        <v>1543.56</v>
      </c>
      <c r="J30" s="1">
        <f t="shared" si="12"/>
        <v>0.34010370831936032</v>
      </c>
      <c r="K30" s="1">
        <f t="shared" si="13"/>
        <v>3.1885235156855982</v>
      </c>
      <c r="L30" s="1">
        <v>161.78200000000001</v>
      </c>
      <c r="M30" s="1">
        <f t="shared" si="14"/>
        <v>2.2089301999985165</v>
      </c>
      <c r="N30" s="1">
        <v>218.34299999999999</v>
      </c>
      <c r="O30" s="1">
        <f t="shared" si="15"/>
        <v>2.3391392731517739</v>
      </c>
      <c r="P30" s="1">
        <v>-56.561</v>
      </c>
      <c r="Q30" s="1" t="e">
        <f ca="1"/>
        <v>#NAME?</v>
      </c>
      <c r="R30" s="1" t="e">
        <f t="shared" ca="1" si="0"/>
        <v>#NAME?</v>
      </c>
      <c r="T30" s="1">
        <v>65455.333333333299</v>
      </c>
      <c r="U30" s="1" t="e">
        <f ca="1"/>
        <v>#NAME?</v>
      </c>
      <c r="V30" s="1" t="e">
        <f t="shared" ca="1" si="1"/>
        <v>#NAME?</v>
      </c>
      <c r="W30" s="1" t="e">
        <f ca="1"/>
        <v>#NAME?</v>
      </c>
      <c r="X30" s="1" t="e">
        <f t="shared" ca="1" si="2"/>
        <v>#NAME?</v>
      </c>
      <c r="Y30" s="1" t="e">
        <f ca="1"/>
        <v>#NAME?</v>
      </c>
      <c r="Z30" s="1" t="e">
        <f t="shared" ca="1" si="3"/>
        <v>#NAME?</v>
      </c>
      <c r="AA30" s="1" t="e">
        <f ca="1"/>
        <v>#NAME?</v>
      </c>
      <c r="AB30" s="1" t="e">
        <f t="shared" ca="1" si="4"/>
        <v>#NAME?</v>
      </c>
      <c r="AC30" s="1" t="e">
        <f ca="1"/>
        <v>#NAME?</v>
      </c>
      <c r="AD30" s="1" t="e">
        <f t="shared" ca="1" si="5"/>
        <v>#NAME?</v>
      </c>
      <c r="AE30" s="1" t="e">
        <f ca="1"/>
        <v>#NAME?</v>
      </c>
      <c r="AF30" s="1" t="e">
        <f t="shared" ca="1" si="6"/>
        <v>#NAME?</v>
      </c>
      <c r="AG30" s="1" t="e">
        <f ca="1"/>
        <v>#NAME?</v>
      </c>
      <c r="AH30" s="1" t="e">
        <f t="shared" ca="1" si="7"/>
        <v>#NAME?</v>
      </c>
      <c r="AI30" s="1" t="e">
        <f ca="1"/>
        <v>#NAME?</v>
      </c>
      <c r="AJ30" s="1" t="e">
        <f t="shared" ca="1" si="16"/>
        <v>#NAME?</v>
      </c>
      <c r="AK30" s="1" t="e">
        <f ca="1"/>
        <v>#NAME?</v>
      </c>
      <c r="AL30" s="1" t="e">
        <f t="shared" ca="1" si="8"/>
        <v>#NAME?</v>
      </c>
    </row>
    <row r="31" spans="1:38" x14ac:dyDescent="0.25">
      <c r="A31" s="1" t="s">
        <v>46</v>
      </c>
      <c r="B31" s="1">
        <v>30</v>
      </c>
      <c r="C31" s="1">
        <v>4541.28</v>
      </c>
      <c r="D31" s="1">
        <f t="shared" si="9"/>
        <v>3.657178279858698</v>
      </c>
      <c r="E31" s="1">
        <v>2752.4259999999999</v>
      </c>
      <c r="F31" s="1">
        <f t="shared" si="10"/>
        <v>3.439715651631555</v>
      </c>
      <c r="G31" s="1">
        <v>530.37800000000004</v>
      </c>
      <c r="H31" s="1">
        <f t="shared" si="11"/>
        <v>2.7245855013002647</v>
      </c>
      <c r="I31" s="1">
        <v>1537.155</v>
      </c>
      <c r="J31" s="1">
        <f t="shared" si="12"/>
        <v>0.33848496459148081</v>
      </c>
      <c r="K31" s="1">
        <f t="shared" si="13"/>
        <v>3.1867176620675219</v>
      </c>
      <c r="L31" s="1">
        <v>159.631</v>
      </c>
      <c r="M31" s="1">
        <f t="shared" si="14"/>
        <v>2.2031172342678365</v>
      </c>
      <c r="N31" s="1">
        <v>216.608</v>
      </c>
      <c r="O31" s="1">
        <f t="shared" si="15"/>
        <v>2.3356744924171644</v>
      </c>
      <c r="P31" s="1">
        <v>-56.976999999999997</v>
      </c>
      <c r="Q31" s="1" t="e">
        <f ca="1"/>
        <v>#NAME?</v>
      </c>
      <c r="R31" s="1" t="e">
        <f t="shared" ca="1" si="0"/>
        <v>#NAME?</v>
      </c>
      <c r="T31" s="1">
        <v>65612</v>
      </c>
      <c r="U31" s="1" t="e">
        <f ca="1"/>
        <v>#NAME?</v>
      </c>
      <c r="V31" s="1" t="e">
        <f t="shared" ca="1" si="1"/>
        <v>#NAME?</v>
      </c>
      <c r="W31" s="1" t="e">
        <f ca="1"/>
        <v>#NAME?</v>
      </c>
      <c r="X31" s="1" t="e">
        <f t="shared" ca="1" si="2"/>
        <v>#NAME?</v>
      </c>
      <c r="Y31" s="1" t="e">
        <f ca="1"/>
        <v>#NAME?</v>
      </c>
      <c r="Z31" s="1" t="e">
        <f t="shared" ca="1" si="3"/>
        <v>#NAME?</v>
      </c>
      <c r="AA31" s="1" t="e">
        <f ca="1"/>
        <v>#NAME?</v>
      </c>
      <c r="AB31" s="1" t="e">
        <f t="shared" ca="1" si="4"/>
        <v>#NAME?</v>
      </c>
      <c r="AC31" s="1" t="e">
        <f ca="1"/>
        <v>#NAME?</v>
      </c>
      <c r="AD31" s="1" t="e">
        <f t="shared" ca="1" si="5"/>
        <v>#NAME?</v>
      </c>
      <c r="AE31" s="1" t="e">
        <f ca="1"/>
        <v>#NAME?</v>
      </c>
      <c r="AF31" s="1" t="e">
        <f t="shared" ca="1" si="6"/>
        <v>#NAME?</v>
      </c>
      <c r="AG31" s="1" t="e">
        <f ca="1"/>
        <v>#NAME?</v>
      </c>
      <c r="AH31" s="1" t="e">
        <f t="shared" ca="1" si="7"/>
        <v>#NAME?</v>
      </c>
      <c r="AI31" s="1" t="e">
        <f ca="1"/>
        <v>#NAME?</v>
      </c>
      <c r="AJ31" s="1" t="e">
        <f t="shared" ca="1" si="16"/>
        <v>#NAME?</v>
      </c>
      <c r="AK31" s="1" t="e">
        <f ca="1"/>
        <v>#NAME?</v>
      </c>
      <c r="AL31" s="1" t="e">
        <f t="shared" ca="1" si="8"/>
        <v>#NAME?</v>
      </c>
    </row>
    <row r="32" spans="1:38" x14ac:dyDescent="0.25">
      <c r="A32" s="1" t="s">
        <v>47</v>
      </c>
      <c r="B32" s="1">
        <v>31</v>
      </c>
      <c r="C32" s="1">
        <v>4584.2460000000001</v>
      </c>
      <c r="D32" s="1">
        <f t="shared" si="9"/>
        <v>3.6612679147132527</v>
      </c>
      <c r="E32" s="1">
        <v>2766.518</v>
      </c>
      <c r="F32" s="1">
        <f t="shared" si="10"/>
        <v>3.4419335002415656</v>
      </c>
      <c r="G32" s="1">
        <v>545.92999999999995</v>
      </c>
      <c r="H32" s="1">
        <f t="shared" si="11"/>
        <v>2.7371369603555484</v>
      </c>
      <c r="I32" s="1">
        <v>1554.2370000000001</v>
      </c>
      <c r="J32" s="1">
        <f t="shared" si="12"/>
        <v>0.33903874268527473</v>
      </c>
      <c r="K32" s="1">
        <f t="shared" si="13"/>
        <v>3.191517243515261</v>
      </c>
      <c r="L32" s="1">
        <v>158.35</v>
      </c>
      <c r="M32" s="1">
        <f t="shared" si="14"/>
        <v>2.1996180677079309</v>
      </c>
      <c r="N32" s="1">
        <v>219.452</v>
      </c>
      <c r="O32" s="1">
        <f t="shared" si="15"/>
        <v>2.3413395431896764</v>
      </c>
      <c r="P32" s="1">
        <v>-61.101999999999997</v>
      </c>
      <c r="Q32" s="1" t="e">
        <f ca="1"/>
        <v>#NAME?</v>
      </c>
      <c r="R32" s="1" t="e">
        <f t="shared" ca="1" si="0"/>
        <v>#NAME?</v>
      </c>
      <c r="T32" s="1">
        <v>66065</v>
      </c>
      <c r="U32" s="1" t="e">
        <f ca="1"/>
        <v>#NAME?</v>
      </c>
      <c r="V32" s="1" t="e">
        <f t="shared" ca="1" si="1"/>
        <v>#NAME?</v>
      </c>
      <c r="W32" s="1" t="e">
        <f ca="1"/>
        <v>#NAME?</v>
      </c>
      <c r="X32" s="1" t="e">
        <f t="shared" ca="1" si="2"/>
        <v>#NAME?</v>
      </c>
      <c r="Y32" s="1" t="e">
        <f ca="1"/>
        <v>#NAME?</v>
      </c>
      <c r="Z32" s="1" t="e">
        <f t="shared" ca="1" si="3"/>
        <v>#NAME?</v>
      </c>
      <c r="AA32" s="1" t="e">
        <f ca="1"/>
        <v>#NAME?</v>
      </c>
      <c r="AB32" s="1" t="e">
        <f t="shared" ca="1" si="4"/>
        <v>#NAME?</v>
      </c>
      <c r="AC32" s="1" t="e">
        <f ca="1"/>
        <v>#NAME?</v>
      </c>
      <c r="AD32" s="1" t="e">
        <f t="shared" ca="1" si="5"/>
        <v>#NAME?</v>
      </c>
      <c r="AE32" s="1" t="e">
        <f ca="1"/>
        <v>#NAME?</v>
      </c>
      <c r="AF32" s="1" t="e">
        <f t="shared" ca="1" si="6"/>
        <v>#NAME?</v>
      </c>
      <c r="AG32" s="1" t="e">
        <f ca="1"/>
        <v>#NAME?</v>
      </c>
      <c r="AH32" s="1" t="e">
        <f t="shared" ca="1" si="7"/>
        <v>#NAME?</v>
      </c>
      <c r="AI32" s="1" t="e">
        <f ca="1"/>
        <v>#NAME?</v>
      </c>
      <c r="AJ32" s="1" t="e">
        <f t="shared" ca="1" si="16"/>
        <v>#NAME?</v>
      </c>
      <c r="AK32" s="1" t="e">
        <f ca="1"/>
        <v>#NAME?</v>
      </c>
      <c r="AL32" s="1" t="e">
        <f t="shared" ca="1" si="8"/>
        <v>#NAME?</v>
      </c>
    </row>
    <row r="33" spans="1:38" x14ac:dyDescent="0.25">
      <c r="A33" s="1" t="s">
        <v>48</v>
      </c>
      <c r="B33" s="1">
        <v>32</v>
      </c>
      <c r="C33" s="1">
        <v>4618.8119999999999</v>
      </c>
      <c r="D33" s="1">
        <f t="shared" si="9"/>
        <v>3.6645302854714381</v>
      </c>
      <c r="E33" s="1">
        <v>2783.4470000000001</v>
      </c>
      <c r="F33" s="1">
        <f t="shared" si="10"/>
        <v>3.4445829562602808</v>
      </c>
      <c r="G33" s="1">
        <v>557.70600000000002</v>
      </c>
      <c r="H33" s="1">
        <f t="shared" si="11"/>
        <v>2.7464053168115798</v>
      </c>
      <c r="I33" s="1">
        <v>1566.046</v>
      </c>
      <c r="J33" s="1">
        <f t="shared" si="12"/>
        <v>0.33905818206066846</v>
      </c>
      <c r="K33" s="1">
        <f t="shared" si="13"/>
        <v>3.1948045145883111</v>
      </c>
      <c r="L33" s="1">
        <v>161.33699999999999</v>
      </c>
      <c r="M33" s="1">
        <f t="shared" si="14"/>
        <v>2.2077339771417233</v>
      </c>
      <c r="N33" s="1">
        <v>231.02600000000001</v>
      </c>
      <c r="O33" s="1">
        <f t="shared" si="15"/>
        <v>2.3636608587714343</v>
      </c>
      <c r="P33" s="1">
        <v>-69.688999999999993</v>
      </c>
      <c r="Q33" s="1" t="e">
        <f ca="1"/>
        <v>#NAME?</v>
      </c>
      <c r="R33" s="1" t="e">
        <f t="shared" ca="1" si="0"/>
        <v>#NAME?</v>
      </c>
      <c r="T33" s="1">
        <v>66609.333333333299</v>
      </c>
      <c r="U33" s="1" t="e">
        <f ca="1"/>
        <v>#NAME?</v>
      </c>
      <c r="V33" s="1" t="e">
        <f t="shared" ca="1" si="1"/>
        <v>#NAME?</v>
      </c>
      <c r="W33" s="1" t="e">
        <f ca="1"/>
        <v>#NAME?</v>
      </c>
      <c r="X33" s="1" t="e">
        <f t="shared" ca="1" si="2"/>
        <v>#NAME?</v>
      </c>
      <c r="Y33" s="1" t="e">
        <f ca="1"/>
        <v>#NAME?</v>
      </c>
      <c r="Z33" s="1" t="e">
        <f t="shared" ca="1" si="3"/>
        <v>#NAME?</v>
      </c>
      <c r="AA33" s="1" t="e">
        <f ca="1"/>
        <v>#NAME?</v>
      </c>
      <c r="AB33" s="1" t="e">
        <f t="shared" ca="1" si="4"/>
        <v>#NAME?</v>
      </c>
      <c r="AC33" s="1" t="e">
        <f ca="1"/>
        <v>#NAME?</v>
      </c>
      <c r="AD33" s="1" t="e">
        <f t="shared" ca="1" si="5"/>
        <v>#NAME?</v>
      </c>
      <c r="AE33" s="1" t="e">
        <f ca="1"/>
        <v>#NAME?</v>
      </c>
      <c r="AF33" s="1" t="e">
        <f t="shared" ca="1" si="6"/>
        <v>#NAME?</v>
      </c>
      <c r="AG33" s="1" t="e">
        <f ca="1"/>
        <v>#NAME?</v>
      </c>
      <c r="AH33" s="1" t="e">
        <f t="shared" ca="1" si="7"/>
        <v>#NAME?</v>
      </c>
      <c r="AI33" s="1" t="e">
        <f ca="1"/>
        <v>#NAME?</v>
      </c>
      <c r="AJ33" s="1" t="e">
        <f t="shared" ca="1" si="16"/>
        <v>#NAME?</v>
      </c>
      <c r="AK33" s="1" t="e">
        <f ca="1"/>
        <v>#NAME?</v>
      </c>
      <c r="AL33" s="1" t="e">
        <f t="shared" ca="1" si="8"/>
        <v>#NAME?</v>
      </c>
    </row>
    <row r="34" spans="1:38" x14ac:dyDescent="0.25">
      <c r="A34" s="1" t="s">
        <v>49</v>
      </c>
      <c r="B34" s="1">
        <v>33</v>
      </c>
      <c r="C34" s="1">
        <v>4713.0129999999999</v>
      </c>
      <c r="D34" s="1">
        <f t="shared" si="9"/>
        <v>3.6732986376846259</v>
      </c>
      <c r="E34" s="1">
        <v>2850.1529999999998</v>
      </c>
      <c r="F34" s="1">
        <f t="shared" si="10"/>
        <v>3.4548681741391123</v>
      </c>
      <c r="G34" s="1">
        <v>568.88699999999994</v>
      </c>
      <c r="H34" s="1">
        <f t="shared" si="11"/>
        <v>2.7550260095407149</v>
      </c>
      <c r="I34" s="1">
        <v>1594.047</v>
      </c>
      <c r="J34" s="1">
        <f t="shared" si="12"/>
        <v>0.33822249164175872</v>
      </c>
      <c r="K34" s="1">
        <f t="shared" si="13"/>
        <v>3.2025011222920434</v>
      </c>
      <c r="L34" s="1">
        <v>165.86799999999999</v>
      </c>
      <c r="M34" s="1">
        <f t="shared" si="14"/>
        <v>2.2197626080622666</v>
      </c>
      <c r="N34" s="1">
        <v>244.637</v>
      </c>
      <c r="O34" s="1">
        <f t="shared" si="15"/>
        <v>2.3885221423184313</v>
      </c>
      <c r="P34" s="1">
        <v>-78.769000000000005</v>
      </c>
      <c r="Q34" s="1" t="e">
        <f ca="1"/>
        <v>#NAME?</v>
      </c>
      <c r="R34" s="1" t="e">
        <f t="shared" ca="1" si="0"/>
        <v>#NAME?</v>
      </c>
      <c r="T34" s="1">
        <v>67104.666666666701</v>
      </c>
      <c r="U34" s="1" t="e">
        <f ca="1"/>
        <v>#NAME?</v>
      </c>
      <c r="V34" s="1" t="e">
        <f t="shared" ca="1" si="1"/>
        <v>#NAME?</v>
      </c>
      <c r="W34" s="1" t="e">
        <f ca="1"/>
        <v>#NAME?</v>
      </c>
      <c r="X34" s="1" t="e">
        <f t="shared" ca="1" si="2"/>
        <v>#NAME?</v>
      </c>
      <c r="Y34" s="1" t="e">
        <f ca="1"/>
        <v>#NAME?</v>
      </c>
      <c r="Z34" s="1" t="e">
        <f t="shared" ca="1" si="3"/>
        <v>#NAME?</v>
      </c>
      <c r="AA34" s="1" t="e">
        <f ca="1"/>
        <v>#NAME?</v>
      </c>
      <c r="AB34" s="1" t="e">
        <f t="shared" ca="1" si="4"/>
        <v>#NAME?</v>
      </c>
      <c r="AC34" s="1" t="e">
        <f ca="1"/>
        <v>#NAME?</v>
      </c>
      <c r="AD34" s="1" t="e">
        <f t="shared" ca="1" si="5"/>
        <v>#NAME?</v>
      </c>
      <c r="AE34" s="1" t="e">
        <f ca="1"/>
        <v>#NAME?</v>
      </c>
      <c r="AF34" s="1" t="e">
        <f t="shared" ca="1" si="6"/>
        <v>#NAME?</v>
      </c>
      <c r="AG34" s="1" t="e">
        <f ca="1"/>
        <v>#NAME?</v>
      </c>
      <c r="AH34" s="1" t="e">
        <f t="shared" ca="1" si="7"/>
        <v>#NAME?</v>
      </c>
      <c r="AI34" s="1" t="e">
        <f ca="1"/>
        <v>#NAME?</v>
      </c>
      <c r="AJ34" s="1" t="e">
        <f t="shared" ca="1" si="16"/>
        <v>#NAME?</v>
      </c>
      <c r="AK34" s="1" t="e">
        <f ca="1"/>
        <v>#NAME?</v>
      </c>
      <c r="AL34" s="1" t="e">
        <f t="shared" ca="1" si="8"/>
        <v>#NAME?</v>
      </c>
    </row>
    <row r="35" spans="1:38" x14ac:dyDescent="0.25">
      <c r="A35" s="1" t="s">
        <v>50</v>
      </c>
      <c r="B35" s="1">
        <v>34</v>
      </c>
      <c r="C35" s="1">
        <v>4791.7579999999998</v>
      </c>
      <c r="D35" s="1">
        <f t="shared" si="9"/>
        <v>3.6804948765935857</v>
      </c>
      <c r="E35" s="1">
        <v>2893.5529999999999</v>
      </c>
      <c r="F35" s="1">
        <f t="shared" si="10"/>
        <v>3.4614314415627896</v>
      </c>
      <c r="G35" s="1">
        <v>590.64700000000005</v>
      </c>
      <c r="H35" s="1">
        <f t="shared" si="11"/>
        <v>2.7713280024470488</v>
      </c>
      <c r="I35" s="1">
        <v>1602.3150000000001</v>
      </c>
      <c r="J35" s="1">
        <f t="shared" si="12"/>
        <v>0.33438980015267883</v>
      </c>
      <c r="K35" s="1">
        <f t="shared" si="13"/>
        <v>3.2047478983361417</v>
      </c>
      <c r="L35" s="1">
        <v>168.643</v>
      </c>
      <c r="M35" s="1">
        <f t="shared" si="14"/>
        <v>2.2269683192906187</v>
      </c>
      <c r="N35" s="1">
        <v>248.369</v>
      </c>
      <c r="O35" s="1">
        <f t="shared" si="15"/>
        <v>2.3950973887303899</v>
      </c>
      <c r="P35" s="1">
        <v>-79.725999999999999</v>
      </c>
      <c r="Q35" s="1" t="e">
        <f ca="1"/>
        <v>#NAME?</v>
      </c>
      <c r="R35" s="1" t="e">
        <f t="shared" ca="1" si="0"/>
        <v>#NAME?</v>
      </c>
      <c r="T35" s="1">
        <v>67704.333333333299</v>
      </c>
      <c r="U35" s="1" t="e">
        <f ca="1"/>
        <v>#NAME?</v>
      </c>
      <c r="V35" s="1" t="e">
        <f t="shared" ca="1" si="1"/>
        <v>#NAME?</v>
      </c>
      <c r="W35" s="1" t="e">
        <f ca="1"/>
        <v>#NAME?</v>
      </c>
      <c r="X35" s="1" t="e">
        <f t="shared" ca="1" si="2"/>
        <v>#NAME?</v>
      </c>
      <c r="Y35" s="1" t="e">
        <f ca="1"/>
        <v>#NAME?</v>
      </c>
      <c r="Z35" s="1" t="e">
        <f t="shared" ca="1" si="3"/>
        <v>#NAME?</v>
      </c>
      <c r="AA35" s="1" t="e">
        <f ca="1"/>
        <v>#NAME?</v>
      </c>
      <c r="AB35" s="1" t="e">
        <f t="shared" ca="1" si="4"/>
        <v>#NAME?</v>
      </c>
      <c r="AC35" s="1" t="e">
        <f ca="1"/>
        <v>#NAME?</v>
      </c>
      <c r="AD35" s="1" t="e">
        <f t="shared" ca="1" si="5"/>
        <v>#NAME?</v>
      </c>
      <c r="AE35" s="1" t="e">
        <f ca="1"/>
        <v>#NAME?</v>
      </c>
      <c r="AF35" s="1" t="e">
        <f t="shared" ca="1" si="6"/>
        <v>#NAME?</v>
      </c>
      <c r="AG35" s="1" t="e">
        <f ca="1"/>
        <v>#NAME?</v>
      </c>
      <c r="AH35" s="1" t="e">
        <f t="shared" ca="1" si="7"/>
        <v>#NAME?</v>
      </c>
      <c r="AI35" s="1" t="e">
        <f ca="1"/>
        <v>#NAME?</v>
      </c>
      <c r="AJ35" s="1" t="e">
        <f t="shared" ca="1" si="16"/>
        <v>#NAME?</v>
      </c>
      <c r="AK35" s="1" t="e">
        <f ca="1"/>
        <v>#NAME?</v>
      </c>
      <c r="AL35" s="1" t="e">
        <f t="shared" ca="1" si="8"/>
        <v>#NAME?</v>
      </c>
    </row>
    <row r="36" spans="1:38" x14ac:dyDescent="0.25">
      <c r="A36" s="1" t="s">
        <v>51</v>
      </c>
      <c r="B36" s="1">
        <v>35</v>
      </c>
      <c r="C36" s="1">
        <v>4828.8919999999998</v>
      </c>
      <c r="D36" s="1">
        <f t="shared" si="9"/>
        <v>3.6838474923482543</v>
      </c>
      <c r="E36" s="1">
        <v>2947.7840000000001</v>
      </c>
      <c r="F36" s="1">
        <f t="shared" si="10"/>
        <v>3.4694956572586211</v>
      </c>
      <c r="G36" s="1">
        <v>574.53899999999999</v>
      </c>
      <c r="H36" s="1">
        <f t="shared" si="11"/>
        <v>2.7593195141555809</v>
      </c>
      <c r="I36" s="1">
        <v>1607.115</v>
      </c>
      <c r="J36" s="1">
        <f t="shared" si="12"/>
        <v>0.33281237186501583</v>
      </c>
      <c r="K36" s="1">
        <f t="shared" si="13"/>
        <v>3.2060469545968635</v>
      </c>
      <c r="L36" s="1">
        <v>180.63499999999999</v>
      </c>
      <c r="M36" s="1">
        <f t="shared" si="14"/>
        <v>2.2568019034202274</v>
      </c>
      <c r="N36" s="1">
        <v>263.29599999999999</v>
      </c>
      <c r="O36" s="1">
        <f t="shared" si="15"/>
        <v>2.4204442613425923</v>
      </c>
      <c r="P36" s="1">
        <v>-82.661000000000001</v>
      </c>
      <c r="Q36" s="1" t="e">
        <f ca="1"/>
        <v>#NAME?</v>
      </c>
      <c r="R36" s="1" t="e">
        <f t="shared" ca="1" si="0"/>
        <v>#NAME?</v>
      </c>
      <c r="T36" s="1">
        <v>68313.333333333299</v>
      </c>
      <c r="U36" s="1" t="e">
        <f ca="1"/>
        <v>#NAME?</v>
      </c>
      <c r="V36" s="1" t="e">
        <f t="shared" ca="1" si="1"/>
        <v>#NAME?</v>
      </c>
      <c r="W36" s="1" t="e">
        <f ca="1"/>
        <v>#NAME?</v>
      </c>
      <c r="X36" s="1" t="e">
        <f t="shared" ca="1" si="2"/>
        <v>#NAME?</v>
      </c>
      <c r="Y36" s="1" t="e">
        <f ca="1"/>
        <v>#NAME?</v>
      </c>
      <c r="Z36" s="1" t="e">
        <f t="shared" ca="1" si="3"/>
        <v>#NAME?</v>
      </c>
      <c r="AA36" s="1" t="e">
        <f ca="1"/>
        <v>#NAME?</v>
      </c>
      <c r="AB36" s="1" t="e">
        <f t="shared" ca="1" si="4"/>
        <v>#NAME?</v>
      </c>
      <c r="AC36" s="1" t="e">
        <f ca="1"/>
        <v>#NAME?</v>
      </c>
      <c r="AD36" s="1" t="e">
        <f t="shared" ca="1" si="5"/>
        <v>#NAME?</v>
      </c>
      <c r="AE36" s="1" t="e">
        <f ca="1"/>
        <v>#NAME?</v>
      </c>
      <c r="AF36" s="1" t="e">
        <f t="shared" ca="1" si="6"/>
        <v>#NAME?</v>
      </c>
      <c r="AG36" s="1" t="e">
        <f ca="1"/>
        <v>#NAME?</v>
      </c>
      <c r="AH36" s="1" t="e">
        <f t="shared" ca="1" si="7"/>
        <v>#NAME?</v>
      </c>
      <c r="AI36" s="1" t="e">
        <f ca="1"/>
        <v>#NAME?</v>
      </c>
      <c r="AJ36" s="1" t="e">
        <f t="shared" ca="1" si="16"/>
        <v>#NAME?</v>
      </c>
      <c r="AK36" s="1" t="e">
        <f ca="1"/>
        <v>#NAME?</v>
      </c>
      <c r="AL36" s="1" t="e">
        <f t="shared" ca="1" si="8"/>
        <v>#NAME?</v>
      </c>
    </row>
    <row r="37" spans="1:38" x14ac:dyDescent="0.25">
      <c r="A37" s="1" t="s">
        <v>52</v>
      </c>
      <c r="B37" s="1">
        <v>36</v>
      </c>
      <c r="C37" s="1">
        <v>4847.8850000000002</v>
      </c>
      <c r="D37" s="1">
        <f t="shared" si="9"/>
        <v>3.6855523090836031</v>
      </c>
      <c r="E37" s="1">
        <v>2961.0810000000001</v>
      </c>
      <c r="F37" s="1">
        <f t="shared" si="10"/>
        <v>3.4714502876229658</v>
      </c>
      <c r="G37" s="1">
        <v>580.78899999999999</v>
      </c>
      <c r="H37" s="1">
        <f t="shared" si="11"/>
        <v>2.764018382339867</v>
      </c>
      <c r="I37" s="1">
        <v>1608.5730000000001</v>
      </c>
      <c r="J37" s="1">
        <f t="shared" si="12"/>
        <v>0.33180923227345532</v>
      </c>
      <c r="K37" s="1">
        <f t="shared" si="13"/>
        <v>3.206440774767231</v>
      </c>
      <c r="L37" s="1">
        <v>176.62100000000001</v>
      </c>
      <c r="M37" s="1">
        <f t="shared" si="14"/>
        <v>2.2470423393429635</v>
      </c>
      <c r="N37" s="1">
        <v>261.077</v>
      </c>
      <c r="O37" s="1">
        <f t="shared" si="15"/>
        <v>2.4167686136342832</v>
      </c>
      <c r="P37" s="1">
        <v>-84.456000000000003</v>
      </c>
      <c r="Q37" s="1" t="e">
        <f ca="1"/>
        <v>#NAME?</v>
      </c>
      <c r="R37" s="1" t="e">
        <f t="shared" ca="1" si="0"/>
        <v>#NAME?</v>
      </c>
      <c r="T37" s="1">
        <v>68984.333333333299</v>
      </c>
      <c r="U37" s="1" t="e">
        <f ca="1"/>
        <v>#NAME?</v>
      </c>
      <c r="V37" s="1" t="e">
        <f t="shared" ca="1" si="1"/>
        <v>#NAME?</v>
      </c>
      <c r="W37" s="1" t="e">
        <f ca="1"/>
        <v>#NAME?</v>
      </c>
      <c r="X37" s="1" t="e">
        <f t="shared" ca="1" si="2"/>
        <v>#NAME?</v>
      </c>
      <c r="Y37" s="1" t="e">
        <f ca="1"/>
        <v>#NAME?</v>
      </c>
      <c r="Z37" s="1" t="e">
        <f t="shared" ca="1" si="3"/>
        <v>#NAME?</v>
      </c>
      <c r="AA37" s="1" t="e">
        <f ca="1"/>
        <v>#NAME?</v>
      </c>
      <c r="AB37" s="1" t="e">
        <f t="shared" ca="1" si="4"/>
        <v>#NAME?</v>
      </c>
      <c r="AC37" s="1" t="e">
        <f ca="1"/>
        <v>#NAME?</v>
      </c>
      <c r="AD37" s="1" t="e">
        <f t="shared" ca="1" si="5"/>
        <v>#NAME?</v>
      </c>
      <c r="AE37" s="1" t="e">
        <f ca="1"/>
        <v>#NAME?</v>
      </c>
      <c r="AF37" s="1" t="e">
        <f t="shared" ca="1" si="6"/>
        <v>#NAME?</v>
      </c>
      <c r="AG37" s="1" t="e">
        <f ca="1"/>
        <v>#NAME?</v>
      </c>
      <c r="AH37" s="1" t="e">
        <f t="shared" ca="1" si="7"/>
        <v>#NAME?</v>
      </c>
      <c r="AI37" s="1" t="e">
        <f ca="1"/>
        <v>#NAME?</v>
      </c>
      <c r="AJ37" s="1" t="e">
        <f t="shared" ca="1" si="16"/>
        <v>#NAME?</v>
      </c>
      <c r="AK37" s="1" t="e">
        <f ca="1"/>
        <v>#NAME?</v>
      </c>
      <c r="AL37" s="1" t="e">
        <f t="shared" ca="1" si="8"/>
        <v>#NAME?</v>
      </c>
    </row>
    <row r="38" spans="1:38" x14ac:dyDescent="0.25">
      <c r="A38" s="1" t="s">
        <v>53</v>
      </c>
      <c r="B38" s="1">
        <v>37</v>
      </c>
      <c r="C38" s="1">
        <v>4923.76</v>
      </c>
      <c r="D38" s="1">
        <f t="shared" si="9"/>
        <v>3.6922968758563774</v>
      </c>
      <c r="E38" s="1">
        <v>2993.913</v>
      </c>
      <c r="F38" s="1">
        <f t="shared" si="10"/>
        <v>3.476239176044142</v>
      </c>
      <c r="G38" s="1">
        <v>614.98900000000003</v>
      </c>
      <c r="H38" s="1">
        <f t="shared" si="11"/>
        <v>2.7888673478371651</v>
      </c>
      <c r="I38" s="1">
        <v>1612.2190000000001</v>
      </c>
      <c r="J38" s="1">
        <f t="shared" si="12"/>
        <v>0.3274365525533332</v>
      </c>
      <c r="K38" s="1">
        <f t="shared" si="13"/>
        <v>3.2074240350071936</v>
      </c>
      <c r="L38" s="1">
        <v>156.09</v>
      </c>
      <c r="M38" s="1">
        <f t="shared" si="14"/>
        <v>2.1933750806156991</v>
      </c>
      <c r="N38" s="1">
        <v>236.452</v>
      </c>
      <c r="O38" s="1">
        <f t="shared" si="15"/>
        <v>2.3737429917931467</v>
      </c>
      <c r="P38" s="1">
        <v>-80.361999999999995</v>
      </c>
      <c r="Q38" s="1" t="e">
        <f ca="1"/>
        <v>#NAME?</v>
      </c>
      <c r="R38" s="1" t="e">
        <f t="shared" ca="1" si="0"/>
        <v>#NAME?</v>
      </c>
      <c r="T38" s="1">
        <v>69681</v>
      </c>
      <c r="U38" s="1" t="e">
        <f ca="1"/>
        <v>#NAME?</v>
      </c>
      <c r="V38" s="1" t="e">
        <f t="shared" ca="1" si="1"/>
        <v>#NAME?</v>
      </c>
      <c r="W38" s="1" t="e">
        <f ca="1"/>
        <v>#NAME?</v>
      </c>
      <c r="X38" s="1" t="e">
        <f t="shared" ca="1" si="2"/>
        <v>#NAME?</v>
      </c>
      <c r="Y38" s="1" t="e">
        <f ca="1"/>
        <v>#NAME?</v>
      </c>
      <c r="Z38" s="1" t="e">
        <f t="shared" ca="1" si="3"/>
        <v>#NAME?</v>
      </c>
      <c r="AA38" s="1" t="e">
        <f ca="1"/>
        <v>#NAME?</v>
      </c>
      <c r="AB38" s="1" t="e">
        <f t="shared" ca="1" si="4"/>
        <v>#NAME?</v>
      </c>
      <c r="AC38" s="1" t="e">
        <f ca="1"/>
        <v>#NAME?</v>
      </c>
      <c r="AD38" s="1" t="e">
        <f t="shared" ca="1" si="5"/>
        <v>#NAME?</v>
      </c>
      <c r="AE38" s="1" t="e">
        <f ca="1"/>
        <v>#NAME?</v>
      </c>
      <c r="AF38" s="1" t="e">
        <f t="shared" ca="1" si="6"/>
        <v>#NAME?</v>
      </c>
      <c r="AG38" s="1" t="e">
        <f ca="1"/>
        <v>#NAME?</v>
      </c>
      <c r="AH38" s="1" t="e">
        <f t="shared" ca="1" si="7"/>
        <v>#NAME?</v>
      </c>
      <c r="AI38" s="1" t="e">
        <f ca="1"/>
        <v>#NAME?</v>
      </c>
      <c r="AJ38" s="1" t="e">
        <f t="shared" ca="1" si="16"/>
        <v>#NAME?</v>
      </c>
      <c r="AK38" s="1" t="e">
        <f ca="1"/>
        <v>#NAME?</v>
      </c>
      <c r="AL38" s="1" t="e">
        <f t="shared" ca="1" si="8"/>
        <v>#NAME?</v>
      </c>
    </row>
    <row r="39" spans="1:38" x14ac:dyDescent="0.25">
      <c r="A39" s="1" t="s">
        <v>54</v>
      </c>
      <c r="B39" s="1">
        <v>38</v>
      </c>
      <c r="C39" s="1">
        <v>4938.7280000000001</v>
      </c>
      <c r="D39" s="1">
        <f t="shared" si="9"/>
        <v>3.6936151080906909</v>
      </c>
      <c r="E39" s="1">
        <v>3013.2269999999999</v>
      </c>
      <c r="F39" s="1">
        <f t="shared" si="10"/>
        <v>3.4790318502707276</v>
      </c>
      <c r="G39" s="1">
        <v>611.36599999999999</v>
      </c>
      <c r="H39" s="1">
        <f t="shared" si="11"/>
        <v>2.786301282569708</v>
      </c>
      <c r="I39" s="1">
        <v>1607.192</v>
      </c>
      <c r="J39" s="1">
        <f t="shared" si="12"/>
        <v>0.32542630410097501</v>
      </c>
      <c r="K39" s="1">
        <f t="shared" si="13"/>
        <v>3.2060677619902536</v>
      </c>
      <c r="L39" s="1">
        <v>190.297</v>
      </c>
      <c r="M39" s="1">
        <f t="shared" si="14"/>
        <v>2.2794319417619784</v>
      </c>
      <c r="N39" s="1">
        <v>283.101</v>
      </c>
      <c r="O39" s="1">
        <f t="shared" si="15"/>
        <v>2.4519414034297968</v>
      </c>
      <c r="P39" s="1">
        <v>-92.804000000000002</v>
      </c>
      <c r="Q39" s="1" t="e">
        <f ca="1"/>
        <v>#NAME?</v>
      </c>
      <c r="R39" s="1" t="e">
        <f t="shared" ca="1" si="0"/>
        <v>#NAME?</v>
      </c>
      <c r="T39" s="1">
        <v>70345.333333333299</v>
      </c>
      <c r="U39" s="1" t="e">
        <f ca="1"/>
        <v>#NAME?</v>
      </c>
      <c r="V39" s="1" t="e">
        <f t="shared" ca="1" si="1"/>
        <v>#NAME?</v>
      </c>
      <c r="W39" s="1" t="e">
        <f ca="1"/>
        <v>#NAME?</v>
      </c>
      <c r="X39" s="1" t="e">
        <f t="shared" ca="1" si="2"/>
        <v>#NAME?</v>
      </c>
      <c r="Y39" s="1" t="e">
        <f ca="1"/>
        <v>#NAME?</v>
      </c>
      <c r="Z39" s="1" t="e">
        <f t="shared" ca="1" si="3"/>
        <v>#NAME?</v>
      </c>
      <c r="AA39" s="1" t="e">
        <f ca="1"/>
        <v>#NAME?</v>
      </c>
      <c r="AB39" s="1" t="e">
        <f t="shared" ca="1" si="4"/>
        <v>#NAME?</v>
      </c>
      <c r="AC39" s="1" t="e">
        <f ca="1"/>
        <v>#NAME?</v>
      </c>
      <c r="AD39" s="1" t="e">
        <f t="shared" ca="1" si="5"/>
        <v>#NAME?</v>
      </c>
      <c r="AE39" s="1" t="e">
        <f ca="1"/>
        <v>#NAME?</v>
      </c>
      <c r="AF39" s="1" t="e">
        <f t="shared" ca="1" si="6"/>
        <v>#NAME?</v>
      </c>
      <c r="AG39" s="1" t="e">
        <f ca="1"/>
        <v>#NAME?</v>
      </c>
      <c r="AH39" s="1" t="e">
        <f t="shared" ca="1" si="7"/>
        <v>#NAME?</v>
      </c>
      <c r="AI39" s="1" t="e">
        <f ca="1"/>
        <v>#NAME?</v>
      </c>
      <c r="AJ39" s="1" t="e">
        <f t="shared" ca="1" si="16"/>
        <v>#NAME?</v>
      </c>
      <c r="AK39" s="1" t="e">
        <f ca="1"/>
        <v>#NAME?</v>
      </c>
      <c r="AL39" s="1" t="e">
        <f t="shared" ca="1" si="8"/>
        <v>#NAME?</v>
      </c>
    </row>
    <row r="40" spans="1:38" x14ac:dyDescent="0.25">
      <c r="A40" s="1" t="s">
        <v>55</v>
      </c>
      <c r="B40" s="1">
        <v>39</v>
      </c>
      <c r="C40" s="1">
        <v>4971.3490000000002</v>
      </c>
      <c r="D40" s="1">
        <f t="shared" si="9"/>
        <v>3.696474252669038</v>
      </c>
      <c r="E40" s="1">
        <v>3027.9180000000001</v>
      </c>
      <c r="F40" s="1">
        <f t="shared" si="10"/>
        <v>3.4811441097217855</v>
      </c>
      <c r="G40" s="1">
        <v>623.77800000000002</v>
      </c>
      <c r="H40" s="1">
        <f t="shared" si="11"/>
        <v>2.7950300535774439</v>
      </c>
      <c r="I40" s="1">
        <v>1610.451</v>
      </c>
      <c r="J40" s="1">
        <f t="shared" si="12"/>
        <v>0.3239464781088594</v>
      </c>
      <c r="K40" s="1">
        <f t="shared" si="13"/>
        <v>3.2069475154001363</v>
      </c>
      <c r="L40" s="1">
        <v>187.11199999999999</v>
      </c>
      <c r="M40" s="1">
        <f t="shared" si="14"/>
        <v>2.2721016408760888</v>
      </c>
      <c r="N40" s="1">
        <v>279.43299999999999</v>
      </c>
      <c r="O40" s="1">
        <f t="shared" si="15"/>
        <v>2.4462776933730384</v>
      </c>
      <c r="P40" s="1">
        <v>-92.320999999999998</v>
      </c>
      <c r="Q40" s="1" t="e">
        <f ca="1"/>
        <v>#NAME?</v>
      </c>
      <c r="R40" s="1" t="e">
        <f t="shared" ca="1" si="0"/>
        <v>#NAME?</v>
      </c>
      <c r="T40" s="1">
        <v>70883.666666666701</v>
      </c>
      <c r="U40" s="1" t="e">
        <f ca="1"/>
        <v>#NAME?</v>
      </c>
      <c r="V40" s="1" t="e">
        <f t="shared" ca="1" si="1"/>
        <v>#NAME?</v>
      </c>
      <c r="W40" s="1" t="e">
        <f ca="1"/>
        <v>#NAME?</v>
      </c>
      <c r="X40" s="1" t="e">
        <f t="shared" ca="1" si="2"/>
        <v>#NAME?</v>
      </c>
      <c r="Y40" s="1" t="e">
        <f ca="1"/>
        <v>#NAME?</v>
      </c>
      <c r="Z40" s="1" t="e">
        <f t="shared" ca="1" si="3"/>
        <v>#NAME?</v>
      </c>
      <c r="AA40" s="1" t="e">
        <f ca="1"/>
        <v>#NAME?</v>
      </c>
      <c r="AB40" s="1" t="e">
        <f t="shared" ca="1" si="4"/>
        <v>#NAME?</v>
      </c>
      <c r="AC40" s="1" t="e">
        <f ca="1"/>
        <v>#NAME?</v>
      </c>
      <c r="AD40" s="1" t="e">
        <f t="shared" ca="1" si="5"/>
        <v>#NAME?</v>
      </c>
      <c r="AE40" s="1" t="e">
        <f ca="1"/>
        <v>#NAME?</v>
      </c>
      <c r="AF40" s="1" t="e">
        <f t="shared" ca="1" si="6"/>
        <v>#NAME?</v>
      </c>
      <c r="AG40" s="1" t="e">
        <f ca="1"/>
        <v>#NAME?</v>
      </c>
      <c r="AH40" s="1" t="e">
        <f t="shared" ca="1" si="7"/>
        <v>#NAME?</v>
      </c>
      <c r="AI40" s="1" t="e">
        <f ca="1"/>
        <v>#NAME?</v>
      </c>
      <c r="AJ40" s="1" t="e">
        <f t="shared" ca="1" si="16"/>
        <v>#NAME?</v>
      </c>
      <c r="AK40" s="1" t="e">
        <f ca="1"/>
        <v>#NAME?</v>
      </c>
      <c r="AL40" s="1" t="e">
        <f t="shared" ca="1" si="8"/>
        <v>#NAME?</v>
      </c>
    </row>
    <row r="41" spans="1:38" x14ac:dyDescent="0.25">
      <c r="A41" s="1" t="s">
        <v>56</v>
      </c>
      <c r="B41" s="1">
        <v>40</v>
      </c>
      <c r="C41" s="1">
        <v>4947.1040000000003</v>
      </c>
      <c r="D41" s="1">
        <f t="shared" si="9"/>
        <v>3.6943510403725419</v>
      </c>
      <c r="E41" s="1">
        <v>3052.1179999999999</v>
      </c>
      <c r="F41" s="1">
        <f t="shared" si="10"/>
        <v>3.4846013201603689</v>
      </c>
      <c r="G41" s="1">
        <v>593.65899999999999</v>
      </c>
      <c r="H41" s="1">
        <f t="shared" si="11"/>
        <v>2.7735370561879482</v>
      </c>
      <c r="I41" s="1">
        <v>1588.788</v>
      </c>
      <c r="J41" s="1">
        <f t="shared" si="12"/>
        <v>0.3211551647185909</v>
      </c>
      <c r="K41" s="1">
        <f t="shared" si="13"/>
        <v>3.2010659509691157</v>
      </c>
      <c r="L41" s="1">
        <v>192.00700000000001</v>
      </c>
      <c r="M41" s="1">
        <f t="shared" si="14"/>
        <v>2.2833170620679084</v>
      </c>
      <c r="N41" s="1">
        <v>276.363</v>
      </c>
      <c r="O41" s="1">
        <f t="shared" si="15"/>
        <v>2.4414798984291886</v>
      </c>
      <c r="P41" s="1">
        <v>-84.355999999999995</v>
      </c>
      <c r="Q41" s="1" t="e">
        <f ca="1"/>
        <v>#NAME?</v>
      </c>
      <c r="R41" s="1" t="e">
        <f t="shared" ca="1" si="0"/>
        <v>#NAME?</v>
      </c>
      <c r="T41" s="1">
        <v>71149.333333333299</v>
      </c>
      <c r="U41" s="1" t="e">
        <f ca="1"/>
        <v>#NAME?</v>
      </c>
      <c r="V41" s="1" t="e">
        <f t="shared" ca="1" si="1"/>
        <v>#NAME?</v>
      </c>
      <c r="W41" s="1" t="e">
        <f ca="1"/>
        <v>#NAME?</v>
      </c>
      <c r="X41" s="1" t="e">
        <f t="shared" ca="1" si="2"/>
        <v>#NAME?</v>
      </c>
      <c r="Y41" s="1" t="e">
        <f ca="1"/>
        <v>#NAME?</v>
      </c>
      <c r="Z41" s="1" t="e">
        <f t="shared" ca="1" si="3"/>
        <v>#NAME?</v>
      </c>
      <c r="AA41" s="1" t="e">
        <f ca="1"/>
        <v>#NAME?</v>
      </c>
      <c r="AB41" s="1" t="e">
        <f t="shared" ca="1" si="4"/>
        <v>#NAME?</v>
      </c>
      <c r="AC41" s="1" t="e">
        <f ca="1"/>
        <v>#NAME?</v>
      </c>
      <c r="AD41" s="1" t="e">
        <f t="shared" ca="1" si="5"/>
        <v>#NAME?</v>
      </c>
      <c r="AE41" s="1" t="e">
        <f ca="1"/>
        <v>#NAME?</v>
      </c>
      <c r="AF41" s="1" t="e">
        <f t="shared" ca="1" si="6"/>
        <v>#NAME?</v>
      </c>
      <c r="AG41" s="1" t="e">
        <f ca="1"/>
        <v>#NAME?</v>
      </c>
      <c r="AH41" s="1" t="e">
        <f t="shared" ca="1" si="7"/>
        <v>#NAME?</v>
      </c>
      <c r="AI41" s="1" t="e">
        <f ca="1"/>
        <v>#NAME?</v>
      </c>
      <c r="AJ41" s="1" t="e">
        <f t="shared" ca="1" si="16"/>
        <v>#NAME?</v>
      </c>
      <c r="AK41" s="1" t="e">
        <f ca="1"/>
        <v>#NAME?</v>
      </c>
      <c r="AL41" s="1" t="e">
        <f t="shared" ca="1" si="8"/>
        <v>#NAME?</v>
      </c>
    </row>
    <row r="42" spans="1:38" x14ac:dyDescent="0.25">
      <c r="A42" s="1" t="s">
        <v>57</v>
      </c>
      <c r="B42" s="1">
        <v>41</v>
      </c>
      <c r="C42" s="1">
        <v>4939.759</v>
      </c>
      <c r="D42" s="1">
        <f t="shared" si="9"/>
        <v>3.693705761165897</v>
      </c>
      <c r="E42" s="1">
        <v>3071.056</v>
      </c>
      <c r="F42" s="1">
        <f t="shared" si="10"/>
        <v>3.4872877357752885</v>
      </c>
      <c r="G42" s="1">
        <v>575.95299999999997</v>
      </c>
      <c r="H42" s="1">
        <f t="shared" si="11"/>
        <v>2.760387044753994</v>
      </c>
      <c r="I42" s="1">
        <v>1581.1469999999999</v>
      </c>
      <c r="J42" s="1">
        <f t="shared" si="12"/>
        <v>0.32008585843965259</v>
      </c>
      <c r="K42" s="1">
        <f t="shared" si="13"/>
        <v>3.1989722483769087</v>
      </c>
      <c r="L42" s="1">
        <v>194.54</v>
      </c>
      <c r="M42" s="1">
        <f t="shared" si="14"/>
        <v>2.2890089115394634</v>
      </c>
      <c r="N42" s="1">
        <v>275.45800000000003</v>
      </c>
      <c r="O42" s="1">
        <f t="shared" si="15"/>
        <v>2.4400553899073896</v>
      </c>
      <c r="P42" s="1">
        <v>-80.918000000000006</v>
      </c>
      <c r="Q42" s="1" t="e">
        <f ca="1"/>
        <v>#NAME?</v>
      </c>
      <c r="R42" s="1" t="e">
        <f t="shared" ca="1" si="0"/>
        <v>#NAME?</v>
      </c>
      <c r="T42" s="1">
        <v>71310.666666666701</v>
      </c>
      <c r="U42" s="1" t="e">
        <f ca="1"/>
        <v>#NAME?</v>
      </c>
      <c r="V42" s="1" t="e">
        <f t="shared" ca="1" si="1"/>
        <v>#NAME?</v>
      </c>
      <c r="W42" s="1" t="e">
        <f ca="1"/>
        <v>#NAME?</v>
      </c>
      <c r="X42" s="1" t="e">
        <f t="shared" ca="1" si="2"/>
        <v>#NAME?</v>
      </c>
      <c r="Y42" s="1" t="e">
        <f ca="1"/>
        <v>#NAME?</v>
      </c>
      <c r="Z42" s="1" t="e">
        <f t="shared" ca="1" si="3"/>
        <v>#NAME?</v>
      </c>
      <c r="AA42" s="1" t="e">
        <f ca="1"/>
        <v>#NAME?</v>
      </c>
      <c r="AB42" s="1" t="e">
        <f t="shared" ca="1" si="4"/>
        <v>#NAME?</v>
      </c>
      <c r="AC42" s="1" t="e">
        <f ca="1"/>
        <v>#NAME?</v>
      </c>
      <c r="AD42" s="1" t="e">
        <f t="shared" ca="1" si="5"/>
        <v>#NAME?</v>
      </c>
      <c r="AE42" s="1" t="e">
        <f ca="1"/>
        <v>#NAME?</v>
      </c>
      <c r="AF42" s="1" t="e">
        <f t="shared" ca="1" si="6"/>
        <v>#NAME?</v>
      </c>
      <c r="AG42" s="1" t="e">
        <f ca="1"/>
        <v>#NAME?</v>
      </c>
      <c r="AH42" s="1" t="e">
        <f t="shared" ca="1" si="7"/>
        <v>#NAME?</v>
      </c>
      <c r="AI42" s="1" t="e">
        <f ca="1"/>
        <v>#NAME?</v>
      </c>
      <c r="AJ42" s="1" t="e">
        <f t="shared" ca="1" si="16"/>
        <v>#NAME?</v>
      </c>
      <c r="AK42" s="1" t="e">
        <f ca="1"/>
        <v>#NAME?</v>
      </c>
      <c r="AL42" s="1" t="e">
        <f t="shared" ca="1" si="8"/>
        <v>#NAME?</v>
      </c>
    </row>
    <row r="43" spans="1:38" x14ac:dyDescent="0.25">
      <c r="A43" s="1" t="s">
        <v>58</v>
      </c>
      <c r="B43" s="1">
        <v>42</v>
      </c>
      <c r="C43" s="1">
        <v>4946.7700000000004</v>
      </c>
      <c r="D43" s="1">
        <f t="shared" si="9"/>
        <v>3.6943217183179025</v>
      </c>
      <c r="E43" s="1">
        <v>3084.9679999999998</v>
      </c>
      <c r="F43" s="1">
        <f t="shared" si="10"/>
        <v>3.489250663508483</v>
      </c>
      <c r="G43" s="1">
        <v>577.20500000000004</v>
      </c>
      <c r="H43" s="1">
        <f t="shared" si="11"/>
        <v>2.7613300844848738</v>
      </c>
      <c r="I43" s="1">
        <v>1562.7639999999999</v>
      </c>
      <c r="J43" s="1">
        <f t="shared" si="12"/>
        <v>0.31591604218510255</v>
      </c>
      <c r="K43" s="1">
        <f t="shared" si="13"/>
        <v>3.1938933982134663</v>
      </c>
      <c r="L43" s="1">
        <v>202.078</v>
      </c>
      <c r="M43" s="1">
        <f t="shared" si="14"/>
        <v>2.3055190349468946</v>
      </c>
      <c r="N43" s="1">
        <v>280.90199999999999</v>
      </c>
      <c r="O43" s="1">
        <f t="shared" si="15"/>
        <v>2.4485548313549126</v>
      </c>
      <c r="P43" s="1">
        <v>-78.823999999999998</v>
      </c>
      <c r="Q43" s="1" t="e">
        <f ca="1"/>
        <v>#NAME?</v>
      </c>
      <c r="R43" s="1" t="e">
        <f t="shared" ca="1" si="0"/>
        <v>#NAME?</v>
      </c>
      <c r="T43" s="1">
        <v>71167</v>
      </c>
      <c r="U43" s="1" t="e">
        <f ca="1"/>
        <v>#NAME?</v>
      </c>
      <c r="V43" s="1" t="e">
        <f t="shared" ca="1" si="1"/>
        <v>#NAME?</v>
      </c>
      <c r="W43" s="1" t="e">
        <f ca="1"/>
        <v>#NAME?</v>
      </c>
      <c r="X43" s="1" t="e">
        <f t="shared" ca="1" si="2"/>
        <v>#NAME?</v>
      </c>
      <c r="Y43" s="1" t="e">
        <f ca="1"/>
        <v>#NAME?</v>
      </c>
      <c r="Z43" s="1" t="e">
        <f t="shared" ca="1" si="3"/>
        <v>#NAME?</v>
      </c>
      <c r="AA43" s="1" t="e">
        <f ca="1"/>
        <v>#NAME?</v>
      </c>
      <c r="AB43" s="1" t="e">
        <f t="shared" ca="1" si="4"/>
        <v>#NAME?</v>
      </c>
      <c r="AC43" s="1" t="e">
        <f ca="1"/>
        <v>#NAME?</v>
      </c>
      <c r="AD43" s="1" t="e">
        <f t="shared" ca="1" si="5"/>
        <v>#NAME?</v>
      </c>
      <c r="AE43" s="1" t="e">
        <f ca="1"/>
        <v>#NAME?</v>
      </c>
      <c r="AF43" s="1" t="e">
        <f t="shared" ca="1" si="6"/>
        <v>#NAME?</v>
      </c>
      <c r="AG43" s="1" t="e">
        <f ca="1"/>
        <v>#NAME?</v>
      </c>
      <c r="AH43" s="1" t="e">
        <f t="shared" ca="1" si="7"/>
        <v>#NAME?</v>
      </c>
      <c r="AI43" s="1" t="e">
        <f ca="1"/>
        <v>#NAME?</v>
      </c>
      <c r="AJ43" s="1" t="e">
        <f t="shared" ca="1" si="16"/>
        <v>#NAME?</v>
      </c>
      <c r="AK43" s="1" t="e">
        <f ca="1"/>
        <v>#NAME?</v>
      </c>
      <c r="AL43" s="1" t="e">
        <f t="shared" ca="1" si="8"/>
        <v>#NAME?</v>
      </c>
    </row>
    <row r="44" spans="1:38" x14ac:dyDescent="0.25">
      <c r="A44" s="1" t="s">
        <v>59</v>
      </c>
      <c r="B44" s="1">
        <v>43</v>
      </c>
      <c r="C44" s="1">
        <v>4992.357</v>
      </c>
      <c r="D44" s="1">
        <f t="shared" si="9"/>
        <v>3.6983056338831806</v>
      </c>
      <c r="E44" s="1">
        <v>3112.0140000000001</v>
      </c>
      <c r="F44" s="1">
        <f t="shared" si="10"/>
        <v>3.4930415420802059</v>
      </c>
      <c r="G44" s="1">
        <v>586.59799999999996</v>
      </c>
      <c r="H44" s="1">
        <f t="shared" si="11"/>
        <v>2.7683405779243757</v>
      </c>
      <c r="I44" s="1">
        <v>1569.37</v>
      </c>
      <c r="J44" s="1">
        <f t="shared" si="12"/>
        <v>0.31435452232282263</v>
      </c>
      <c r="K44" s="1">
        <f t="shared" si="13"/>
        <v>3.19572534640053</v>
      </c>
      <c r="L44" s="1">
        <v>202.887</v>
      </c>
      <c r="M44" s="1">
        <f t="shared" si="14"/>
        <v>2.3072542204727777</v>
      </c>
      <c r="N44" s="1">
        <v>280.25799999999998</v>
      </c>
      <c r="O44" s="1">
        <f t="shared" si="15"/>
        <v>2.447558018434778</v>
      </c>
      <c r="P44" s="1">
        <v>-77.370999999999995</v>
      </c>
      <c r="Q44" s="1" t="e">
        <f ca="1"/>
        <v>#NAME?</v>
      </c>
      <c r="R44" s="1" t="e">
        <f t="shared" ca="1" si="0"/>
        <v>#NAME?</v>
      </c>
      <c r="T44" s="1">
        <v>70978</v>
      </c>
      <c r="U44" s="1" t="e">
        <f ca="1"/>
        <v>#NAME?</v>
      </c>
      <c r="V44" s="1" t="e">
        <f t="shared" ca="1" si="1"/>
        <v>#NAME?</v>
      </c>
      <c r="W44" s="1" t="e">
        <f ca="1"/>
        <v>#NAME?</v>
      </c>
      <c r="X44" s="1" t="e">
        <f t="shared" ca="1" si="2"/>
        <v>#NAME?</v>
      </c>
      <c r="Y44" s="1" t="e">
        <f ca="1"/>
        <v>#NAME?</v>
      </c>
      <c r="Z44" s="1" t="e">
        <f t="shared" ca="1" si="3"/>
        <v>#NAME?</v>
      </c>
      <c r="AA44" s="1" t="e">
        <f ca="1"/>
        <v>#NAME?</v>
      </c>
      <c r="AB44" s="1" t="e">
        <f t="shared" ca="1" si="4"/>
        <v>#NAME?</v>
      </c>
      <c r="AC44" s="1" t="e">
        <f ca="1"/>
        <v>#NAME?</v>
      </c>
      <c r="AD44" s="1" t="e">
        <f t="shared" ca="1" si="5"/>
        <v>#NAME?</v>
      </c>
      <c r="AE44" s="1" t="e">
        <f ca="1"/>
        <v>#NAME?</v>
      </c>
      <c r="AF44" s="1" t="e">
        <f t="shared" ca="1" si="6"/>
        <v>#NAME?</v>
      </c>
      <c r="AG44" s="1" t="e">
        <f ca="1"/>
        <v>#NAME?</v>
      </c>
      <c r="AH44" s="1" t="e">
        <f t="shared" ca="1" si="7"/>
        <v>#NAME?</v>
      </c>
      <c r="AI44" s="1" t="e">
        <f ca="1"/>
        <v>#NAME?</v>
      </c>
      <c r="AJ44" s="1" t="e">
        <f t="shared" ca="1" si="16"/>
        <v>#NAME?</v>
      </c>
      <c r="AK44" s="1" t="e">
        <f ca="1"/>
        <v>#NAME?</v>
      </c>
      <c r="AL44" s="1" t="e">
        <f t="shared" ca="1" si="8"/>
        <v>#NAME?</v>
      </c>
    </row>
    <row r="45" spans="1:38" x14ac:dyDescent="0.25">
      <c r="A45" s="1" t="s">
        <v>60</v>
      </c>
      <c r="B45" s="1">
        <v>44</v>
      </c>
      <c r="C45" s="1">
        <v>4938.857</v>
      </c>
      <c r="D45" s="1">
        <f t="shared" si="9"/>
        <v>3.6936264517517512</v>
      </c>
      <c r="E45" s="1">
        <v>3103.5650000000001</v>
      </c>
      <c r="F45" s="1">
        <f t="shared" si="10"/>
        <v>3.4918608455312148</v>
      </c>
      <c r="G45" s="1">
        <v>555.45399999999995</v>
      </c>
      <c r="H45" s="1">
        <f t="shared" si="11"/>
        <v>2.7446480986083599</v>
      </c>
      <c r="I45" s="1">
        <v>1570.1010000000001</v>
      </c>
      <c r="J45" s="1">
        <f t="shared" si="12"/>
        <v>0.31790776691854006</v>
      </c>
      <c r="K45" s="1">
        <f t="shared" si="13"/>
        <v>3.1959275902002076</v>
      </c>
      <c r="L45" s="1">
        <v>203.30799999999999</v>
      </c>
      <c r="M45" s="1">
        <f t="shared" si="14"/>
        <v>2.3081544680994148</v>
      </c>
      <c r="N45" s="1">
        <v>284.60399999999998</v>
      </c>
      <c r="O45" s="1">
        <f t="shared" si="15"/>
        <v>2.4542409996334373</v>
      </c>
      <c r="P45" s="1">
        <v>-81.296000000000006</v>
      </c>
      <c r="Q45" s="1" t="e">
        <f ca="1"/>
        <v>#NAME?</v>
      </c>
      <c r="R45" s="1" t="e">
        <f t="shared" ca="1" si="0"/>
        <v>#NAME?</v>
      </c>
      <c r="T45" s="1">
        <v>70574</v>
      </c>
      <c r="U45" s="1" t="e">
        <f ca="1"/>
        <v>#NAME?</v>
      </c>
      <c r="V45" s="1" t="e">
        <f t="shared" ca="1" si="1"/>
        <v>#NAME?</v>
      </c>
      <c r="W45" s="1" t="e">
        <f ca="1"/>
        <v>#NAME?</v>
      </c>
      <c r="X45" s="1" t="e">
        <f t="shared" ca="1" si="2"/>
        <v>#NAME?</v>
      </c>
      <c r="Y45" s="1" t="e">
        <f ca="1"/>
        <v>#NAME?</v>
      </c>
      <c r="Z45" s="1" t="e">
        <f t="shared" ca="1" si="3"/>
        <v>#NAME?</v>
      </c>
      <c r="AA45" s="1" t="e">
        <f ca="1"/>
        <v>#NAME?</v>
      </c>
      <c r="AB45" s="1" t="e">
        <f t="shared" ca="1" si="4"/>
        <v>#NAME?</v>
      </c>
      <c r="AC45" s="1" t="e">
        <f ca="1"/>
        <v>#NAME?</v>
      </c>
      <c r="AD45" s="1" t="e">
        <f t="shared" ca="1" si="5"/>
        <v>#NAME?</v>
      </c>
      <c r="AE45" s="1" t="e">
        <f ca="1"/>
        <v>#NAME?</v>
      </c>
      <c r="AF45" s="1" t="e">
        <f t="shared" ca="1" si="6"/>
        <v>#NAME?</v>
      </c>
      <c r="AG45" s="1" t="e">
        <f ca="1"/>
        <v>#NAME?</v>
      </c>
      <c r="AH45" s="1" t="e">
        <f t="shared" ca="1" si="7"/>
        <v>#NAME?</v>
      </c>
      <c r="AI45" s="1" t="e">
        <f ca="1"/>
        <v>#NAME?</v>
      </c>
      <c r="AJ45" s="1" t="e">
        <f t="shared" ca="1" si="16"/>
        <v>#NAME?</v>
      </c>
      <c r="AK45" s="1" t="e">
        <f ca="1"/>
        <v>#NAME?</v>
      </c>
      <c r="AL45" s="1" t="e">
        <f t="shared" ca="1" si="8"/>
        <v>#NAME?</v>
      </c>
    </row>
    <row r="46" spans="1:38" x14ac:dyDescent="0.25">
      <c r="A46" s="1" t="s">
        <v>61</v>
      </c>
      <c r="B46" s="1">
        <v>45</v>
      </c>
      <c r="C46" s="1">
        <v>5072.9960000000001</v>
      </c>
      <c r="D46" s="1">
        <f t="shared" si="9"/>
        <v>3.7052645198812497</v>
      </c>
      <c r="E46" s="1">
        <v>3163.1390000000001</v>
      </c>
      <c r="F46" s="1">
        <f t="shared" si="10"/>
        <v>3.5001182768371875</v>
      </c>
      <c r="G46" s="1">
        <v>620.21199999999999</v>
      </c>
      <c r="H46" s="1">
        <f t="shared" si="11"/>
        <v>2.7925401648090236</v>
      </c>
      <c r="I46" s="1">
        <v>1547.1389999999999</v>
      </c>
      <c r="J46" s="1">
        <f t="shared" si="12"/>
        <v>0.30497540309513349</v>
      </c>
      <c r="K46" s="1">
        <f t="shared" si="13"/>
        <v>3.1895293338810884</v>
      </c>
      <c r="L46" s="1">
        <v>205.16399999999999</v>
      </c>
      <c r="M46" s="1">
        <f t="shared" si="14"/>
        <v>2.3121011577411177</v>
      </c>
      <c r="N46" s="1">
        <v>281.24900000000002</v>
      </c>
      <c r="O46" s="1">
        <f t="shared" si="15"/>
        <v>2.4490909869585158</v>
      </c>
      <c r="P46" s="1">
        <v>-76.084999999999994</v>
      </c>
      <c r="Q46" s="1" t="e">
        <f ca="1"/>
        <v>#NAME?</v>
      </c>
      <c r="R46" s="1" t="e">
        <f t="shared" ca="1" si="0"/>
        <v>#NAME?</v>
      </c>
      <c r="T46" s="1">
        <v>70844</v>
      </c>
      <c r="U46" s="1" t="e">
        <f ca="1"/>
        <v>#NAME?</v>
      </c>
      <c r="V46" s="1" t="e">
        <f t="shared" ca="1" si="1"/>
        <v>#NAME?</v>
      </c>
      <c r="W46" s="1" t="e">
        <f ca="1"/>
        <v>#NAME?</v>
      </c>
      <c r="X46" s="1" t="e">
        <f t="shared" ca="1" si="2"/>
        <v>#NAME?</v>
      </c>
      <c r="Y46" s="1" t="e">
        <f ca="1"/>
        <v>#NAME?</v>
      </c>
      <c r="Z46" s="1" t="e">
        <f t="shared" ca="1" si="3"/>
        <v>#NAME?</v>
      </c>
      <c r="AA46" s="1" t="e">
        <f ca="1"/>
        <v>#NAME?</v>
      </c>
      <c r="AB46" s="1" t="e">
        <f t="shared" ca="1" si="4"/>
        <v>#NAME?</v>
      </c>
      <c r="AC46" s="1" t="e">
        <f ca="1"/>
        <v>#NAME?</v>
      </c>
      <c r="AD46" s="1" t="e">
        <f t="shared" ca="1" si="5"/>
        <v>#NAME?</v>
      </c>
      <c r="AE46" s="1" t="e">
        <f ca="1"/>
        <v>#NAME?</v>
      </c>
      <c r="AF46" s="1" t="e">
        <f t="shared" ca="1" si="6"/>
        <v>#NAME?</v>
      </c>
      <c r="AG46" s="1" t="e">
        <f ca="1"/>
        <v>#NAME?</v>
      </c>
      <c r="AH46" s="1" t="e">
        <f t="shared" ca="1" si="7"/>
        <v>#NAME?</v>
      </c>
      <c r="AI46" s="1" t="e">
        <f ca="1"/>
        <v>#NAME?</v>
      </c>
      <c r="AJ46" s="1" t="e">
        <f t="shared" ca="1" si="16"/>
        <v>#NAME?</v>
      </c>
      <c r="AK46" s="1" t="e">
        <f ca="1"/>
        <v>#NAME?</v>
      </c>
      <c r="AL46" s="1" t="e">
        <f t="shared" ca="1" si="8"/>
        <v>#NAME?</v>
      </c>
    </row>
    <row r="47" spans="1:38" x14ac:dyDescent="0.25">
      <c r="A47" s="1" t="s">
        <v>62</v>
      </c>
      <c r="B47" s="1">
        <v>46</v>
      </c>
      <c r="C47" s="1">
        <v>5100.4470000000001</v>
      </c>
      <c r="D47" s="1">
        <f t="shared" si="9"/>
        <v>3.7076082390639091</v>
      </c>
      <c r="E47" s="1">
        <v>3192.21</v>
      </c>
      <c r="F47" s="1">
        <f t="shared" si="10"/>
        <v>3.5040914537442527</v>
      </c>
      <c r="G47" s="1">
        <v>637.81100000000004</v>
      </c>
      <c r="H47" s="1">
        <f t="shared" si="11"/>
        <v>2.8046920050262654</v>
      </c>
      <c r="I47" s="1">
        <v>1543.5840000000001</v>
      </c>
      <c r="J47" s="1">
        <f t="shared" si="12"/>
        <v>0.30263700416845818</v>
      </c>
      <c r="K47" s="1">
        <f t="shared" si="13"/>
        <v>3.1885302682488512</v>
      </c>
      <c r="L47" s="1">
        <v>203.64699999999999</v>
      </c>
      <c r="M47" s="1">
        <f t="shared" si="14"/>
        <v>2.3088780167149587</v>
      </c>
      <c r="N47" s="1">
        <v>302.46600000000001</v>
      </c>
      <c r="O47" s="1">
        <f t="shared" si="15"/>
        <v>2.4806765629809755</v>
      </c>
      <c r="P47" s="1">
        <v>-98.819000000000003</v>
      </c>
      <c r="Q47" s="1" t="e">
        <f ca="1"/>
        <v>#NAME?</v>
      </c>
      <c r="R47" s="1" t="e">
        <f t="shared" ca="1" si="0"/>
        <v>#NAME?</v>
      </c>
      <c r="T47" s="1">
        <v>71179</v>
      </c>
      <c r="U47" s="1" t="e">
        <f ca="1"/>
        <v>#NAME?</v>
      </c>
      <c r="V47" s="1" t="e">
        <f t="shared" ca="1" si="1"/>
        <v>#NAME?</v>
      </c>
      <c r="W47" s="1" t="e">
        <f ca="1"/>
        <v>#NAME?</v>
      </c>
      <c r="X47" s="1" t="e">
        <f t="shared" ca="1" si="2"/>
        <v>#NAME?</v>
      </c>
      <c r="Y47" s="1" t="e">
        <f ca="1"/>
        <v>#NAME?</v>
      </c>
      <c r="Z47" s="1" t="e">
        <f t="shared" ca="1" si="3"/>
        <v>#NAME?</v>
      </c>
      <c r="AA47" s="1" t="e">
        <f ca="1"/>
        <v>#NAME?</v>
      </c>
      <c r="AB47" s="1" t="e">
        <f t="shared" ca="1" si="4"/>
        <v>#NAME?</v>
      </c>
      <c r="AC47" s="1" t="e">
        <f ca="1"/>
        <v>#NAME?</v>
      </c>
      <c r="AD47" s="1" t="e">
        <f t="shared" ca="1" si="5"/>
        <v>#NAME?</v>
      </c>
      <c r="AE47" s="1" t="e">
        <f ca="1"/>
        <v>#NAME?</v>
      </c>
      <c r="AF47" s="1" t="e">
        <f t="shared" ca="1" si="6"/>
        <v>#NAME?</v>
      </c>
      <c r="AG47" s="1" t="e">
        <f ca="1"/>
        <v>#NAME?</v>
      </c>
      <c r="AH47" s="1" t="e">
        <f t="shared" ca="1" si="7"/>
        <v>#NAME?</v>
      </c>
      <c r="AI47" s="1" t="e">
        <f ca="1"/>
        <v>#NAME?</v>
      </c>
      <c r="AJ47" s="1" t="e">
        <f t="shared" ca="1" si="16"/>
        <v>#NAME?</v>
      </c>
      <c r="AK47" s="1" t="e">
        <f ca="1"/>
        <v>#NAME?</v>
      </c>
      <c r="AL47" s="1" t="e">
        <f t="shared" ca="1" si="8"/>
        <v>#NAME?</v>
      </c>
    </row>
    <row r="48" spans="1:38" x14ac:dyDescent="0.25">
      <c r="A48" s="1" t="s">
        <v>63</v>
      </c>
      <c r="B48" s="1">
        <v>47</v>
      </c>
      <c r="C48" s="1">
        <v>5142.4219999999996</v>
      </c>
      <c r="D48" s="1">
        <f t="shared" si="9"/>
        <v>3.7111677130597136</v>
      </c>
      <c r="E48" s="1">
        <v>3217.6610000000001</v>
      </c>
      <c r="F48" s="1">
        <f t="shared" si="10"/>
        <v>3.5075402866291832</v>
      </c>
      <c r="G48" s="1">
        <v>645.54899999999998</v>
      </c>
      <c r="H48" s="1">
        <f t="shared" si="11"/>
        <v>2.8099292127092617</v>
      </c>
      <c r="I48" s="1">
        <v>1542.778</v>
      </c>
      <c r="J48" s="1">
        <f t="shared" si="12"/>
        <v>0.30000999529015709</v>
      </c>
      <c r="K48" s="1">
        <f t="shared" si="13"/>
        <v>3.188303437202868</v>
      </c>
      <c r="L48" s="1">
        <v>213.827</v>
      </c>
      <c r="M48" s="1">
        <f t="shared" si="14"/>
        <v>2.3300625428309467</v>
      </c>
      <c r="N48" s="1">
        <v>309.15199999999999</v>
      </c>
      <c r="O48" s="1">
        <f t="shared" si="15"/>
        <v>2.4901720604294413</v>
      </c>
      <c r="P48" s="1">
        <v>-95.325000000000003</v>
      </c>
      <c r="Q48" s="1" t="e">
        <f ca="1"/>
        <v>#NAME?</v>
      </c>
      <c r="R48" s="1" t="e">
        <f t="shared" ca="1" si="0"/>
        <v>#NAME?</v>
      </c>
      <c r="T48" s="1">
        <v>71434</v>
      </c>
      <c r="U48" s="1" t="e">
        <f ca="1"/>
        <v>#NAME?</v>
      </c>
      <c r="V48" s="1" t="e">
        <f t="shared" ca="1" si="1"/>
        <v>#NAME?</v>
      </c>
      <c r="W48" s="1" t="e">
        <f ca="1"/>
        <v>#NAME?</v>
      </c>
      <c r="X48" s="1" t="e">
        <f t="shared" ca="1" si="2"/>
        <v>#NAME?</v>
      </c>
      <c r="Y48" s="1" t="e">
        <f ca="1"/>
        <v>#NAME?</v>
      </c>
      <c r="Z48" s="1" t="e">
        <f t="shared" ca="1" si="3"/>
        <v>#NAME?</v>
      </c>
      <c r="AA48" s="1" t="e">
        <f ca="1"/>
        <v>#NAME?</v>
      </c>
      <c r="AB48" s="1" t="e">
        <f t="shared" ca="1" si="4"/>
        <v>#NAME?</v>
      </c>
      <c r="AC48" s="1" t="e">
        <f ca="1"/>
        <v>#NAME?</v>
      </c>
      <c r="AD48" s="1" t="e">
        <f t="shared" ca="1" si="5"/>
        <v>#NAME?</v>
      </c>
      <c r="AE48" s="1" t="e">
        <f ca="1"/>
        <v>#NAME?</v>
      </c>
      <c r="AF48" s="1" t="e">
        <f t="shared" ca="1" si="6"/>
        <v>#NAME?</v>
      </c>
      <c r="AG48" s="1" t="e">
        <f ca="1"/>
        <v>#NAME?</v>
      </c>
      <c r="AH48" s="1" t="e">
        <f t="shared" ca="1" si="7"/>
        <v>#NAME?</v>
      </c>
      <c r="AI48" s="1" t="e">
        <f ca="1"/>
        <v>#NAME?</v>
      </c>
      <c r="AJ48" s="1" t="e">
        <f t="shared" ca="1" si="16"/>
        <v>#NAME?</v>
      </c>
      <c r="AK48" s="1" t="e">
        <f ca="1"/>
        <v>#NAME?</v>
      </c>
      <c r="AL48" s="1" t="e">
        <f t="shared" ca="1" si="8"/>
        <v>#NAME?</v>
      </c>
    </row>
    <row r="49" spans="1:42" x14ac:dyDescent="0.25">
      <c r="A49" s="1" t="s">
        <v>64</v>
      </c>
      <c r="B49" s="1">
        <v>48</v>
      </c>
      <c r="C49" s="1">
        <v>5154.5469999999996</v>
      </c>
      <c r="D49" s="1">
        <f t="shared" si="9"/>
        <v>3.7121905039464114</v>
      </c>
      <c r="E49" s="1">
        <v>3271.05</v>
      </c>
      <c r="F49" s="1">
        <f t="shared" si="10"/>
        <v>3.5146871826325126</v>
      </c>
      <c r="G49" s="1">
        <v>628.16499999999996</v>
      </c>
      <c r="H49" s="1">
        <f t="shared" si="11"/>
        <v>2.798073734784035</v>
      </c>
      <c r="I49" s="1">
        <v>1531.9359999999999</v>
      </c>
      <c r="J49" s="1">
        <f t="shared" si="12"/>
        <v>0.29720089854646781</v>
      </c>
      <c r="K49" s="1">
        <f t="shared" si="13"/>
        <v>3.1852406220671927</v>
      </c>
      <c r="L49" s="1">
        <v>194.08799999999999</v>
      </c>
      <c r="M49" s="1">
        <f t="shared" si="14"/>
        <v>2.287998684822222</v>
      </c>
      <c r="N49" s="1">
        <v>288.197</v>
      </c>
      <c r="O49" s="1">
        <f t="shared" si="15"/>
        <v>2.4596894556930056</v>
      </c>
      <c r="P49" s="1">
        <v>-94.108999999999995</v>
      </c>
      <c r="Q49" s="1" t="e">
        <f ca="1"/>
        <v>#NAME?</v>
      </c>
      <c r="R49" s="1" t="e">
        <f t="shared" ca="1" si="0"/>
        <v>#NAME?</v>
      </c>
      <c r="T49" s="1">
        <v>71866</v>
      </c>
      <c r="U49" s="1" t="e">
        <f ca="1"/>
        <v>#NAME?</v>
      </c>
      <c r="V49" s="1" t="e">
        <f t="shared" ca="1" si="1"/>
        <v>#NAME?</v>
      </c>
      <c r="W49" s="1" t="e">
        <f ca="1"/>
        <v>#NAME?</v>
      </c>
      <c r="X49" s="1" t="e">
        <f t="shared" ca="1" si="2"/>
        <v>#NAME?</v>
      </c>
      <c r="Y49" s="1" t="e">
        <f ca="1"/>
        <v>#NAME?</v>
      </c>
      <c r="Z49" s="1" t="e">
        <f t="shared" ca="1" si="3"/>
        <v>#NAME?</v>
      </c>
      <c r="AA49" s="1" t="e">
        <f ca="1"/>
        <v>#NAME?</v>
      </c>
      <c r="AB49" s="1" t="e">
        <f t="shared" ca="1" si="4"/>
        <v>#NAME?</v>
      </c>
      <c r="AC49" s="1" t="e">
        <f ca="1"/>
        <v>#NAME?</v>
      </c>
      <c r="AD49" s="1" t="e">
        <f t="shared" ca="1" si="5"/>
        <v>#NAME?</v>
      </c>
      <c r="AE49" s="1" t="e">
        <f ca="1"/>
        <v>#NAME?</v>
      </c>
      <c r="AF49" s="1" t="e">
        <f t="shared" ca="1" si="6"/>
        <v>#NAME?</v>
      </c>
      <c r="AG49" s="1" t="e">
        <f ca="1"/>
        <v>#NAME?</v>
      </c>
      <c r="AH49" s="1" t="e">
        <f t="shared" ca="1" si="7"/>
        <v>#NAME?</v>
      </c>
      <c r="AI49" s="1" t="e">
        <f ca="1"/>
        <v>#NAME?</v>
      </c>
      <c r="AJ49" s="1" t="e">
        <f t="shared" ca="1" si="16"/>
        <v>#NAME?</v>
      </c>
      <c r="AK49" s="1" t="e">
        <f ca="1"/>
        <v>#NAME?</v>
      </c>
      <c r="AL49" s="1" t="e">
        <f t="shared" ca="1" si="8"/>
        <v>#NAME?</v>
      </c>
    </row>
    <row r="50" spans="1:42" x14ac:dyDescent="0.25">
      <c r="A50" s="1" t="s">
        <v>65</v>
      </c>
      <c r="B50" s="1">
        <v>49</v>
      </c>
      <c r="C50" s="1">
        <v>5249.3370000000004</v>
      </c>
      <c r="D50" s="1">
        <f t="shared" si="9"/>
        <v>3.7201044547537259</v>
      </c>
      <c r="E50" s="1">
        <v>3314.2220000000002</v>
      </c>
      <c r="F50" s="1">
        <f t="shared" si="10"/>
        <v>3.5203815958593685</v>
      </c>
      <c r="G50" s="1">
        <v>669.55799999999999</v>
      </c>
      <c r="H50" s="1">
        <f t="shared" si="11"/>
        <v>2.8257882034375359</v>
      </c>
      <c r="I50" s="1">
        <v>1540.394</v>
      </c>
      <c r="J50" s="1">
        <f t="shared" si="12"/>
        <v>0.29344543891923874</v>
      </c>
      <c r="K50" s="1">
        <f t="shared" si="13"/>
        <v>3.1876318183303569</v>
      </c>
      <c r="L50" s="1">
        <v>216.149</v>
      </c>
      <c r="M50" s="1">
        <f t="shared" si="14"/>
        <v>2.3347532306377179</v>
      </c>
      <c r="N50" s="1">
        <v>330.31700000000001</v>
      </c>
      <c r="O50" s="1">
        <f t="shared" si="15"/>
        <v>2.5189309255418633</v>
      </c>
      <c r="P50" s="1">
        <v>-114.16800000000001</v>
      </c>
      <c r="Q50" s="1" t="e">
        <f ca="1"/>
        <v>#NAME?</v>
      </c>
      <c r="R50" s="1" t="e">
        <f t="shared" ca="1" si="0"/>
        <v>#NAME?</v>
      </c>
      <c r="S50" s="4">
        <v>908537000000</v>
      </c>
      <c r="T50" s="1">
        <v>72677.666666666701</v>
      </c>
      <c r="U50" s="1" t="e">
        <f ca="1"/>
        <v>#NAME?</v>
      </c>
      <c r="V50" s="1" t="e">
        <f t="shared" ca="1" si="1"/>
        <v>#NAME?</v>
      </c>
      <c r="W50" s="1" t="e">
        <f ca="1"/>
        <v>#NAME?</v>
      </c>
      <c r="X50" s="1" t="e">
        <f t="shared" ca="1" si="2"/>
        <v>#NAME?</v>
      </c>
      <c r="Y50" s="1" t="e">
        <f ca="1"/>
        <v>#NAME?</v>
      </c>
      <c r="Z50" s="1" t="e">
        <f t="shared" ca="1" si="3"/>
        <v>#NAME?</v>
      </c>
      <c r="AA50" s="1" t="e">
        <f ca="1"/>
        <v>#NAME?</v>
      </c>
      <c r="AB50" s="1" t="e">
        <f t="shared" ca="1" si="4"/>
        <v>#NAME?</v>
      </c>
      <c r="AC50" s="1" t="e">
        <f ca="1"/>
        <v>#NAME?</v>
      </c>
      <c r="AD50" s="1" t="e">
        <f t="shared" ca="1" si="5"/>
        <v>#NAME?</v>
      </c>
      <c r="AE50" s="1" t="e">
        <f ca="1"/>
        <v>#NAME?</v>
      </c>
      <c r="AF50" s="1" t="e">
        <f t="shared" ca="1" si="6"/>
        <v>#NAME?</v>
      </c>
      <c r="AG50" s="1" t="e">
        <f ca="1"/>
        <v>#NAME?</v>
      </c>
      <c r="AH50" s="1" t="e">
        <f t="shared" ca="1" si="7"/>
        <v>#NAME?</v>
      </c>
      <c r="AI50" s="1" t="e">
        <f ca="1"/>
        <v>#NAME?</v>
      </c>
      <c r="AJ50" s="1" t="e">
        <f t="shared" ca="1" si="16"/>
        <v>#NAME?</v>
      </c>
      <c r="AK50" s="1" t="e">
        <f ca="1"/>
        <v>#NAME?</v>
      </c>
      <c r="AL50" s="1" t="e">
        <f t="shared" ca="1" si="8"/>
        <v>#NAME?</v>
      </c>
      <c r="AN50" s="1">
        <f t="shared" ref="AN50:AN113" si="17">LOG(C50*10^9)-0.36*LOG(S50)-0.64*LOG(T50*10^3)</f>
        <v>3.3838044875996705</v>
      </c>
      <c r="AO50" s="1" t="e">
        <f t="array" aca="1" ref="AO50:AO254" ca="1">[1]!HP(AN50:AN254,1600)</f>
        <v>#NAME?</v>
      </c>
      <c r="AP50" s="1" t="e">
        <f t="shared" ref="AP50:AP113" ca="1" si="18">100*(AN50-AO50)/AO50</f>
        <v>#NAME?</v>
      </c>
    </row>
    <row r="51" spans="1:42" x14ac:dyDescent="0.25">
      <c r="A51" s="1" t="s">
        <v>66</v>
      </c>
      <c r="B51" s="1">
        <v>50</v>
      </c>
      <c r="C51" s="1">
        <v>5368.4849999999997</v>
      </c>
      <c r="D51" s="1">
        <f t="shared" si="9"/>
        <v>3.7298517439919592</v>
      </c>
      <c r="E51" s="1">
        <v>3377.3139999999999</v>
      </c>
      <c r="F51" s="1">
        <f t="shared" si="10"/>
        <v>3.528571440300146</v>
      </c>
      <c r="G51" s="1">
        <v>707.58900000000006</v>
      </c>
      <c r="H51" s="1">
        <f t="shared" si="11"/>
        <v>2.8497810728577626</v>
      </c>
      <c r="I51" s="1">
        <v>1546.5930000000001</v>
      </c>
      <c r="J51" s="1">
        <f t="shared" si="12"/>
        <v>0.28808742131159909</v>
      </c>
      <c r="K51" s="1">
        <f t="shared" si="13"/>
        <v>3.1893760401959335</v>
      </c>
      <c r="L51" s="1">
        <v>209.84200000000001</v>
      </c>
      <c r="M51" s="1">
        <f t="shared" si="14"/>
        <v>2.3218924168542401</v>
      </c>
      <c r="N51" s="1">
        <v>318.58100000000002</v>
      </c>
      <c r="O51" s="1">
        <f t="shared" si="15"/>
        <v>2.5032198711474365</v>
      </c>
      <c r="P51" s="1">
        <v>-108.739</v>
      </c>
      <c r="Q51" s="1" t="e">
        <f ca="1"/>
        <v>#NAME?</v>
      </c>
      <c r="R51" s="1" t="e">
        <f t="shared" ca="1" si="0"/>
        <v>#NAME?</v>
      </c>
      <c r="S51" s="4">
        <v>919345000000</v>
      </c>
      <c r="T51" s="1">
        <v>73463</v>
      </c>
      <c r="U51" s="1" t="e">
        <f ca="1"/>
        <v>#NAME?</v>
      </c>
      <c r="V51" s="1" t="e">
        <f t="shared" ca="1" si="1"/>
        <v>#NAME?</v>
      </c>
      <c r="W51" s="1" t="e">
        <f ca="1"/>
        <v>#NAME?</v>
      </c>
      <c r="X51" s="1" t="e">
        <f t="shared" ca="1" si="2"/>
        <v>#NAME?</v>
      </c>
      <c r="Y51" s="1" t="e">
        <f ca="1"/>
        <v>#NAME?</v>
      </c>
      <c r="Z51" s="1" t="e">
        <f t="shared" ca="1" si="3"/>
        <v>#NAME?</v>
      </c>
      <c r="AA51" s="1" t="e">
        <f ca="1"/>
        <v>#NAME?</v>
      </c>
      <c r="AB51" s="1" t="e">
        <f t="shared" ca="1" si="4"/>
        <v>#NAME?</v>
      </c>
      <c r="AC51" s="1" t="e">
        <f ca="1"/>
        <v>#NAME?</v>
      </c>
      <c r="AD51" s="1" t="e">
        <f t="shared" ca="1" si="5"/>
        <v>#NAME?</v>
      </c>
      <c r="AE51" s="1" t="e">
        <f ca="1"/>
        <v>#NAME?</v>
      </c>
      <c r="AF51" s="1" t="e">
        <f t="shared" ca="1" si="6"/>
        <v>#NAME?</v>
      </c>
      <c r="AG51" s="1" t="e">
        <f ca="1"/>
        <v>#NAME?</v>
      </c>
      <c r="AH51" s="1" t="e">
        <f t="shared" ca="1" si="7"/>
        <v>#NAME?</v>
      </c>
      <c r="AI51" s="1" t="e">
        <f ca="1"/>
        <v>#NAME?</v>
      </c>
      <c r="AJ51" s="1" t="e">
        <f t="shared" ca="1" si="16"/>
        <v>#NAME?</v>
      </c>
      <c r="AK51" s="1" t="e">
        <f ca="1"/>
        <v>#NAME?</v>
      </c>
      <c r="AL51" s="1" t="e">
        <f t="shared" ca="1" si="8"/>
        <v>#NAME?</v>
      </c>
      <c r="AN51" s="1">
        <f t="shared" si="17"/>
        <v>3.3887155352077913</v>
      </c>
      <c r="AO51" s="1" t="e">
        <f ca="1"/>
        <v>#NAME?</v>
      </c>
      <c r="AP51" s="1" t="e">
        <f t="shared" ca="1" si="18"/>
        <v>#NAME?</v>
      </c>
    </row>
    <row r="52" spans="1:42" x14ac:dyDescent="0.25">
      <c r="A52" s="1" t="s">
        <v>67</v>
      </c>
      <c r="B52" s="1">
        <v>51</v>
      </c>
      <c r="C52" s="1">
        <v>5419.1840000000002</v>
      </c>
      <c r="D52" s="1">
        <f t="shared" si="9"/>
        <v>3.7339338970592708</v>
      </c>
      <c r="E52" s="1">
        <v>3429.3620000000001</v>
      </c>
      <c r="F52" s="1">
        <f t="shared" si="10"/>
        <v>3.5352133312229785</v>
      </c>
      <c r="G52" s="1">
        <v>717.63800000000003</v>
      </c>
      <c r="H52" s="1">
        <f t="shared" si="11"/>
        <v>2.8559054271839877</v>
      </c>
      <c r="I52" s="1">
        <v>1517.1389999999999</v>
      </c>
      <c r="J52" s="1">
        <f t="shared" si="12"/>
        <v>0.2799570931712228</v>
      </c>
      <c r="K52" s="1">
        <f t="shared" si="13"/>
        <v>3.1810253725912765</v>
      </c>
      <c r="L52" s="1">
        <v>222.49299999999999</v>
      </c>
      <c r="M52" s="1">
        <f t="shared" si="14"/>
        <v>2.3473163519048357</v>
      </c>
      <c r="N52" s="1">
        <v>325.21199999999999</v>
      </c>
      <c r="O52" s="1">
        <f t="shared" si="15"/>
        <v>2.5121665622530007</v>
      </c>
      <c r="P52" s="1">
        <v>-102.71899999999999</v>
      </c>
      <c r="Q52" s="1" t="e">
        <f ca="1"/>
        <v>#NAME?</v>
      </c>
      <c r="R52" s="1" t="e">
        <f t="shared" ca="1" si="0"/>
        <v>#NAME?</v>
      </c>
      <c r="S52" s="4">
        <v>917590000000</v>
      </c>
      <c r="T52" s="1">
        <v>74038</v>
      </c>
      <c r="U52" s="1" t="e">
        <f ca="1"/>
        <v>#NAME?</v>
      </c>
      <c r="V52" s="1" t="e">
        <f t="shared" ca="1" si="1"/>
        <v>#NAME?</v>
      </c>
      <c r="W52" s="1" t="e">
        <f ca="1"/>
        <v>#NAME?</v>
      </c>
      <c r="X52" s="1" t="e">
        <f t="shared" ca="1" si="2"/>
        <v>#NAME?</v>
      </c>
      <c r="Y52" s="1" t="e">
        <f ca="1"/>
        <v>#NAME?</v>
      </c>
      <c r="Z52" s="1" t="e">
        <f t="shared" ca="1" si="3"/>
        <v>#NAME?</v>
      </c>
      <c r="AA52" s="1" t="e">
        <f ca="1"/>
        <v>#NAME?</v>
      </c>
      <c r="AB52" s="1" t="e">
        <f t="shared" ca="1" si="4"/>
        <v>#NAME?</v>
      </c>
      <c r="AC52" s="1" t="e">
        <f ca="1"/>
        <v>#NAME?</v>
      </c>
      <c r="AD52" s="1" t="e">
        <f t="shared" ca="1" si="5"/>
        <v>#NAME?</v>
      </c>
      <c r="AE52" s="1" t="e">
        <f ca="1"/>
        <v>#NAME?</v>
      </c>
      <c r="AF52" s="1" t="e">
        <f t="shared" ca="1" si="6"/>
        <v>#NAME?</v>
      </c>
      <c r="AG52" s="1" t="e">
        <f ca="1"/>
        <v>#NAME?</v>
      </c>
      <c r="AH52" s="1" t="e">
        <f t="shared" ca="1" si="7"/>
        <v>#NAME?</v>
      </c>
      <c r="AI52" s="1" t="e">
        <f ca="1"/>
        <v>#NAME?</v>
      </c>
      <c r="AJ52" s="1" t="e">
        <f t="shared" ca="1" si="16"/>
        <v>#NAME?</v>
      </c>
      <c r="AK52" s="1" t="e">
        <f ca="1"/>
        <v>#NAME?</v>
      </c>
      <c r="AL52" s="1" t="e">
        <f t="shared" ca="1" si="8"/>
        <v>#NAME?</v>
      </c>
      <c r="AN52" s="1">
        <f t="shared" si="17"/>
        <v>3.3909293808770444</v>
      </c>
      <c r="AO52" s="1" t="e">
        <f ca="1"/>
        <v>#NAME?</v>
      </c>
      <c r="AP52" s="1" t="e">
        <f t="shared" ca="1" si="18"/>
        <v>#NAME?</v>
      </c>
    </row>
    <row r="53" spans="1:42" x14ac:dyDescent="0.25">
      <c r="A53" s="1" t="s">
        <v>68</v>
      </c>
      <c r="B53" s="1">
        <v>52</v>
      </c>
      <c r="C53" s="1">
        <v>5509.9260000000004</v>
      </c>
      <c r="D53" s="1">
        <f t="shared" si="9"/>
        <v>3.7411457661825529</v>
      </c>
      <c r="E53" s="1">
        <v>3509.8380000000002</v>
      </c>
      <c r="F53" s="1">
        <f t="shared" si="10"/>
        <v>3.5452870716425444</v>
      </c>
      <c r="G53" s="1">
        <v>722.13800000000003</v>
      </c>
      <c r="H53" s="1">
        <f t="shared" si="11"/>
        <v>2.8586201988322402</v>
      </c>
      <c r="I53" s="1">
        <v>1529.691</v>
      </c>
      <c r="J53" s="1">
        <f t="shared" si="12"/>
        <v>0.27762459967701925</v>
      </c>
      <c r="K53" s="1">
        <f t="shared" si="13"/>
        <v>3.184603711505182</v>
      </c>
      <c r="L53" s="1">
        <v>231.90199999999999</v>
      </c>
      <c r="M53" s="1">
        <f t="shared" si="14"/>
        <v>2.3653044941542372</v>
      </c>
      <c r="N53" s="1">
        <v>339.86200000000002</v>
      </c>
      <c r="O53" s="1">
        <f t="shared" si="15"/>
        <v>2.5313026087934465</v>
      </c>
      <c r="P53" s="1">
        <v>-107.96</v>
      </c>
      <c r="Q53" s="1" t="e">
        <f ca="1"/>
        <v>#NAME?</v>
      </c>
      <c r="R53" s="1" t="e">
        <f t="shared" ca="1" si="0"/>
        <v>#NAME?</v>
      </c>
      <c r="S53" s="4">
        <v>956775000000</v>
      </c>
      <c r="T53" s="1">
        <v>74971.666666666701</v>
      </c>
      <c r="U53" s="1" t="e">
        <f ca="1"/>
        <v>#NAME?</v>
      </c>
      <c r="V53" s="1" t="e">
        <f t="shared" ca="1" si="1"/>
        <v>#NAME?</v>
      </c>
      <c r="W53" s="1" t="e">
        <f ca="1"/>
        <v>#NAME?</v>
      </c>
      <c r="X53" s="1" t="e">
        <f t="shared" ca="1" si="2"/>
        <v>#NAME?</v>
      </c>
      <c r="Y53" s="1" t="e">
        <f ca="1"/>
        <v>#NAME?</v>
      </c>
      <c r="Z53" s="1" t="e">
        <f t="shared" ca="1" si="3"/>
        <v>#NAME?</v>
      </c>
      <c r="AA53" s="1" t="e">
        <f ca="1"/>
        <v>#NAME?</v>
      </c>
      <c r="AB53" s="1" t="e">
        <f t="shared" ca="1" si="4"/>
        <v>#NAME?</v>
      </c>
      <c r="AC53" s="1" t="e">
        <f ca="1"/>
        <v>#NAME?</v>
      </c>
      <c r="AD53" s="1" t="e">
        <f t="shared" ca="1" si="5"/>
        <v>#NAME?</v>
      </c>
      <c r="AE53" s="1" t="e">
        <f ca="1"/>
        <v>#NAME?</v>
      </c>
      <c r="AF53" s="1" t="e">
        <f t="shared" ca="1" si="6"/>
        <v>#NAME?</v>
      </c>
      <c r="AG53" s="1" t="e">
        <f ca="1"/>
        <v>#NAME?</v>
      </c>
      <c r="AH53" s="1" t="e">
        <f t="shared" ca="1" si="7"/>
        <v>#NAME?</v>
      </c>
      <c r="AI53" s="1" t="e">
        <f ca="1"/>
        <v>#NAME?</v>
      </c>
      <c r="AJ53" s="1" t="e">
        <f t="shared" ca="1" si="16"/>
        <v>#NAME?</v>
      </c>
      <c r="AK53" s="1" t="e">
        <f ca="1"/>
        <v>#NAME?</v>
      </c>
      <c r="AL53" s="1" t="e">
        <f t="shared" ca="1" si="8"/>
        <v>#NAME?</v>
      </c>
      <c r="AN53" s="1">
        <f t="shared" si="17"/>
        <v>3.3881200453947224</v>
      </c>
      <c r="AO53" s="1" t="e">
        <f ca="1"/>
        <v>#NAME?</v>
      </c>
      <c r="AP53" s="1" t="e">
        <f t="shared" ca="1" si="18"/>
        <v>#NAME?</v>
      </c>
    </row>
    <row r="54" spans="1:42" x14ac:dyDescent="0.25">
      <c r="A54" s="1" t="s">
        <v>69</v>
      </c>
      <c r="B54" s="1">
        <v>53</v>
      </c>
      <c r="C54" s="1">
        <v>5646.2860000000001</v>
      </c>
      <c r="D54" s="1">
        <f t="shared" si="9"/>
        <v>3.7517628725845502</v>
      </c>
      <c r="E54" s="1">
        <v>3573.9180000000001</v>
      </c>
      <c r="F54" s="1">
        <f t="shared" si="10"/>
        <v>3.5531445838282556</v>
      </c>
      <c r="G54" s="1">
        <v>764.45799999999997</v>
      </c>
      <c r="H54" s="1">
        <f t="shared" si="11"/>
        <v>2.8833536298800566</v>
      </c>
      <c r="I54" s="1">
        <v>1542.8610000000001</v>
      </c>
      <c r="J54" s="1">
        <f t="shared" si="12"/>
        <v>0.27325236447462986</v>
      </c>
      <c r="K54" s="1">
        <f t="shared" si="13"/>
        <v>3.1883268012075403</v>
      </c>
      <c r="L54" s="1">
        <v>248.86699999999999</v>
      </c>
      <c r="M54" s="1">
        <f t="shared" si="14"/>
        <v>2.3959673125665661</v>
      </c>
      <c r="N54" s="1">
        <v>355.56599999999997</v>
      </c>
      <c r="O54" s="1">
        <f t="shared" si="15"/>
        <v>2.5509202260936163</v>
      </c>
      <c r="P54" s="1">
        <v>-106.699</v>
      </c>
      <c r="Q54" s="1" t="e">
        <f ca="1"/>
        <v>#NAME?</v>
      </c>
      <c r="R54" s="1" t="e">
        <f t="shared" ca="1" si="0"/>
        <v>#NAME?</v>
      </c>
      <c r="S54" s="4">
        <v>996161000000</v>
      </c>
      <c r="T54" s="1">
        <v>75971.666666666701</v>
      </c>
      <c r="U54" s="1" t="e">
        <f ca="1"/>
        <v>#NAME?</v>
      </c>
      <c r="V54" s="1" t="e">
        <f t="shared" ca="1" si="1"/>
        <v>#NAME?</v>
      </c>
      <c r="W54" s="1" t="e">
        <f ca="1"/>
        <v>#NAME?</v>
      </c>
      <c r="X54" s="1" t="e">
        <f t="shared" ca="1" si="2"/>
        <v>#NAME?</v>
      </c>
      <c r="Y54" s="1" t="e">
        <f ca="1"/>
        <v>#NAME?</v>
      </c>
      <c r="Z54" s="1" t="e">
        <f t="shared" ca="1" si="3"/>
        <v>#NAME?</v>
      </c>
      <c r="AA54" s="1" t="e">
        <f ca="1"/>
        <v>#NAME?</v>
      </c>
      <c r="AB54" s="1" t="e">
        <f t="shared" ca="1" si="4"/>
        <v>#NAME?</v>
      </c>
      <c r="AC54" s="1" t="e">
        <f ca="1"/>
        <v>#NAME?</v>
      </c>
      <c r="AD54" s="1" t="e">
        <f t="shared" ca="1" si="5"/>
        <v>#NAME?</v>
      </c>
      <c r="AE54" s="1" t="e">
        <f ca="1"/>
        <v>#NAME?</v>
      </c>
      <c r="AF54" s="1" t="e">
        <f t="shared" ca="1" si="6"/>
        <v>#NAME?</v>
      </c>
      <c r="AG54" s="1" t="e">
        <f ca="1"/>
        <v>#NAME?</v>
      </c>
      <c r="AH54" s="1" t="e">
        <f t="shared" ca="1" si="7"/>
        <v>#NAME?</v>
      </c>
      <c r="AI54" s="1" t="e">
        <f ca="1"/>
        <v>#NAME?</v>
      </c>
      <c r="AJ54" s="1" t="e">
        <f t="shared" ca="1" si="16"/>
        <v>#NAME?</v>
      </c>
      <c r="AK54" s="1" t="e">
        <f ca="1"/>
        <v>#NAME?</v>
      </c>
      <c r="AL54" s="1" t="e">
        <f t="shared" ca="1" si="8"/>
        <v>#NAME?</v>
      </c>
      <c r="AN54" s="1">
        <f t="shared" si="17"/>
        <v>3.3887471813950407</v>
      </c>
      <c r="AO54" s="1" t="e">
        <f ca="1"/>
        <v>#NAME?</v>
      </c>
      <c r="AP54" s="1" t="e">
        <f t="shared" ca="1" si="18"/>
        <v>#NAME?</v>
      </c>
    </row>
    <row r="55" spans="1:42" x14ac:dyDescent="0.25">
      <c r="A55" s="1" t="s">
        <v>70</v>
      </c>
      <c r="B55" s="1">
        <v>54</v>
      </c>
      <c r="C55" s="1">
        <v>5707.7550000000001</v>
      </c>
      <c r="D55" s="1">
        <f t="shared" si="9"/>
        <v>3.7564653231616636</v>
      </c>
      <c r="E55" s="1">
        <v>3572.3069999999998</v>
      </c>
      <c r="F55" s="1">
        <f t="shared" si="10"/>
        <v>3.552948774594094</v>
      </c>
      <c r="G55" s="1">
        <v>797.04399999999998</v>
      </c>
      <c r="H55" s="1">
        <f t="shared" si="11"/>
        <v>2.9014822968412175</v>
      </c>
      <c r="I55" s="1">
        <v>1531.9880000000001</v>
      </c>
      <c r="J55" s="1">
        <f t="shared" si="12"/>
        <v>0.26840465296776056</v>
      </c>
      <c r="K55" s="1">
        <f t="shared" si="13"/>
        <v>3.1852553634988086</v>
      </c>
      <c r="L55" s="1">
        <v>260.85599999999999</v>
      </c>
      <c r="M55" s="1">
        <f t="shared" si="14"/>
        <v>2.4164008304658053</v>
      </c>
      <c r="N55" s="1">
        <v>345.31799999999998</v>
      </c>
      <c r="O55" s="1">
        <f t="shared" si="15"/>
        <v>2.5382192169157123</v>
      </c>
      <c r="P55" s="1">
        <v>-84.462000000000003</v>
      </c>
      <c r="Q55" s="1" t="e">
        <f ca="1"/>
        <v>#NAME?</v>
      </c>
      <c r="R55" s="1" t="e">
        <f t="shared" ca="1" si="0"/>
        <v>#NAME?</v>
      </c>
      <c r="S55" s="4">
        <v>996956000000</v>
      </c>
      <c r="T55" s="1">
        <v>76663.333333333299</v>
      </c>
      <c r="U55" s="1" t="e">
        <f ca="1"/>
        <v>#NAME?</v>
      </c>
      <c r="V55" s="1" t="e">
        <f t="shared" ca="1" si="1"/>
        <v>#NAME?</v>
      </c>
      <c r="W55" s="1" t="e">
        <f ca="1"/>
        <v>#NAME?</v>
      </c>
      <c r="X55" s="1" t="e">
        <f t="shared" ca="1" si="2"/>
        <v>#NAME?</v>
      </c>
      <c r="Y55" s="1" t="e">
        <f ca="1"/>
        <v>#NAME?</v>
      </c>
      <c r="Z55" s="1" t="e">
        <f t="shared" ca="1" si="3"/>
        <v>#NAME?</v>
      </c>
      <c r="AA55" s="1" t="e">
        <f ca="1"/>
        <v>#NAME?</v>
      </c>
      <c r="AB55" s="1" t="e">
        <f t="shared" ca="1" si="4"/>
        <v>#NAME?</v>
      </c>
      <c r="AC55" s="1" t="e">
        <f ca="1"/>
        <v>#NAME?</v>
      </c>
      <c r="AD55" s="1" t="e">
        <f t="shared" ca="1" si="5"/>
        <v>#NAME?</v>
      </c>
      <c r="AE55" s="1" t="e">
        <f ca="1"/>
        <v>#NAME?</v>
      </c>
      <c r="AF55" s="1" t="e">
        <f t="shared" ca="1" si="6"/>
        <v>#NAME?</v>
      </c>
      <c r="AG55" s="1" t="e">
        <f ca="1"/>
        <v>#NAME?</v>
      </c>
      <c r="AH55" s="1" t="e">
        <f t="shared" ca="1" si="7"/>
        <v>#NAME?</v>
      </c>
      <c r="AI55" s="1" t="e">
        <f ca="1"/>
        <v>#NAME?</v>
      </c>
      <c r="AJ55" s="1" t="e">
        <f t="shared" ca="1" si="16"/>
        <v>#NAME?</v>
      </c>
      <c r="AK55" s="1" t="e">
        <f ca="1"/>
        <v>#NAME?</v>
      </c>
      <c r="AL55" s="1" t="e">
        <f t="shared" ca="1" si="8"/>
        <v>#NAME?</v>
      </c>
      <c r="AN55" s="1">
        <f t="shared" si="17"/>
        <v>3.3908058391941553</v>
      </c>
      <c r="AO55" s="1" t="e">
        <f ca="1"/>
        <v>#NAME?</v>
      </c>
      <c r="AP55" s="1" t="e">
        <f t="shared" ca="1" si="18"/>
        <v>#NAME?</v>
      </c>
    </row>
    <row r="56" spans="1:42" x14ac:dyDescent="0.25">
      <c r="A56" s="1" t="s">
        <v>71</v>
      </c>
      <c r="B56" s="1">
        <v>55</v>
      </c>
      <c r="C56" s="1">
        <v>5677.7380000000003</v>
      </c>
      <c r="D56" s="1">
        <f t="shared" si="9"/>
        <v>3.7541753480736824</v>
      </c>
      <c r="E56" s="1">
        <v>3584.8809999999999</v>
      </c>
      <c r="F56" s="1">
        <f t="shared" si="10"/>
        <v>3.554474743852881</v>
      </c>
      <c r="G56" s="1">
        <v>768.14300000000003</v>
      </c>
      <c r="H56" s="1">
        <f t="shared" si="11"/>
        <v>2.8854420772317746</v>
      </c>
      <c r="I56" s="1">
        <v>1513.9649999999999</v>
      </c>
      <c r="J56" s="1">
        <f t="shared" si="12"/>
        <v>0.26664932407941327</v>
      </c>
      <c r="K56" s="1">
        <f t="shared" si="13"/>
        <v>3.180115835215199</v>
      </c>
      <c r="L56" s="1">
        <v>261.73500000000001</v>
      </c>
      <c r="M56" s="1">
        <f t="shared" si="14"/>
        <v>2.4178618017018056</v>
      </c>
      <c r="N56" s="1">
        <v>335.77800000000002</v>
      </c>
      <c r="O56" s="1">
        <f t="shared" si="15"/>
        <v>2.5260522379854806</v>
      </c>
      <c r="P56" s="1">
        <v>-74.043000000000006</v>
      </c>
      <c r="Q56" s="1" t="e">
        <f ca="1"/>
        <v>#NAME?</v>
      </c>
      <c r="R56" s="1" t="e">
        <f t="shared" ca="1" si="0"/>
        <v>#NAME?</v>
      </c>
      <c r="S56" s="4">
        <v>988511000000</v>
      </c>
      <c r="T56" s="1">
        <v>77119</v>
      </c>
      <c r="U56" s="1" t="e">
        <f ca="1"/>
        <v>#NAME?</v>
      </c>
      <c r="V56" s="1" t="e">
        <f t="shared" ca="1" si="1"/>
        <v>#NAME?</v>
      </c>
      <c r="W56" s="1" t="e">
        <f ca="1"/>
        <v>#NAME?</v>
      </c>
      <c r="X56" s="1" t="e">
        <f t="shared" ca="1" si="2"/>
        <v>#NAME?</v>
      </c>
      <c r="Y56" s="1" t="e">
        <f ca="1"/>
        <v>#NAME?</v>
      </c>
      <c r="Z56" s="1" t="e">
        <f t="shared" ca="1" si="3"/>
        <v>#NAME?</v>
      </c>
      <c r="AA56" s="1" t="e">
        <f ca="1"/>
        <v>#NAME?</v>
      </c>
      <c r="AB56" s="1" t="e">
        <f t="shared" ca="1" si="4"/>
        <v>#NAME?</v>
      </c>
      <c r="AC56" s="1" t="e">
        <f ca="1"/>
        <v>#NAME?</v>
      </c>
      <c r="AD56" s="1" t="e">
        <f t="shared" ca="1" si="5"/>
        <v>#NAME?</v>
      </c>
      <c r="AE56" s="1" t="e">
        <f ca="1"/>
        <v>#NAME?</v>
      </c>
      <c r="AF56" s="1" t="e">
        <f t="shared" ca="1" si="6"/>
        <v>#NAME?</v>
      </c>
      <c r="AG56" s="1" t="e">
        <f ca="1"/>
        <v>#NAME?</v>
      </c>
      <c r="AH56" s="1" t="e">
        <f t="shared" ca="1" si="7"/>
        <v>#NAME?</v>
      </c>
      <c r="AI56" s="1" t="e">
        <f ca="1"/>
        <v>#NAME?</v>
      </c>
      <c r="AJ56" s="1" t="e">
        <f t="shared" ca="1" si="16"/>
        <v>#NAME?</v>
      </c>
      <c r="AK56" s="1" t="e">
        <f ca="1"/>
        <v>#NAME?</v>
      </c>
      <c r="AL56" s="1" t="e">
        <f t="shared" ca="1" si="8"/>
        <v>#NAME?</v>
      </c>
      <c r="AN56" s="1">
        <f t="shared" si="17"/>
        <v>3.38819871650976</v>
      </c>
      <c r="AO56" s="1" t="e">
        <f ca="1"/>
        <v>#NAME?</v>
      </c>
      <c r="AP56" s="1" t="e">
        <f t="shared" ca="1" si="18"/>
        <v>#NAME?</v>
      </c>
    </row>
    <row r="57" spans="1:42" x14ac:dyDescent="0.25">
      <c r="A57" s="1" t="s">
        <v>72</v>
      </c>
      <c r="B57" s="1">
        <v>56</v>
      </c>
      <c r="C57" s="1">
        <v>5731.6319999999996</v>
      </c>
      <c r="D57" s="1">
        <f t="shared" si="9"/>
        <v>3.758278298700207</v>
      </c>
      <c r="E57" s="1">
        <v>3574.1880000000001</v>
      </c>
      <c r="F57" s="1">
        <f t="shared" si="10"/>
        <v>3.5531773923820653</v>
      </c>
      <c r="G57" s="1">
        <v>795.50400000000002</v>
      </c>
      <c r="H57" s="1">
        <f t="shared" si="11"/>
        <v>2.9006423677331474</v>
      </c>
      <c r="I57" s="1">
        <v>1525.325</v>
      </c>
      <c r="J57" s="1">
        <f t="shared" si="12"/>
        <v>0.26612402889787762</v>
      </c>
      <c r="K57" s="1">
        <f t="shared" si="13"/>
        <v>3.1833623883835513</v>
      </c>
      <c r="L57" s="1">
        <v>274.61</v>
      </c>
      <c r="M57" s="1">
        <f t="shared" si="14"/>
        <v>2.4387163481437928</v>
      </c>
      <c r="N57" s="1">
        <v>338.28399999999999</v>
      </c>
      <c r="O57" s="1">
        <f t="shared" si="15"/>
        <v>2.5292814572144176</v>
      </c>
      <c r="P57" s="1">
        <v>-63.673999999999999</v>
      </c>
      <c r="Q57" s="1" t="e">
        <f ca="1"/>
        <v>#NAME?</v>
      </c>
      <c r="R57" s="1" t="e">
        <f t="shared" ca="1" si="0"/>
        <v>#NAME?</v>
      </c>
      <c r="S57" s="4">
        <v>982628000000</v>
      </c>
      <c r="T57" s="1">
        <v>77852.666666666701</v>
      </c>
      <c r="U57" s="1" t="e">
        <f ca="1"/>
        <v>#NAME?</v>
      </c>
      <c r="V57" s="1" t="e">
        <f t="shared" ca="1" si="1"/>
        <v>#NAME?</v>
      </c>
      <c r="W57" s="1" t="e">
        <f ca="1"/>
        <v>#NAME?</v>
      </c>
      <c r="X57" s="1" t="e">
        <f t="shared" ca="1" si="2"/>
        <v>#NAME?</v>
      </c>
      <c r="Y57" s="1" t="e">
        <f ca="1"/>
        <v>#NAME?</v>
      </c>
      <c r="Z57" s="1" t="e">
        <f t="shared" ca="1" si="3"/>
        <v>#NAME?</v>
      </c>
      <c r="AA57" s="1" t="e">
        <f ca="1"/>
        <v>#NAME?</v>
      </c>
      <c r="AB57" s="1" t="e">
        <f t="shared" ca="1" si="4"/>
        <v>#NAME?</v>
      </c>
      <c r="AC57" s="1" t="e">
        <f ca="1"/>
        <v>#NAME?</v>
      </c>
      <c r="AD57" s="1" t="e">
        <f t="shared" ca="1" si="5"/>
        <v>#NAME?</v>
      </c>
      <c r="AE57" s="1" t="e">
        <f ca="1"/>
        <v>#NAME?</v>
      </c>
      <c r="AF57" s="1" t="e">
        <f t="shared" ca="1" si="6"/>
        <v>#NAME?</v>
      </c>
      <c r="AG57" s="1" t="e">
        <f ca="1"/>
        <v>#NAME?</v>
      </c>
      <c r="AH57" s="1" t="e">
        <f t="shared" ca="1" si="7"/>
        <v>#NAME?</v>
      </c>
      <c r="AI57" s="1" t="e">
        <f ca="1"/>
        <v>#NAME?</v>
      </c>
      <c r="AJ57" s="1" t="e">
        <f t="shared" ca="1" si="16"/>
        <v>#NAME?</v>
      </c>
      <c r="AK57" s="1" t="e">
        <f ca="1"/>
        <v>#NAME?</v>
      </c>
      <c r="AL57" s="1" t="e">
        <f t="shared" ca="1" si="8"/>
        <v>#NAME?</v>
      </c>
      <c r="AN57" s="1">
        <f t="shared" si="17"/>
        <v>3.3906031745504972</v>
      </c>
      <c r="AO57" s="1" t="e">
        <f ca="1"/>
        <v>#NAME?</v>
      </c>
      <c r="AP57" s="1" t="e">
        <f t="shared" ca="1" si="18"/>
        <v>#NAME?</v>
      </c>
    </row>
    <row r="58" spans="1:42" x14ac:dyDescent="0.25">
      <c r="A58" s="1" t="s">
        <v>73</v>
      </c>
      <c r="B58" s="1">
        <v>57</v>
      </c>
      <c r="C58" s="1">
        <v>5682.3530000000001</v>
      </c>
      <c r="D58" s="1">
        <f t="shared" si="9"/>
        <v>3.7545282095330217</v>
      </c>
      <c r="E58" s="1">
        <v>3542.2109999999998</v>
      </c>
      <c r="F58" s="1">
        <f t="shared" si="10"/>
        <v>3.5492744273809809</v>
      </c>
      <c r="G58" s="1">
        <v>750.07600000000002</v>
      </c>
      <c r="H58" s="1">
        <f t="shared" si="11"/>
        <v>2.8751052696695858</v>
      </c>
      <c r="I58" s="1">
        <v>1552.8779999999999</v>
      </c>
      <c r="J58" s="1">
        <f t="shared" si="12"/>
        <v>0.27328080462442228</v>
      </c>
      <c r="K58" s="1">
        <f t="shared" si="13"/>
        <v>3.1911373372430161</v>
      </c>
      <c r="L58" s="1">
        <v>278.17099999999999</v>
      </c>
      <c r="M58" s="1">
        <f t="shared" si="14"/>
        <v>2.444311851765093</v>
      </c>
      <c r="N58" s="1">
        <v>326.81</v>
      </c>
      <c r="O58" s="1">
        <f t="shared" si="15"/>
        <v>2.5142953369618892</v>
      </c>
      <c r="P58" s="1">
        <v>-48.639000000000003</v>
      </c>
      <c r="Q58" s="1" t="e">
        <f ca="1"/>
        <v>#NAME?</v>
      </c>
      <c r="R58" s="1" t="e">
        <f t="shared" ca="1" si="0"/>
        <v>#NAME?</v>
      </c>
      <c r="S58" s="4">
        <v>973878000000</v>
      </c>
      <c r="T58" s="1">
        <v>78216.666666666701</v>
      </c>
      <c r="U58" s="1" t="e">
        <f ca="1"/>
        <v>#NAME?</v>
      </c>
      <c r="V58" s="1" t="e">
        <f t="shared" ca="1" si="1"/>
        <v>#NAME?</v>
      </c>
      <c r="W58" s="1" t="e">
        <f ca="1"/>
        <v>#NAME?</v>
      </c>
      <c r="X58" s="1" t="e">
        <f t="shared" ca="1" si="2"/>
        <v>#NAME?</v>
      </c>
      <c r="Y58" s="1" t="e">
        <f ca="1"/>
        <v>#NAME?</v>
      </c>
      <c r="Z58" s="1" t="e">
        <f t="shared" ca="1" si="3"/>
        <v>#NAME?</v>
      </c>
      <c r="AA58" s="1" t="e">
        <f ca="1"/>
        <v>#NAME?</v>
      </c>
      <c r="AB58" s="1" t="e">
        <f t="shared" ca="1" si="4"/>
        <v>#NAME?</v>
      </c>
      <c r="AC58" s="1" t="e">
        <f ca="1"/>
        <v>#NAME?</v>
      </c>
      <c r="AD58" s="1" t="e">
        <f t="shared" ca="1" si="5"/>
        <v>#NAME?</v>
      </c>
      <c r="AE58" s="1" t="e">
        <f ca="1"/>
        <v>#NAME?</v>
      </c>
      <c r="AF58" s="1" t="e">
        <f t="shared" ca="1" si="6"/>
        <v>#NAME?</v>
      </c>
      <c r="AG58" s="1" t="e">
        <f ca="1"/>
        <v>#NAME?</v>
      </c>
      <c r="AH58" s="1" t="e">
        <f t="shared" ca="1" si="7"/>
        <v>#NAME?</v>
      </c>
      <c r="AI58" s="1" t="e">
        <f ca="1"/>
        <v>#NAME?</v>
      </c>
      <c r="AJ58" s="1" t="e">
        <f t="shared" ca="1" si="16"/>
        <v>#NAME?</v>
      </c>
      <c r="AK58" s="1" t="e">
        <f ca="1"/>
        <v>#NAME?</v>
      </c>
      <c r="AL58" s="1" t="e">
        <f t="shared" ca="1" si="8"/>
        <v>#NAME?</v>
      </c>
      <c r="AN58" s="1">
        <f t="shared" si="17"/>
        <v>3.3869550152143981</v>
      </c>
      <c r="AO58" s="1" t="e">
        <f ca="1"/>
        <v>#NAME?</v>
      </c>
      <c r="AP58" s="1" t="e">
        <f t="shared" ca="1" si="18"/>
        <v>#NAME?</v>
      </c>
    </row>
    <row r="59" spans="1:42" x14ac:dyDescent="0.25">
      <c r="A59" s="1" t="s">
        <v>74</v>
      </c>
      <c r="B59" s="1">
        <v>58</v>
      </c>
      <c r="C59" s="1">
        <v>5695.8590000000004</v>
      </c>
      <c r="D59" s="1">
        <f t="shared" si="9"/>
        <v>3.7555592298774165</v>
      </c>
      <c r="E59" s="1">
        <v>3554.9659999999999</v>
      </c>
      <c r="F59" s="1">
        <f t="shared" si="10"/>
        <v>3.5508354514559408</v>
      </c>
      <c r="G59" s="1">
        <v>747.08199999999999</v>
      </c>
      <c r="H59" s="1">
        <f t="shared" si="11"/>
        <v>2.8733682727565544</v>
      </c>
      <c r="I59" s="1">
        <v>1560.6569999999999</v>
      </c>
      <c r="J59" s="1">
        <f t="shared" si="12"/>
        <v>0.27399853121364132</v>
      </c>
      <c r="K59" s="1">
        <f t="shared" si="13"/>
        <v>3.193307464641161</v>
      </c>
      <c r="L59" s="1">
        <v>291.73500000000001</v>
      </c>
      <c r="M59" s="1">
        <f t="shared" si="14"/>
        <v>2.4649885353782475</v>
      </c>
      <c r="N59" s="1">
        <v>344.12299999999999</v>
      </c>
      <c r="O59" s="1">
        <f t="shared" si="15"/>
        <v>2.5367137003433036</v>
      </c>
      <c r="P59" s="1">
        <v>-52.387999999999998</v>
      </c>
      <c r="Q59" s="1" t="e">
        <f ca="1"/>
        <v>#NAME?</v>
      </c>
      <c r="R59" s="1" t="e">
        <f t="shared" ca="1" si="0"/>
        <v>#NAME?</v>
      </c>
      <c r="S59" s="4">
        <v>970429000000</v>
      </c>
      <c r="T59" s="1">
        <v>78511.666666666701</v>
      </c>
      <c r="U59" s="1" t="e">
        <f ca="1"/>
        <v>#NAME?</v>
      </c>
      <c r="V59" s="1" t="e">
        <f t="shared" ca="1" si="1"/>
        <v>#NAME?</v>
      </c>
      <c r="W59" s="1" t="e">
        <f ca="1"/>
        <v>#NAME?</v>
      </c>
      <c r="X59" s="1" t="e">
        <f t="shared" ca="1" si="2"/>
        <v>#NAME?</v>
      </c>
      <c r="Y59" s="1" t="e">
        <f ca="1"/>
        <v>#NAME?</v>
      </c>
      <c r="Z59" s="1" t="e">
        <f t="shared" ca="1" si="3"/>
        <v>#NAME?</v>
      </c>
      <c r="AA59" s="1" t="e">
        <f ca="1"/>
        <v>#NAME?</v>
      </c>
      <c r="AB59" s="1" t="e">
        <f t="shared" ca="1" si="4"/>
        <v>#NAME?</v>
      </c>
      <c r="AC59" s="1" t="e">
        <f ca="1"/>
        <v>#NAME?</v>
      </c>
      <c r="AD59" s="1" t="e">
        <f t="shared" ca="1" si="5"/>
        <v>#NAME?</v>
      </c>
      <c r="AE59" s="1" t="e">
        <f ca="1"/>
        <v>#NAME?</v>
      </c>
      <c r="AF59" s="1" t="e">
        <f t="shared" ca="1" si="6"/>
        <v>#NAME?</v>
      </c>
      <c r="AG59" s="1" t="e">
        <f ca="1"/>
        <v>#NAME?</v>
      </c>
      <c r="AH59" s="1" t="e">
        <f t="shared" ca="1" si="7"/>
        <v>#NAME?</v>
      </c>
      <c r="AI59" s="1" t="e">
        <f ca="1"/>
        <v>#NAME?</v>
      </c>
      <c r="AJ59" s="1" t="e">
        <f t="shared" ca="1" si="16"/>
        <v>#NAME?</v>
      </c>
      <c r="AK59" s="1" t="e">
        <f ca="1"/>
        <v>#NAME?</v>
      </c>
      <c r="AL59" s="1" t="e">
        <f t="shared" ca="1" si="8"/>
        <v>#NAME?</v>
      </c>
      <c r="AN59" s="1">
        <f t="shared" si="17"/>
        <v>3.3874943880454502</v>
      </c>
      <c r="AO59" s="1" t="e">
        <f ca="1"/>
        <v>#NAME?</v>
      </c>
      <c r="AP59" s="1" t="e">
        <f t="shared" ca="1" si="18"/>
        <v>#NAME?</v>
      </c>
    </row>
    <row r="60" spans="1:42" x14ac:dyDescent="0.25">
      <c r="A60" s="1" t="s">
        <v>75</v>
      </c>
      <c r="B60" s="1">
        <v>59</v>
      </c>
      <c r="C60" s="1">
        <v>5642.0249999999996</v>
      </c>
      <c r="D60" s="1">
        <f t="shared" si="9"/>
        <v>3.7514350061968718</v>
      </c>
      <c r="E60" s="1">
        <v>3570.2359999999999</v>
      </c>
      <c r="F60" s="1">
        <f t="shared" si="10"/>
        <v>3.5526969248265177</v>
      </c>
      <c r="G60" s="1">
        <v>708.36199999999997</v>
      </c>
      <c r="H60" s="1">
        <f t="shared" si="11"/>
        <v>2.8502552554641687</v>
      </c>
      <c r="I60" s="1">
        <v>1563.7660000000001</v>
      </c>
      <c r="J60" s="1">
        <f t="shared" si="12"/>
        <v>0.27716396152090789</v>
      </c>
      <c r="K60" s="1">
        <f t="shared" si="13"/>
        <v>3.1941717662993416</v>
      </c>
      <c r="L60" s="1">
        <v>276.01799999999997</v>
      </c>
      <c r="M60" s="1">
        <f t="shared" si="14"/>
        <v>2.4409374046948313</v>
      </c>
      <c r="N60" s="1">
        <v>338.10899999999998</v>
      </c>
      <c r="O60" s="1">
        <f t="shared" si="15"/>
        <v>2.5290567312458494</v>
      </c>
      <c r="P60" s="1">
        <v>-62.091000000000001</v>
      </c>
      <c r="Q60" s="1" t="e">
        <f ca="1"/>
        <v>#NAME?</v>
      </c>
      <c r="R60" s="1" t="e">
        <f t="shared" ca="1" si="0"/>
        <v>#NAME?</v>
      </c>
      <c r="S60" s="4">
        <v>953837000000</v>
      </c>
      <c r="T60" s="1">
        <v>78621.666666666701</v>
      </c>
      <c r="U60" s="1" t="e">
        <f ca="1"/>
        <v>#NAME?</v>
      </c>
      <c r="V60" s="1" t="e">
        <f t="shared" ca="1" si="1"/>
        <v>#NAME?</v>
      </c>
      <c r="W60" s="1" t="e">
        <f ca="1"/>
        <v>#NAME?</v>
      </c>
      <c r="X60" s="1" t="e">
        <f t="shared" ca="1" si="2"/>
        <v>#NAME?</v>
      </c>
      <c r="Y60" s="1" t="e">
        <f ca="1"/>
        <v>#NAME?</v>
      </c>
      <c r="Z60" s="1" t="e">
        <f t="shared" ca="1" si="3"/>
        <v>#NAME?</v>
      </c>
      <c r="AA60" s="1" t="e">
        <f ca="1"/>
        <v>#NAME?</v>
      </c>
      <c r="AB60" s="1" t="e">
        <f t="shared" ca="1" si="4"/>
        <v>#NAME?</v>
      </c>
      <c r="AC60" s="1" t="e">
        <f ca="1"/>
        <v>#NAME?</v>
      </c>
      <c r="AD60" s="1" t="e">
        <f t="shared" ca="1" si="5"/>
        <v>#NAME?</v>
      </c>
      <c r="AE60" s="1" t="e">
        <f ca="1"/>
        <v>#NAME?</v>
      </c>
      <c r="AF60" s="1" t="e">
        <f t="shared" ca="1" si="6"/>
        <v>#NAME?</v>
      </c>
      <c r="AG60" s="1" t="e">
        <f ca="1"/>
        <v>#NAME?</v>
      </c>
      <c r="AH60" s="1" t="e">
        <f t="shared" ca="1" si="7"/>
        <v>#NAME?</v>
      </c>
      <c r="AI60" s="1" t="e">
        <f ca="1"/>
        <v>#NAME?</v>
      </c>
      <c r="AJ60" s="1" t="e">
        <f t="shared" ca="1" si="16"/>
        <v>#NAME?</v>
      </c>
      <c r="AK60" s="1" t="e">
        <f ca="1"/>
        <v>#NAME?</v>
      </c>
      <c r="AL60" s="1" t="e">
        <f t="shared" ca="1" si="8"/>
        <v>#NAME?</v>
      </c>
      <c r="AN60" s="1">
        <f t="shared" si="17"/>
        <v>3.3856772693520325</v>
      </c>
      <c r="AO60" s="1" t="e">
        <f ca="1"/>
        <v>#NAME?</v>
      </c>
      <c r="AP60" s="1" t="e">
        <f t="shared" ca="1" si="18"/>
        <v>#NAME?</v>
      </c>
    </row>
    <row r="61" spans="1:42" x14ac:dyDescent="0.25">
      <c r="A61" s="1" t="s">
        <v>76</v>
      </c>
      <c r="B61" s="1">
        <v>60</v>
      </c>
      <c r="C61" s="1">
        <v>5620.1260000000002</v>
      </c>
      <c r="D61" s="1">
        <f t="shared" si="9"/>
        <v>3.7497460523112864</v>
      </c>
      <c r="E61" s="1">
        <v>3518.05</v>
      </c>
      <c r="F61" s="1">
        <f t="shared" si="10"/>
        <v>3.5463020075403695</v>
      </c>
      <c r="G61" s="1">
        <v>712.66099999999994</v>
      </c>
      <c r="H61" s="1">
        <f t="shared" si="11"/>
        <v>2.8528829929091564</v>
      </c>
      <c r="I61" s="1">
        <v>1571.26</v>
      </c>
      <c r="J61" s="1">
        <f t="shared" si="12"/>
        <v>0.27957736178868586</v>
      </c>
      <c r="K61" s="1">
        <f t="shared" si="13"/>
        <v>3.196248054691468</v>
      </c>
      <c r="L61" s="1">
        <v>283.22800000000001</v>
      </c>
      <c r="M61" s="1">
        <f t="shared" si="14"/>
        <v>2.4521361856151569</v>
      </c>
      <c r="N61" s="1">
        <v>334.75400000000002</v>
      </c>
      <c r="O61" s="1">
        <f t="shared" si="15"/>
        <v>2.5247257751315408</v>
      </c>
      <c r="P61" s="1">
        <v>-51.526000000000003</v>
      </c>
      <c r="Q61" s="1" t="e">
        <f ca="1"/>
        <v>#NAME?</v>
      </c>
      <c r="R61" s="1" t="e">
        <f t="shared" ca="1" si="0"/>
        <v>#NAME?</v>
      </c>
      <c r="S61" s="4">
        <v>911379000000</v>
      </c>
      <c r="T61" s="1">
        <v>78182.333333333299</v>
      </c>
      <c r="U61" s="1" t="e">
        <f ca="1"/>
        <v>#NAME?</v>
      </c>
      <c r="V61" s="1" t="e">
        <f t="shared" ca="1" si="1"/>
        <v>#NAME?</v>
      </c>
      <c r="W61" s="1" t="e">
        <f ca="1"/>
        <v>#NAME?</v>
      </c>
      <c r="X61" s="1" t="e">
        <f t="shared" ca="1" si="2"/>
        <v>#NAME?</v>
      </c>
      <c r="Y61" s="1" t="e">
        <f ca="1"/>
        <v>#NAME?</v>
      </c>
      <c r="Z61" s="1" t="e">
        <f t="shared" ca="1" si="3"/>
        <v>#NAME?</v>
      </c>
      <c r="AA61" s="1" t="e">
        <f ca="1"/>
        <v>#NAME?</v>
      </c>
      <c r="AB61" s="1" t="e">
        <f t="shared" ca="1" si="4"/>
        <v>#NAME?</v>
      </c>
      <c r="AC61" s="1" t="e">
        <f ca="1"/>
        <v>#NAME?</v>
      </c>
      <c r="AD61" s="1" t="e">
        <f t="shared" ca="1" si="5"/>
        <v>#NAME?</v>
      </c>
      <c r="AE61" s="1" t="e">
        <f ca="1"/>
        <v>#NAME?</v>
      </c>
      <c r="AF61" s="1" t="e">
        <f t="shared" ca="1" si="6"/>
        <v>#NAME?</v>
      </c>
      <c r="AG61" s="1" t="e">
        <f ca="1"/>
        <v>#NAME?</v>
      </c>
      <c r="AH61" s="1" t="e">
        <f t="shared" ca="1" si="7"/>
        <v>#NAME?</v>
      </c>
      <c r="AI61" s="1" t="e">
        <f ca="1"/>
        <v>#NAME?</v>
      </c>
      <c r="AJ61" s="1" t="e">
        <f t="shared" ca="1" si="16"/>
        <v>#NAME?</v>
      </c>
      <c r="AK61" s="1" t="e">
        <f ca="1"/>
        <v>#NAME?</v>
      </c>
      <c r="AL61" s="1" t="e">
        <f t="shared" ca="1" si="8"/>
        <v>#NAME?</v>
      </c>
      <c r="AN61" s="1">
        <f t="shared" si="17"/>
        <v>3.3926648843348008</v>
      </c>
      <c r="AO61" s="1" t="e">
        <f ca="1"/>
        <v>#NAME?</v>
      </c>
      <c r="AP61" s="1" t="e">
        <f t="shared" ca="1" si="18"/>
        <v>#NAME?</v>
      </c>
    </row>
    <row r="62" spans="1:42" x14ac:dyDescent="0.25">
      <c r="A62" s="1" t="s">
        <v>77</v>
      </c>
      <c r="B62" s="1">
        <v>61</v>
      </c>
      <c r="C62" s="1">
        <v>5551.7129999999997</v>
      </c>
      <c r="D62" s="1">
        <f t="shared" si="9"/>
        <v>3.7444270068455747</v>
      </c>
      <c r="E62" s="1">
        <v>3547.5569999999998</v>
      </c>
      <c r="F62" s="1">
        <f t="shared" si="10"/>
        <v>3.5499293821666069</v>
      </c>
      <c r="G62" s="1">
        <v>597.86599999999999</v>
      </c>
      <c r="H62" s="1">
        <f t="shared" si="11"/>
        <v>2.7766038562596878</v>
      </c>
      <c r="I62" s="1">
        <v>1588.3720000000001</v>
      </c>
      <c r="J62" s="1">
        <f t="shared" si="12"/>
        <v>0.28610484727866881</v>
      </c>
      <c r="K62" s="1">
        <f t="shared" si="13"/>
        <v>3.2009522226674223</v>
      </c>
      <c r="L62" s="1">
        <v>285.20400000000001</v>
      </c>
      <c r="M62" s="1">
        <f t="shared" si="14"/>
        <v>2.4551556122238165</v>
      </c>
      <c r="N62" s="1">
        <v>301.16399999999999</v>
      </c>
      <c r="O62" s="1">
        <f t="shared" si="15"/>
        <v>2.4788030567193613</v>
      </c>
      <c r="P62" s="1">
        <v>-15.96</v>
      </c>
      <c r="Q62" s="1" t="e">
        <f ca="1"/>
        <v>#NAME?</v>
      </c>
      <c r="R62" s="1" t="e">
        <f t="shared" ca="1" si="0"/>
        <v>#NAME?</v>
      </c>
      <c r="S62" s="4">
        <v>876760000000</v>
      </c>
      <c r="T62" s="1">
        <v>76953</v>
      </c>
      <c r="U62" s="1" t="e">
        <f ca="1"/>
        <v>#NAME?</v>
      </c>
      <c r="V62" s="1" t="e">
        <f t="shared" ca="1" si="1"/>
        <v>#NAME?</v>
      </c>
      <c r="W62" s="1" t="e">
        <f ca="1"/>
        <v>#NAME?</v>
      </c>
      <c r="X62" s="1" t="e">
        <f t="shared" ca="1" si="2"/>
        <v>#NAME?</v>
      </c>
      <c r="Y62" s="1" t="e">
        <f ca="1"/>
        <v>#NAME?</v>
      </c>
      <c r="Z62" s="1" t="e">
        <f t="shared" ca="1" si="3"/>
        <v>#NAME?</v>
      </c>
      <c r="AA62" s="1" t="e">
        <f ca="1"/>
        <v>#NAME?</v>
      </c>
      <c r="AB62" s="1" t="e">
        <f t="shared" ca="1" si="4"/>
        <v>#NAME?</v>
      </c>
      <c r="AC62" s="1" t="e">
        <f ca="1"/>
        <v>#NAME?</v>
      </c>
      <c r="AD62" s="1" t="e">
        <f t="shared" ca="1" si="5"/>
        <v>#NAME?</v>
      </c>
      <c r="AE62" s="1" t="e">
        <f ca="1"/>
        <v>#NAME?</v>
      </c>
      <c r="AF62" s="1" t="e">
        <f t="shared" ca="1" si="6"/>
        <v>#NAME?</v>
      </c>
      <c r="AG62" s="1" t="e">
        <f ca="1"/>
        <v>#NAME?</v>
      </c>
      <c r="AH62" s="1" t="e">
        <f t="shared" ca="1" si="7"/>
        <v>#NAME?</v>
      </c>
      <c r="AI62" s="1" t="e">
        <f ca="1"/>
        <v>#NAME?</v>
      </c>
      <c r="AJ62" s="1" t="e">
        <f t="shared" ca="1" si="16"/>
        <v>#NAME?</v>
      </c>
      <c r="AK62" s="1" t="e">
        <f ca="1"/>
        <v>#NAME?</v>
      </c>
      <c r="AL62" s="1" t="e">
        <f t="shared" ca="1" si="8"/>
        <v>#NAME?</v>
      </c>
      <c r="AN62" s="1">
        <f t="shared" si="17"/>
        <v>3.3978055893178061</v>
      </c>
      <c r="AO62" s="1" t="e">
        <f ca="1"/>
        <v>#NAME?</v>
      </c>
      <c r="AP62" s="1" t="e">
        <f t="shared" ca="1" si="18"/>
        <v>#NAME?</v>
      </c>
    </row>
    <row r="63" spans="1:42" x14ac:dyDescent="0.25">
      <c r="A63" s="1" t="s">
        <v>78</v>
      </c>
      <c r="B63" s="1">
        <v>62</v>
      </c>
      <c r="C63" s="1">
        <v>5591.3819999999996</v>
      </c>
      <c r="D63" s="1">
        <f t="shared" si="9"/>
        <v>3.7475191640212993</v>
      </c>
      <c r="E63" s="1">
        <v>3605.9090000000001</v>
      </c>
      <c r="F63" s="1">
        <f t="shared" si="10"/>
        <v>3.5570147625149109</v>
      </c>
      <c r="G63" s="1">
        <v>580.06700000000001</v>
      </c>
      <c r="H63" s="1">
        <f t="shared" si="11"/>
        <v>2.7634781591659929</v>
      </c>
      <c r="I63" s="1">
        <v>1574.9480000000001</v>
      </c>
      <c r="J63" s="1">
        <f t="shared" si="12"/>
        <v>0.28167419074568689</v>
      </c>
      <c r="K63" s="1">
        <f t="shared" si="13"/>
        <v>3.1972662192774473</v>
      </c>
      <c r="L63" s="1">
        <v>276.88900000000001</v>
      </c>
      <c r="M63" s="1">
        <f t="shared" si="14"/>
        <v>2.4423057028232464</v>
      </c>
      <c r="N63" s="1">
        <v>277.065</v>
      </c>
      <c r="O63" s="1">
        <f t="shared" si="15"/>
        <v>2.4425816673668255</v>
      </c>
      <c r="P63" s="1">
        <v>-0.175999999999988</v>
      </c>
      <c r="Q63" s="1" t="e">
        <f ca="1"/>
        <v>#NAME?</v>
      </c>
      <c r="R63" s="1" t="e">
        <f t="shared" ca="1" si="0"/>
        <v>#NAME?</v>
      </c>
      <c r="S63" s="4">
        <v>856806000000</v>
      </c>
      <c r="T63" s="1">
        <v>76535</v>
      </c>
      <c r="U63" s="1" t="e">
        <f ca="1"/>
        <v>#NAME?</v>
      </c>
      <c r="V63" s="1" t="e">
        <f t="shared" ca="1" si="1"/>
        <v>#NAME?</v>
      </c>
      <c r="W63" s="1" t="e">
        <f ca="1"/>
        <v>#NAME?</v>
      </c>
      <c r="X63" s="1" t="e">
        <f t="shared" ca="1" si="2"/>
        <v>#NAME?</v>
      </c>
      <c r="Y63" s="1" t="e">
        <f ca="1"/>
        <v>#NAME?</v>
      </c>
      <c r="Z63" s="1" t="e">
        <f t="shared" ca="1" si="3"/>
        <v>#NAME?</v>
      </c>
      <c r="AA63" s="1" t="e">
        <f ca="1"/>
        <v>#NAME?</v>
      </c>
      <c r="AB63" s="1" t="e">
        <f t="shared" ca="1" si="4"/>
        <v>#NAME?</v>
      </c>
      <c r="AC63" s="1" t="e">
        <f ca="1"/>
        <v>#NAME?</v>
      </c>
      <c r="AD63" s="1" t="e">
        <f t="shared" ca="1" si="5"/>
        <v>#NAME?</v>
      </c>
      <c r="AE63" s="1" t="e">
        <f ca="1"/>
        <v>#NAME?</v>
      </c>
      <c r="AF63" s="1" t="e">
        <f t="shared" ca="1" si="6"/>
        <v>#NAME?</v>
      </c>
      <c r="AG63" s="1" t="e">
        <f ca="1"/>
        <v>#NAME?</v>
      </c>
      <c r="AH63" s="1" t="e">
        <f t="shared" ca="1" si="7"/>
        <v>#NAME?</v>
      </c>
      <c r="AI63" s="1" t="e">
        <f ca="1"/>
        <v>#NAME?</v>
      </c>
      <c r="AJ63" s="1" t="e">
        <f t="shared" ca="1" si="16"/>
        <v>#NAME?</v>
      </c>
      <c r="AK63" s="1" t="e">
        <f ca="1"/>
        <v>#NAME?</v>
      </c>
      <c r="AL63" s="1" t="e">
        <f t="shared" ca="1" si="8"/>
        <v>#NAME?</v>
      </c>
      <c r="AN63" s="1">
        <f t="shared" si="17"/>
        <v>3.4060110089656535</v>
      </c>
      <c r="AO63" s="1" t="e">
        <f ca="1"/>
        <v>#NAME?</v>
      </c>
      <c r="AP63" s="1" t="e">
        <f t="shared" ca="1" si="18"/>
        <v>#NAME?</v>
      </c>
    </row>
    <row r="64" spans="1:42" x14ac:dyDescent="0.25">
      <c r="A64" s="1" t="s">
        <v>79</v>
      </c>
      <c r="B64" s="1">
        <v>63</v>
      </c>
      <c r="C64" s="1">
        <v>5687.0870000000004</v>
      </c>
      <c r="D64" s="1">
        <f t="shared" si="9"/>
        <v>3.7548898720592576</v>
      </c>
      <c r="E64" s="1">
        <v>3657.1579999999999</v>
      </c>
      <c r="F64" s="1">
        <f t="shared" si="10"/>
        <v>3.5631437235444587</v>
      </c>
      <c r="G64" s="1">
        <v>625.03700000000003</v>
      </c>
      <c r="H64" s="1">
        <f t="shared" si="11"/>
        <v>2.7959057268164109</v>
      </c>
      <c r="I64" s="1">
        <v>1604.3689999999999</v>
      </c>
      <c r="J64" s="1">
        <f t="shared" si="12"/>
        <v>0.28210734247603381</v>
      </c>
      <c r="K64" s="1">
        <f t="shared" si="13"/>
        <v>3.2053042618492458</v>
      </c>
      <c r="L64" s="1">
        <v>272.21800000000002</v>
      </c>
      <c r="M64" s="1">
        <f t="shared" si="14"/>
        <v>2.4349168388769229</v>
      </c>
      <c r="N64" s="1">
        <v>300.09800000000001</v>
      </c>
      <c r="O64" s="1">
        <f t="shared" si="15"/>
        <v>2.4772631010834392</v>
      </c>
      <c r="P64" s="1">
        <v>-27.88</v>
      </c>
      <c r="Q64" s="1" t="e">
        <f ca="1"/>
        <v>#NAME?</v>
      </c>
      <c r="R64" s="1" t="e">
        <f t="shared" ca="1" si="0"/>
        <v>#NAME?</v>
      </c>
      <c r="S64" s="4">
        <v>887954000000</v>
      </c>
      <c r="T64" s="1">
        <v>77050.333333333299</v>
      </c>
      <c r="U64" s="1" t="e">
        <f ca="1"/>
        <v>#NAME?</v>
      </c>
      <c r="V64" s="1" t="e">
        <f t="shared" ca="1" si="1"/>
        <v>#NAME?</v>
      </c>
      <c r="W64" s="1" t="e">
        <f ca="1"/>
        <v>#NAME?</v>
      </c>
      <c r="X64" s="1" t="e">
        <f t="shared" ca="1" si="2"/>
        <v>#NAME?</v>
      </c>
      <c r="Y64" s="1" t="e">
        <f ca="1"/>
        <v>#NAME?</v>
      </c>
      <c r="Z64" s="1" t="e">
        <f t="shared" ca="1" si="3"/>
        <v>#NAME?</v>
      </c>
      <c r="AA64" s="1" t="e">
        <f ca="1"/>
        <v>#NAME?</v>
      </c>
      <c r="AB64" s="1" t="e">
        <f t="shared" ca="1" si="4"/>
        <v>#NAME?</v>
      </c>
      <c r="AC64" s="1" t="e">
        <f ca="1"/>
        <v>#NAME?</v>
      </c>
      <c r="AD64" s="1" t="e">
        <f t="shared" ca="1" si="5"/>
        <v>#NAME?</v>
      </c>
      <c r="AE64" s="1" t="e">
        <f ca="1"/>
        <v>#NAME?</v>
      </c>
      <c r="AF64" s="1" t="e">
        <f t="shared" ca="1" si="6"/>
        <v>#NAME?</v>
      </c>
      <c r="AG64" s="1" t="e">
        <f ca="1"/>
        <v>#NAME?</v>
      </c>
      <c r="AH64" s="1" t="e">
        <f t="shared" ca="1" si="7"/>
        <v>#NAME?</v>
      </c>
      <c r="AI64" s="1" t="e">
        <f ca="1"/>
        <v>#NAME?</v>
      </c>
      <c r="AJ64" s="1" t="e">
        <f t="shared" ca="1" si="16"/>
        <v>#NAME?</v>
      </c>
      <c r="AK64" s="1" t="e">
        <f ca="1"/>
        <v>#NAME?</v>
      </c>
      <c r="AL64" s="1" t="e">
        <f t="shared" ca="1" si="8"/>
        <v>#NAME?</v>
      </c>
      <c r="AN64" s="1">
        <f t="shared" si="17"/>
        <v>3.4059336095823989</v>
      </c>
      <c r="AO64" s="1" t="e">
        <f ca="1"/>
        <v>#NAME?</v>
      </c>
      <c r="AP64" s="1" t="e">
        <f t="shared" ca="1" si="18"/>
        <v>#NAME?</v>
      </c>
    </row>
    <row r="65" spans="1:42" x14ac:dyDescent="0.25">
      <c r="A65" s="1" t="s">
        <v>80</v>
      </c>
      <c r="B65" s="1">
        <v>64</v>
      </c>
      <c r="C65" s="1">
        <v>5763.665</v>
      </c>
      <c r="D65" s="1">
        <f t="shared" si="9"/>
        <v>3.7606987304904154</v>
      </c>
      <c r="E65" s="1">
        <v>3696.4850000000001</v>
      </c>
      <c r="F65" s="1">
        <f t="shared" si="10"/>
        <v>3.5677889482095959</v>
      </c>
      <c r="G65" s="1">
        <v>642.48400000000004</v>
      </c>
      <c r="H65" s="1">
        <f t="shared" si="11"/>
        <v>2.8078623167531642</v>
      </c>
      <c r="I65" s="1">
        <v>1618.424</v>
      </c>
      <c r="J65" s="1">
        <f t="shared" si="12"/>
        <v>0.28079772158860727</v>
      </c>
      <c r="K65" s="1">
        <f t="shared" si="13"/>
        <v>3.2090923100681623</v>
      </c>
      <c r="L65" s="1">
        <v>287.60899999999998</v>
      </c>
      <c r="M65" s="1">
        <f t="shared" si="14"/>
        <v>2.458802472076564</v>
      </c>
      <c r="N65" s="1">
        <v>316.11700000000002</v>
      </c>
      <c r="O65" s="1">
        <f t="shared" si="15"/>
        <v>2.4998478517638718</v>
      </c>
      <c r="P65" s="1">
        <v>-28.507999999999999</v>
      </c>
      <c r="Q65" s="1" t="e">
        <f ca="1"/>
        <v>#NAME?</v>
      </c>
      <c r="R65" s="1" t="e">
        <f t="shared" ca="1" si="0"/>
        <v>#NAME?</v>
      </c>
      <c r="S65" s="4">
        <v>909903000000</v>
      </c>
      <c r="T65" s="1">
        <v>77747.333333333299</v>
      </c>
      <c r="U65" s="1" t="e">
        <f ca="1"/>
        <v>#NAME?</v>
      </c>
      <c r="V65" s="1" t="e">
        <f t="shared" ca="1" si="1"/>
        <v>#NAME?</v>
      </c>
      <c r="W65" s="1" t="e">
        <f ca="1"/>
        <v>#NAME?</v>
      </c>
      <c r="X65" s="1" t="e">
        <f t="shared" ca="1" si="2"/>
        <v>#NAME?</v>
      </c>
      <c r="Y65" s="1" t="e">
        <f ca="1"/>
        <v>#NAME?</v>
      </c>
      <c r="Z65" s="1" t="e">
        <f t="shared" ca="1" si="3"/>
        <v>#NAME?</v>
      </c>
      <c r="AA65" s="1" t="e">
        <f ca="1"/>
        <v>#NAME?</v>
      </c>
      <c r="AB65" s="1" t="e">
        <f t="shared" ca="1" si="4"/>
        <v>#NAME?</v>
      </c>
      <c r="AC65" s="1" t="e">
        <f ca="1"/>
        <v>#NAME?</v>
      </c>
      <c r="AD65" s="1" t="e">
        <f t="shared" ca="1" si="5"/>
        <v>#NAME?</v>
      </c>
      <c r="AE65" s="1" t="e">
        <f ca="1"/>
        <v>#NAME?</v>
      </c>
      <c r="AF65" s="1" t="e">
        <f t="shared" ca="1" si="6"/>
        <v>#NAME?</v>
      </c>
      <c r="AG65" s="1" t="e">
        <f ca="1"/>
        <v>#NAME?</v>
      </c>
      <c r="AH65" s="1" t="e">
        <f t="shared" ca="1" si="7"/>
        <v>#NAME?</v>
      </c>
      <c r="AI65" s="1" t="e">
        <f ca="1"/>
        <v>#NAME?</v>
      </c>
      <c r="AJ65" s="1" t="e">
        <f t="shared" ca="1" si="16"/>
        <v>#NAME?</v>
      </c>
      <c r="AK65" s="1" t="e">
        <f ca="1"/>
        <v>#NAME?</v>
      </c>
      <c r="AL65" s="1" t="e">
        <f t="shared" ca="1" si="8"/>
        <v>#NAME?</v>
      </c>
      <c r="AN65" s="1">
        <f t="shared" si="17"/>
        <v>3.4054217742999313</v>
      </c>
      <c r="AO65" s="1" t="e">
        <f ca="1"/>
        <v>#NAME?</v>
      </c>
      <c r="AP65" s="1" t="e">
        <f t="shared" ca="1" si="18"/>
        <v>#NAME?</v>
      </c>
    </row>
    <row r="66" spans="1:42" x14ac:dyDescent="0.25">
      <c r="A66" s="1" t="s">
        <v>81</v>
      </c>
      <c r="B66" s="1">
        <v>65</v>
      </c>
      <c r="C66" s="1">
        <v>5893.2759999999998</v>
      </c>
      <c r="D66" s="1">
        <f t="shared" si="9"/>
        <v>3.7703567809000251</v>
      </c>
      <c r="E66" s="1">
        <v>3770.3910000000001</v>
      </c>
      <c r="F66" s="1">
        <f t="shared" si="10"/>
        <v>3.5763863900830555</v>
      </c>
      <c r="G66" s="1">
        <v>704.47500000000002</v>
      </c>
      <c r="H66" s="1">
        <f t="shared" si="11"/>
        <v>2.847865585728278</v>
      </c>
      <c r="I66" s="1">
        <v>1620.97</v>
      </c>
      <c r="J66" s="1">
        <f t="shared" si="12"/>
        <v>0.27505414645436599</v>
      </c>
      <c r="K66" s="1">
        <f t="shared" si="13"/>
        <v>3.2097749772451705</v>
      </c>
      <c r="L66" s="1">
        <v>285.62400000000002</v>
      </c>
      <c r="M66" s="1">
        <f t="shared" si="14"/>
        <v>2.4557946969054192</v>
      </c>
      <c r="N66" s="1">
        <v>335.92099999999999</v>
      </c>
      <c r="O66" s="1">
        <f t="shared" si="15"/>
        <v>2.5262371544788813</v>
      </c>
      <c r="P66" s="1">
        <v>-50.296999999999997</v>
      </c>
      <c r="Q66" s="1" t="e">
        <f ca="1"/>
        <v>#NAME?</v>
      </c>
      <c r="R66" s="1" t="e">
        <f t="shared" ref="R66:R129" ca="1" si="19">P66/Q66</f>
        <v>#NAME?</v>
      </c>
      <c r="S66" s="4">
        <v>942826000000</v>
      </c>
      <c r="T66" s="1">
        <v>78789</v>
      </c>
      <c r="U66" s="1" t="e">
        <f ca="1"/>
        <v>#NAME?</v>
      </c>
      <c r="V66" s="1" t="e">
        <f t="shared" ref="V66:V129" ca="1" si="20">100*(D66-U66)/U66</f>
        <v>#NAME?</v>
      </c>
      <c r="W66" s="1" t="e">
        <f ca="1"/>
        <v>#NAME?</v>
      </c>
      <c r="X66" s="1" t="e">
        <f t="shared" ref="X66:X129" ca="1" si="21">100*(F66-W66)/W66</f>
        <v>#NAME?</v>
      </c>
      <c r="Y66" s="1" t="e">
        <f ca="1"/>
        <v>#NAME?</v>
      </c>
      <c r="Z66" s="1" t="e">
        <f t="shared" ref="Z66:Z129" ca="1" si="22">100*(H66-Y66)/Y66</f>
        <v>#NAME?</v>
      </c>
      <c r="AA66" s="1" t="e">
        <f ca="1"/>
        <v>#NAME?</v>
      </c>
      <c r="AB66" s="1" t="e">
        <f t="shared" ref="AB66:AB129" ca="1" si="23">100*(K66-AA66)/AA66</f>
        <v>#NAME?</v>
      </c>
      <c r="AC66" s="1" t="e">
        <f ca="1"/>
        <v>#NAME?</v>
      </c>
      <c r="AD66" s="1" t="e">
        <f t="shared" ref="AD66:AD129" ca="1" si="24">100*(M66-AC66)/AC66</f>
        <v>#NAME?</v>
      </c>
      <c r="AE66" s="1" t="e">
        <f ca="1"/>
        <v>#NAME?</v>
      </c>
      <c r="AF66" s="1" t="e">
        <f t="shared" ref="AF66:AF129" ca="1" si="25">100*(O66-AE66)/AE66</f>
        <v>#NAME?</v>
      </c>
      <c r="AG66" s="1" t="e">
        <f ca="1"/>
        <v>#NAME?</v>
      </c>
      <c r="AH66" s="1" t="e">
        <f t="shared" ref="AH66:AH129" ca="1" si="26">100*(R66-AG66)</f>
        <v>#NAME?</v>
      </c>
      <c r="AI66" s="1" t="e">
        <f ca="1"/>
        <v>#NAME?</v>
      </c>
      <c r="AJ66" s="1" t="e">
        <f t="shared" ca="1" si="16"/>
        <v>#NAME?</v>
      </c>
      <c r="AK66" s="1" t="e">
        <f ca="1"/>
        <v>#NAME?</v>
      </c>
      <c r="AL66" s="1" t="e">
        <f t="shared" ref="AL66:AL129" ca="1" si="27">100*(J66-AK66)</f>
        <v>#NAME?</v>
      </c>
      <c r="AN66" s="1">
        <f t="shared" si="17"/>
        <v>3.405823446179733</v>
      </c>
      <c r="AO66" s="1" t="e">
        <f ca="1"/>
        <v>#NAME?</v>
      </c>
      <c r="AP66" s="1" t="e">
        <f t="shared" ca="1" si="18"/>
        <v>#NAME?</v>
      </c>
    </row>
    <row r="67" spans="1:42" x14ac:dyDescent="0.25">
      <c r="A67" s="1" t="s">
        <v>82</v>
      </c>
      <c r="B67" s="1">
        <v>66</v>
      </c>
      <c r="C67" s="1">
        <v>5936.5150000000003</v>
      </c>
      <c r="D67" s="1">
        <f t="shared" ref="D67:D130" si="28">LOG(C67)</f>
        <v>3.7735315694873517</v>
      </c>
      <c r="E67" s="1">
        <v>3805.0810000000001</v>
      </c>
      <c r="F67" s="1">
        <f t="shared" ref="F67:F130" si="29">LOG(E67)</f>
        <v>3.5803639061732433</v>
      </c>
      <c r="G67" s="1">
        <v>732.35799999999995</v>
      </c>
      <c r="H67" s="1">
        <f t="shared" ref="H67:H130" si="30">LOG(G67)</f>
        <v>2.8647234299889388</v>
      </c>
      <c r="I67" s="1">
        <v>1602.934</v>
      </c>
      <c r="J67" s="1">
        <f t="shared" ref="J67:J130" si="31">I67/C67</f>
        <v>0.27001262525235764</v>
      </c>
      <c r="K67" s="1">
        <f t="shared" ref="K67:K130" si="32">LOG(I67)</f>
        <v>3.2049156408657486</v>
      </c>
      <c r="L67" s="1">
        <v>288.50299999999999</v>
      </c>
      <c r="M67" s="1">
        <f t="shared" ref="M67:M130" si="33">LOG(L67)</f>
        <v>2.4601503335287402</v>
      </c>
      <c r="N67" s="1">
        <v>350.47</v>
      </c>
      <c r="O67" s="1">
        <f t="shared" ref="O67:O130" si="34">LOG(N67)</f>
        <v>2.5446508485735162</v>
      </c>
      <c r="P67" s="1">
        <v>-61.966999999999999</v>
      </c>
      <c r="Q67" s="1" t="e">
        <f ca="1"/>
        <v>#NAME?</v>
      </c>
      <c r="R67" s="1" t="e">
        <f t="shared" ca="1" si="19"/>
        <v>#NAME?</v>
      </c>
      <c r="S67" s="4">
        <v>943018000000</v>
      </c>
      <c r="T67" s="1">
        <v>79326.666666666701</v>
      </c>
      <c r="U67" s="1" t="e">
        <f ca="1"/>
        <v>#NAME?</v>
      </c>
      <c r="V67" s="1" t="e">
        <f t="shared" ca="1" si="20"/>
        <v>#NAME?</v>
      </c>
      <c r="W67" s="1" t="e">
        <f ca="1"/>
        <v>#NAME?</v>
      </c>
      <c r="X67" s="1" t="e">
        <f t="shared" ca="1" si="21"/>
        <v>#NAME?</v>
      </c>
      <c r="Y67" s="1" t="e">
        <f ca="1"/>
        <v>#NAME?</v>
      </c>
      <c r="Z67" s="1" t="e">
        <f t="shared" ca="1" si="22"/>
        <v>#NAME?</v>
      </c>
      <c r="AA67" s="1" t="e">
        <f ca="1"/>
        <v>#NAME?</v>
      </c>
      <c r="AB67" s="1" t="e">
        <f t="shared" ca="1" si="23"/>
        <v>#NAME?</v>
      </c>
      <c r="AC67" s="1" t="e">
        <f ca="1"/>
        <v>#NAME?</v>
      </c>
      <c r="AD67" s="1" t="e">
        <f t="shared" ca="1" si="24"/>
        <v>#NAME?</v>
      </c>
      <c r="AE67" s="1" t="e">
        <f ca="1"/>
        <v>#NAME?</v>
      </c>
      <c r="AF67" s="1" t="e">
        <f t="shared" ca="1" si="25"/>
        <v>#NAME?</v>
      </c>
      <c r="AG67" s="1" t="e">
        <f ca="1"/>
        <v>#NAME?</v>
      </c>
      <c r="AH67" s="1" t="e">
        <f t="shared" ca="1" si="26"/>
        <v>#NAME?</v>
      </c>
      <c r="AI67" s="1" t="e">
        <f ca="1"/>
        <v>#NAME?</v>
      </c>
      <c r="AJ67" s="1" t="e">
        <f t="shared" ref="AJ67:AJ130" ca="1" si="35">-100*(P67-AI67)/AI67</f>
        <v>#NAME?</v>
      </c>
      <c r="AK67" s="1" t="e">
        <f ca="1"/>
        <v>#NAME?</v>
      </c>
      <c r="AL67" s="1" t="e">
        <f t="shared" ca="1" si="27"/>
        <v>#NAME?</v>
      </c>
      <c r="AN67" s="1">
        <f t="shared" si="17"/>
        <v>3.4070760842950492</v>
      </c>
      <c r="AO67" s="1" t="e">
        <f ca="1"/>
        <v>#NAME?</v>
      </c>
      <c r="AP67" s="1" t="e">
        <f t="shared" ca="1" si="18"/>
        <v>#NAME?</v>
      </c>
    </row>
    <row r="68" spans="1:42" x14ac:dyDescent="0.25">
      <c r="A68" s="1" t="s">
        <v>83</v>
      </c>
      <c r="B68" s="1">
        <v>67</v>
      </c>
      <c r="C68" s="1">
        <v>5969.0889999999999</v>
      </c>
      <c r="D68" s="1">
        <f t="shared" si="28"/>
        <v>3.7759080543349199</v>
      </c>
      <c r="E68" s="1">
        <v>3845.1439999999998</v>
      </c>
      <c r="F68" s="1">
        <f t="shared" si="29"/>
        <v>3.5849126086977496</v>
      </c>
      <c r="G68" s="1">
        <v>734.91</v>
      </c>
      <c r="H68" s="1">
        <f t="shared" si="30"/>
        <v>2.8662341569119256</v>
      </c>
      <c r="I68" s="1">
        <v>1598.2429999999999</v>
      </c>
      <c r="J68" s="1">
        <f t="shared" si="31"/>
        <v>0.26775325346966683</v>
      </c>
      <c r="K68" s="1">
        <f t="shared" si="32"/>
        <v>3.2036428109829358</v>
      </c>
      <c r="L68" s="1">
        <v>296.88600000000002</v>
      </c>
      <c r="M68" s="1">
        <f t="shared" si="33"/>
        <v>2.4725897184242629</v>
      </c>
      <c r="N68" s="1">
        <v>364.76799999999997</v>
      </c>
      <c r="O68" s="1">
        <f t="shared" si="34"/>
        <v>2.5620167319782188</v>
      </c>
      <c r="P68" s="1">
        <v>-67.882000000000005</v>
      </c>
      <c r="Q68" s="1" t="e">
        <f ca="1"/>
        <v>#NAME?</v>
      </c>
      <c r="R68" s="1" t="e">
        <f t="shared" ca="1" si="19"/>
        <v>#NAME?</v>
      </c>
      <c r="S68" s="4">
        <v>949200000000</v>
      </c>
      <c r="T68" s="1">
        <v>79714.333333333299</v>
      </c>
      <c r="U68" s="1" t="e">
        <f ca="1"/>
        <v>#NAME?</v>
      </c>
      <c r="V68" s="1" t="e">
        <f t="shared" ca="1" si="20"/>
        <v>#NAME?</v>
      </c>
      <c r="W68" s="1" t="e">
        <f ca="1"/>
        <v>#NAME?</v>
      </c>
      <c r="X68" s="1" t="e">
        <f t="shared" ca="1" si="21"/>
        <v>#NAME?</v>
      </c>
      <c r="Y68" s="1" t="e">
        <f ca="1"/>
        <v>#NAME?</v>
      </c>
      <c r="Z68" s="1" t="e">
        <f t="shared" ca="1" si="22"/>
        <v>#NAME?</v>
      </c>
      <c r="AA68" s="1" t="e">
        <f ca="1"/>
        <v>#NAME?</v>
      </c>
      <c r="AB68" s="1" t="e">
        <f t="shared" ca="1" si="23"/>
        <v>#NAME?</v>
      </c>
      <c r="AC68" s="1" t="e">
        <f ca="1"/>
        <v>#NAME?</v>
      </c>
      <c r="AD68" s="1" t="e">
        <f t="shared" ca="1" si="24"/>
        <v>#NAME?</v>
      </c>
      <c r="AE68" s="1" t="e">
        <f ca="1"/>
        <v>#NAME?</v>
      </c>
      <c r="AF68" s="1" t="e">
        <f t="shared" ca="1" si="25"/>
        <v>#NAME?</v>
      </c>
      <c r="AG68" s="1" t="e">
        <f ca="1"/>
        <v>#NAME?</v>
      </c>
      <c r="AH68" s="1" t="e">
        <f t="shared" ca="1" si="26"/>
        <v>#NAME?</v>
      </c>
      <c r="AI68" s="1" t="e">
        <f ca="1"/>
        <v>#NAME?</v>
      </c>
      <c r="AJ68" s="1" t="e">
        <f t="shared" ca="1" si="35"/>
        <v>#NAME?</v>
      </c>
      <c r="AK68" s="1" t="e">
        <f ca="1"/>
        <v>#NAME?</v>
      </c>
      <c r="AL68" s="1" t="e">
        <f t="shared" ca="1" si="27"/>
        <v>#NAME?</v>
      </c>
      <c r="AN68" s="1">
        <f t="shared" si="17"/>
        <v>3.4070759639492234</v>
      </c>
      <c r="AO68" s="1" t="e">
        <f ca="1"/>
        <v>#NAME?</v>
      </c>
      <c r="AP68" s="1" t="e">
        <f t="shared" ca="1" si="18"/>
        <v>#NAME?</v>
      </c>
    </row>
    <row r="69" spans="1:42" x14ac:dyDescent="0.25">
      <c r="A69" s="1" t="s">
        <v>84</v>
      </c>
      <c r="B69" s="1">
        <v>68</v>
      </c>
      <c r="C69" s="1">
        <v>6012.3559999999998</v>
      </c>
      <c r="D69" s="1">
        <f t="shared" si="28"/>
        <v>3.7790446878593422</v>
      </c>
      <c r="E69" s="1">
        <v>3895.0340000000001</v>
      </c>
      <c r="F69" s="1">
        <f t="shared" si="29"/>
        <v>3.5905112530093377</v>
      </c>
      <c r="G69" s="1">
        <v>740.40800000000002</v>
      </c>
      <c r="H69" s="1">
        <f t="shared" si="30"/>
        <v>2.8694711025944879</v>
      </c>
      <c r="I69" s="1">
        <v>1597.2639999999999</v>
      </c>
      <c r="J69" s="1">
        <f t="shared" si="31"/>
        <v>0.26566357680749442</v>
      </c>
      <c r="K69" s="1">
        <f t="shared" si="32"/>
        <v>3.2033767034068386</v>
      </c>
      <c r="L69" s="1">
        <v>299.89800000000002</v>
      </c>
      <c r="M69" s="1">
        <f t="shared" si="33"/>
        <v>2.4769735694879031</v>
      </c>
      <c r="N69" s="1">
        <v>376.84100000000001</v>
      </c>
      <c r="O69" s="1">
        <f t="shared" si="34"/>
        <v>2.5761581475844268</v>
      </c>
      <c r="P69" s="1">
        <v>-76.942999999999998</v>
      </c>
      <c r="Q69" s="1" t="e">
        <f ca="1"/>
        <v>#NAME?</v>
      </c>
      <c r="R69" s="1" t="e">
        <f t="shared" ca="1" si="19"/>
        <v>#NAME?</v>
      </c>
      <c r="S69" s="4">
        <v>980029000000</v>
      </c>
      <c r="T69" s="1">
        <v>80199.666666666701</v>
      </c>
      <c r="U69" s="1" t="e">
        <f ca="1"/>
        <v>#NAME?</v>
      </c>
      <c r="V69" s="1" t="e">
        <f t="shared" ca="1" si="20"/>
        <v>#NAME?</v>
      </c>
      <c r="W69" s="1" t="e">
        <f ca="1"/>
        <v>#NAME?</v>
      </c>
      <c r="X69" s="1" t="e">
        <f t="shared" ca="1" si="21"/>
        <v>#NAME?</v>
      </c>
      <c r="Y69" s="1" t="e">
        <f ca="1"/>
        <v>#NAME?</v>
      </c>
      <c r="Z69" s="1" t="e">
        <f t="shared" ca="1" si="22"/>
        <v>#NAME?</v>
      </c>
      <c r="AA69" s="1" t="e">
        <f ca="1"/>
        <v>#NAME?</v>
      </c>
      <c r="AB69" s="1" t="e">
        <f t="shared" ca="1" si="23"/>
        <v>#NAME?</v>
      </c>
      <c r="AC69" s="1" t="e">
        <f ca="1"/>
        <v>#NAME?</v>
      </c>
      <c r="AD69" s="1" t="e">
        <f t="shared" ca="1" si="24"/>
        <v>#NAME?</v>
      </c>
      <c r="AE69" s="1" t="e">
        <f ca="1"/>
        <v>#NAME?</v>
      </c>
      <c r="AF69" s="1" t="e">
        <f t="shared" ca="1" si="25"/>
        <v>#NAME?</v>
      </c>
      <c r="AG69" s="1" t="e">
        <f ca="1"/>
        <v>#NAME?</v>
      </c>
      <c r="AH69" s="1" t="e">
        <f t="shared" ca="1" si="26"/>
        <v>#NAME?</v>
      </c>
      <c r="AI69" s="1" t="e">
        <f ca="1"/>
        <v>#NAME?</v>
      </c>
      <c r="AJ69" s="1" t="e">
        <f t="shared" ca="1" si="35"/>
        <v>#NAME?</v>
      </c>
      <c r="AK69" s="1" t="e">
        <f ca="1"/>
        <v>#NAME?</v>
      </c>
      <c r="AL69" s="1" t="e">
        <f t="shared" ca="1" si="27"/>
        <v>#NAME?</v>
      </c>
      <c r="AN69" s="1">
        <f t="shared" si="17"/>
        <v>3.4035282336438692</v>
      </c>
      <c r="AO69" s="1" t="e">
        <f ca="1"/>
        <v>#NAME?</v>
      </c>
      <c r="AP69" s="1" t="e">
        <f t="shared" ca="1" si="18"/>
        <v>#NAME?</v>
      </c>
    </row>
    <row r="70" spans="1:42" x14ac:dyDescent="0.25">
      <c r="A70" s="1" t="s">
        <v>85</v>
      </c>
      <c r="B70" s="1">
        <v>69</v>
      </c>
      <c r="C70" s="1">
        <v>6083.3909999999996</v>
      </c>
      <c r="D70" s="1">
        <f t="shared" si="28"/>
        <v>3.7841457309270372</v>
      </c>
      <c r="E70" s="1">
        <v>3940.944</v>
      </c>
      <c r="F70" s="1">
        <f t="shared" si="29"/>
        <v>3.5956002636745907</v>
      </c>
      <c r="G70" s="1">
        <v>774.71100000000001</v>
      </c>
      <c r="H70" s="1">
        <f t="shared" si="30"/>
        <v>2.8891397224897459</v>
      </c>
      <c r="I70" s="1">
        <v>1610.8420000000001</v>
      </c>
      <c r="J70" s="1">
        <f t="shared" si="31"/>
        <v>0.26479343510880693</v>
      </c>
      <c r="K70" s="1">
        <f t="shared" si="32"/>
        <v>3.2070529445823053</v>
      </c>
      <c r="L70" s="1">
        <v>295.072</v>
      </c>
      <c r="M70" s="1">
        <f t="shared" si="33"/>
        <v>2.4699280003422821</v>
      </c>
      <c r="N70" s="1">
        <v>394.68</v>
      </c>
      <c r="O70" s="1">
        <f t="shared" si="34"/>
        <v>2.5962451195302796</v>
      </c>
      <c r="P70" s="1">
        <v>-99.608000000000004</v>
      </c>
      <c r="Q70" s="1" t="e">
        <f ca="1"/>
        <v>#NAME?</v>
      </c>
      <c r="R70" s="1" t="e">
        <f t="shared" ca="1" si="19"/>
        <v>#NAME?</v>
      </c>
      <c r="S70" s="4">
        <v>1011381000000</v>
      </c>
      <c r="T70" s="1">
        <v>81023</v>
      </c>
      <c r="U70" s="1" t="e">
        <f ca="1"/>
        <v>#NAME?</v>
      </c>
      <c r="V70" s="1" t="e">
        <f t="shared" ca="1" si="20"/>
        <v>#NAME?</v>
      </c>
      <c r="W70" s="1" t="e">
        <f ca="1"/>
        <v>#NAME?</v>
      </c>
      <c r="X70" s="1" t="e">
        <f t="shared" ca="1" si="21"/>
        <v>#NAME?</v>
      </c>
      <c r="Y70" s="1" t="e">
        <f ca="1"/>
        <v>#NAME?</v>
      </c>
      <c r="Z70" s="1" t="e">
        <f t="shared" ca="1" si="22"/>
        <v>#NAME?</v>
      </c>
      <c r="AA70" s="1" t="e">
        <f ca="1"/>
        <v>#NAME?</v>
      </c>
      <c r="AB70" s="1" t="e">
        <f t="shared" ca="1" si="23"/>
        <v>#NAME?</v>
      </c>
      <c r="AC70" s="1" t="e">
        <f ca="1"/>
        <v>#NAME?</v>
      </c>
      <c r="AD70" s="1" t="e">
        <f t="shared" ca="1" si="24"/>
        <v>#NAME?</v>
      </c>
      <c r="AE70" s="1" t="e">
        <f ca="1"/>
        <v>#NAME?</v>
      </c>
      <c r="AF70" s="1" t="e">
        <f t="shared" ca="1" si="25"/>
        <v>#NAME?</v>
      </c>
      <c r="AG70" s="1" t="e">
        <f ca="1"/>
        <v>#NAME?</v>
      </c>
      <c r="AH70" s="1" t="e">
        <f t="shared" ca="1" si="26"/>
        <v>#NAME?</v>
      </c>
      <c r="AI70" s="1" t="e">
        <f ca="1"/>
        <v>#NAME?</v>
      </c>
      <c r="AJ70" s="1" t="e">
        <f t="shared" ca="1" si="35"/>
        <v>#NAME?</v>
      </c>
      <c r="AK70" s="1" t="e">
        <f ca="1"/>
        <v>#NAME?</v>
      </c>
      <c r="AL70" s="1" t="e">
        <f t="shared" ca="1" si="27"/>
        <v>#NAME?</v>
      </c>
      <c r="AN70" s="1">
        <f t="shared" si="17"/>
        <v>3.4008670817808611</v>
      </c>
      <c r="AO70" s="1" t="e">
        <f ca="1"/>
        <v>#NAME?</v>
      </c>
      <c r="AP70" s="1" t="e">
        <f t="shared" ca="1" si="18"/>
        <v>#NAME?</v>
      </c>
    </row>
    <row r="71" spans="1:42" x14ac:dyDescent="0.25">
      <c r="A71" s="1" t="s">
        <v>86</v>
      </c>
      <c r="B71" s="1">
        <v>70</v>
      </c>
      <c r="C71" s="1">
        <v>6201.6589999999997</v>
      </c>
      <c r="D71" s="1">
        <f t="shared" si="28"/>
        <v>3.7925078827510719</v>
      </c>
      <c r="E71" s="1">
        <v>3962.3139999999999</v>
      </c>
      <c r="F71" s="1">
        <f t="shared" si="29"/>
        <v>3.5979488889369566</v>
      </c>
      <c r="G71" s="1">
        <v>830.25099999999998</v>
      </c>
      <c r="H71" s="1">
        <f t="shared" si="30"/>
        <v>2.9192094073589145</v>
      </c>
      <c r="I71" s="1">
        <v>1625.58</v>
      </c>
      <c r="J71" s="1">
        <f t="shared" si="31"/>
        <v>0.26212018429262235</v>
      </c>
      <c r="K71" s="1">
        <f t="shared" si="32"/>
        <v>3.2110083473809721</v>
      </c>
      <c r="L71" s="1">
        <v>303.024</v>
      </c>
      <c r="M71" s="1">
        <f t="shared" si="33"/>
        <v>2.4814770267029411</v>
      </c>
      <c r="N71" s="1">
        <v>398.31900000000002</v>
      </c>
      <c r="O71" s="1">
        <f t="shared" si="34"/>
        <v>2.6002310229505046</v>
      </c>
      <c r="P71" s="1">
        <v>-95.295000000000002</v>
      </c>
      <c r="Q71" s="1" t="e">
        <f ca="1"/>
        <v>#NAME?</v>
      </c>
      <c r="R71" s="1" t="e">
        <f t="shared" ca="1" si="19"/>
        <v>#NAME?</v>
      </c>
      <c r="S71" s="4">
        <v>1057035000000</v>
      </c>
      <c r="T71" s="1">
        <v>82101.333333333299</v>
      </c>
      <c r="U71" s="1" t="e">
        <f ca="1"/>
        <v>#NAME?</v>
      </c>
      <c r="V71" s="1" t="e">
        <f t="shared" ca="1" si="20"/>
        <v>#NAME?</v>
      </c>
      <c r="W71" s="1" t="e">
        <f ca="1"/>
        <v>#NAME?</v>
      </c>
      <c r="X71" s="1" t="e">
        <f t="shared" ca="1" si="21"/>
        <v>#NAME?</v>
      </c>
      <c r="Y71" s="1" t="e">
        <f ca="1"/>
        <v>#NAME?</v>
      </c>
      <c r="Z71" s="1" t="e">
        <f t="shared" ca="1" si="22"/>
        <v>#NAME?</v>
      </c>
      <c r="AA71" s="1" t="e">
        <f ca="1"/>
        <v>#NAME?</v>
      </c>
      <c r="AB71" s="1" t="e">
        <f t="shared" ca="1" si="23"/>
        <v>#NAME?</v>
      </c>
      <c r="AC71" s="1" t="e">
        <f ca="1"/>
        <v>#NAME?</v>
      </c>
      <c r="AD71" s="1" t="e">
        <f t="shared" ca="1" si="24"/>
        <v>#NAME?</v>
      </c>
      <c r="AE71" s="1" t="e">
        <f ca="1"/>
        <v>#NAME?</v>
      </c>
      <c r="AF71" s="1" t="e">
        <f t="shared" ca="1" si="25"/>
        <v>#NAME?</v>
      </c>
      <c r="AG71" s="1" t="e">
        <f ca="1"/>
        <v>#NAME?</v>
      </c>
      <c r="AH71" s="1" t="e">
        <f t="shared" ca="1" si="26"/>
        <v>#NAME?</v>
      </c>
      <c r="AI71" s="1" t="e">
        <f ca="1"/>
        <v>#NAME?</v>
      </c>
      <c r="AJ71" s="1" t="e">
        <f t="shared" ca="1" si="35"/>
        <v>#NAME?</v>
      </c>
      <c r="AK71" s="1" t="e">
        <f ca="1"/>
        <v>#NAME?</v>
      </c>
      <c r="AL71" s="1" t="e">
        <f t="shared" ca="1" si="27"/>
        <v>#NAME?</v>
      </c>
      <c r="AN71" s="1">
        <f t="shared" si="17"/>
        <v>3.3986515758835729</v>
      </c>
      <c r="AO71" s="1" t="e">
        <f ca="1"/>
        <v>#NAME?</v>
      </c>
      <c r="AP71" s="1" t="e">
        <f t="shared" ca="1" si="18"/>
        <v>#NAME?</v>
      </c>
    </row>
    <row r="72" spans="1:42" x14ac:dyDescent="0.25">
      <c r="A72" s="1" t="s">
        <v>87</v>
      </c>
      <c r="B72" s="1">
        <v>71</v>
      </c>
      <c r="C72" s="1">
        <v>6313.5590000000002</v>
      </c>
      <c r="D72" s="1">
        <f t="shared" si="28"/>
        <v>3.8002742432902337</v>
      </c>
      <c r="E72" s="1">
        <v>3999.779</v>
      </c>
      <c r="F72" s="1">
        <f t="shared" si="29"/>
        <v>3.6020359958949575</v>
      </c>
      <c r="G72" s="1">
        <v>872.26400000000001</v>
      </c>
      <c r="H72" s="1">
        <f t="shared" si="30"/>
        <v>2.9406479486835795</v>
      </c>
      <c r="I72" s="1">
        <v>1632.1079999999999</v>
      </c>
      <c r="J72" s="1">
        <f t="shared" si="31"/>
        <v>0.25850839439371676</v>
      </c>
      <c r="K72" s="1">
        <f t="shared" si="32"/>
        <v>3.2127488935429342</v>
      </c>
      <c r="L72" s="1">
        <v>305.375</v>
      </c>
      <c r="M72" s="1">
        <f t="shared" si="33"/>
        <v>2.4848334799814933</v>
      </c>
      <c r="N72" s="1">
        <v>392.76799999999997</v>
      </c>
      <c r="O72" s="1">
        <f t="shared" si="34"/>
        <v>2.5941360972678189</v>
      </c>
      <c r="P72" s="1">
        <v>-87.393000000000001</v>
      </c>
      <c r="Q72" s="1" t="e">
        <f ca="1"/>
        <v>#NAME?</v>
      </c>
      <c r="R72" s="1" t="e">
        <f t="shared" ca="1" si="19"/>
        <v>#NAME?</v>
      </c>
      <c r="S72" s="4">
        <v>1064587000000</v>
      </c>
      <c r="T72" s="1">
        <v>83147</v>
      </c>
      <c r="U72" s="1" t="e">
        <f ca="1"/>
        <v>#NAME?</v>
      </c>
      <c r="V72" s="1" t="e">
        <f t="shared" ca="1" si="20"/>
        <v>#NAME?</v>
      </c>
      <c r="W72" s="1" t="e">
        <f ca="1"/>
        <v>#NAME?</v>
      </c>
      <c r="X72" s="1" t="e">
        <f t="shared" ca="1" si="21"/>
        <v>#NAME?</v>
      </c>
      <c r="Y72" s="1" t="e">
        <f ca="1"/>
        <v>#NAME?</v>
      </c>
      <c r="Z72" s="1" t="e">
        <f t="shared" ca="1" si="22"/>
        <v>#NAME?</v>
      </c>
      <c r="AA72" s="1" t="e">
        <f ca="1"/>
        <v>#NAME?</v>
      </c>
      <c r="AB72" s="1" t="e">
        <f t="shared" ca="1" si="23"/>
        <v>#NAME?</v>
      </c>
      <c r="AC72" s="1" t="e">
        <f ca="1"/>
        <v>#NAME?</v>
      </c>
      <c r="AD72" s="1" t="e">
        <f t="shared" ca="1" si="24"/>
        <v>#NAME?</v>
      </c>
      <c r="AE72" s="1" t="e">
        <f ca="1"/>
        <v>#NAME?</v>
      </c>
      <c r="AF72" s="1" t="e">
        <f t="shared" ca="1" si="25"/>
        <v>#NAME?</v>
      </c>
      <c r="AG72" s="1" t="e">
        <f ca="1"/>
        <v>#NAME?</v>
      </c>
      <c r="AH72" s="1" t="e">
        <f t="shared" ca="1" si="26"/>
        <v>#NAME?</v>
      </c>
      <c r="AI72" s="1" t="e">
        <f ca="1"/>
        <v>#NAME?</v>
      </c>
      <c r="AJ72" s="1" t="e">
        <f t="shared" ca="1" si="35"/>
        <v>#NAME?</v>
      </c>
      <c r="AK72" s="1" t="e">
        <f ca="1"/>
        <v>#NAME?</v>
      </c>
      <c r="AL72" s="1" t="e">
        <f t="shared" ca="1" si="27"/>
        <v>#NAME?</v>
      </c>
      <c r="AN72" s="1">
        <f t="shared" si="17"/>
        <v>3.4017872123189976</v>
      </c>
      <c r="AO72" s="1" t="e">
        <f ca="1"/>
        <v>#NAME?</v>
      </c>
      <c r="AP72" s="1" t="e">
        <f t="shared" ca="1" si="18"/>
        <v>#NAME?</v>
      </c>
    </row>
    <row r="73" spans="1:42" x14ac:dyDescent="0.25">
      <c r="A73" s="1" t="s">
        <v>88</v>
      </c>
      <c r="B73" s="1">
        <v>72</v>
      </c>
      <c r="C73" s="1">
        <v>6313.6970000000001</v>
      </c>
      <c r="D73" s="1">
        <f t="shared" si="28"/>
        <v>3.8002837358733421</v>
      </c>
      <c r="E73" s="1">
        <v>4059.9180000000001</v>
      </c>
      <c r="F73" s="1">
        <f t="shared" si="29"/>
        <v>3.6085172620237085</v>
      </c>
      <c r="G73" s="1">
        <v>850.38300000000004</v>
      </c>
      <c r="H73" s="1">
        <f t="shared" si="30"/>
        <v>2.9296145696243787</v>
      </c>
      <c r="I73" s="1">
        <v>1628.2159999999999</v>
      </c>
      <c r="J73" s="1">
        <f t="shared" si="31"/>
        <v>0.2578863065490789</v>
      </c>
      <c r="K73" s="1">
        <f t="shared" si="32"/>
        <v>3.211712018111863</v>
      </c>
      <c r="L73" s="1">
        <v>295.584</v>
      </c>
      <c r="M73" s="1">
        <f t="shared" si="33"/>
        <v>2.4706809219427663</v>
      </c>
      <c r="N73" s="1">
        <v>398.34199999999998</v>
      </c>
      <c r="O73" s="1">
        <f t="shared" si="34"/>
        <v>2.6002560995466641</v>
      </c>
      <c r="P73" s="1">
        <v>-102.758</v>
      </c>
      <c r="Q73" s="1" t="e">
        <f ca="1"/>
        <v>#NAME?</v>
      </c>
      <c r="R73" s="1" t="e">
        <f t="shared" ca="1" si="19"/>
        <v>#NAME?</v>
      </c>
      <c r="S73" s="4">
        <v>1076124000000</v>
      </c>
      <c r="T73" s="1">
        <v>84127.666666666701</v>
      </c>
      <c r="U73" s="1" t="e">
        <f ca="1"/>
        <v>#NAME?</v>
      </c>
      <c r="V73" s="1" t="e">
        <f t="shared" ca="1" si="20"/>
        <v>#NAME?</v>
      </c>
      <c r="W73" s="1" t="e">
        <f ca="1"/>
        <v>#NAME?</v>
      </c>
      <c r="X73" s="1" t="e">
        <f t="shared" ca="1" si="21"/>
        <v>#NAME?</v>
      </c>
      <c r="Y73" s="1" t="e">
        <f ca="1"/>
        <v>#NAME?</v>
      </c>
      <c r="Z73" s="1" t="e">
        <f t="shared" ca="1" si="22"/>
        <v>#NAME?</v>
      </c>
      <c r="AA73" s="1" t="e">
        <f ca="1"/>
        <v>#NAME?</v>
      </c>
      <c r="AB73" s="1" t="e">
        <f t="shared" ca="1" si="23"/>
        <v>#NAME?</v>
      </c>
      <c r="AC73" s="1" t="e">
        <f ca="1"/>
        <v>#NAME?</v>
      </c>
      <c r="AD73" s="1" t="e">
        <f t="shared" ca="1" si="24"/>
        <v>#NAME?</v>
      </c>
      <c r="AE73" s="1" t="e">
        <f ca="1"/>
        <v>#NAME?</v>
      </c>
      <c r="AF73" s="1" t="e">
        <f t="shared" ca="1" si="25"/>
        <v>#NAME?</v>
      </c>
      <c r="AG73" s="1" t="e">
        <f ca="1"/>
        <v>#NAME?</v>
      </c>
      <c r="AH73" s="1" t="e">
        <f t="shared" ca="1" si="26"/>
        <v>#NAME?</v>
      </c>
      <c r="AI73" s="1" t="e">
        <f ca="1"/>
        <v>#NAME?</v>
      </c>
      <c r="AJ73" s="1" t="e">
        <f t="shared" ca="1" si="35"/>
        <v>#NAME?</v>
      </c>
      <c r="AK73" s="1" t="e">
        <f ca="1"/>
        <v>#NAME?</v>
      </c>
      <c r="AL73" s="1" t="e">
        <f t="shared" ca="1" si="27"/>
        <v>#NAME?</v>
      </c>
      <c r="AN73" s="1">
        <f t="shared" si="17"/>
        <v>3.3968524417235111</v>
      </c>
      <c r="AO73" s="1" t="e">
        <f ca="1"/>
        <v>#NAME?</v>
      </c>
      <c r="AP73" s="1" t="e">
        <f t="shared" ca="1" si="18"/>
        <v>#NAME?</v>
      </c>
    </row>
    <row r="74" spans="1:42" x14ac:dyDescent="0.25">
      <c r="A74" s="1" t="s">
        <v>89</v>
      </c>
      <c r="B74" s="1">
        <v>73</v>
      </c>
      <c r="C74" s="1">
        <v>6333.848</v>
      </c>
      <c r="D74" s="1">
        <f t="shared" si="28"/>
        <v>3.8016676369403246</v>
      </c>
      <c r="E74" s="1">
        <v>4082.7260000000001</v>
      </c>
      <c r="F74" s="1">
        <f t="shared" si="29"/>
        <v>3.6109502345198607</v>
      </c>
      <c r="G74" s="1">
        <v>866.95699999999999</v>
      </c>
      <c r="H74" s="1">
        <f t="shared" si="30"/>
        <v>2.9379975575386852</v>
      </c>
      <c r="I74" s="1">
        <v>1628.6310000000001</v>
      </c>
      <c r="J74" s="1">
        <f t="shared" si="31"/>
        <v>0.25713136785094937</v>
      </c>
      <c r="K74" s="1">
        <f t="shared" si="32"/>
        <v>3.2118226970666717</v>
      </c>
      <c r="L74" s="1">
        <v>302.56299999999999</v>
      </c>
      <c r="M74" s="1">
        <f t="shared" si="33"/>
        <v>2.4808158176782067</v>
      </c>
      <c r="N74" s="1">
        <v>425.07</v>
      </c>
      <c r="O74" s="1">
        <f t="shared" si="34"/>
        <v>2.6284604550160249</v>
      </c>
      <c r="P74" s="1">
        <v>-122.50700000000001</v>
      </c>
      <c r="Q74" s="1" t="e">
        <f ca="1"/>
        <v>#NAME?</v>
      </c>
      <c r="R74" s="1" t="e">
        <f t="shared" ca="1" si="19"/>
        <v>#NAME?</v>
      </c>
      <c r="S74" s="4">
        <v>1081398000000</v>
      </c>
      <c r="T74" s="1">
        <v>85000.666666666701</v>
      </c>
      <c r="U74" s="1" t="e">
        <f ca="1"/>
        <v>#NAME?</v>
      </c>
      <c r="V74" s="1" t="e">
        <f t="shared" ca="1" si="20"/>
        <v>#NAME?</v>
      </c>
      <c r="W74" s="1" t="e">
        <f ca="1"/>
        <v>#NAME?</v>
      </c>
      <c r="X74" s="1" t="e">
        <f t="shared" ca="1" si="21"/>
        <v>#NAME?</v>
      </c>
      <c r="Y74" s="1" t="e">
        <f ca="1"/>
        <v>#NAME?</v>
      </c>
      <c r="Z74" s="1" t="e">
        <f t="shared" ca="1" si="22"/>
        <v>#NAME?</v>
      </c>
      <c r="AA74" s="1" t="e">
        <f ca="1"/>
        <v>#NAME?</v>
      </c>
      <c r="AB74" s="1" t="e">
        <f t="shared" ca="1" si="23"/>
        <v>#NAME?</v>
      </c>
      <c r="AC74" s="1" t="e">
        <f ca="1"/>
        <v>#NAME?</v>
      </c>
      <c r="AD74" s="1" t="e">
        <f t="shared" ca="1" si="24"/>
        <v>#NAME?</v>
      </c>
      <c r="AE74" s="1" t="e">
        <f ca="1"/>
        <v>#NAME?</v>
      </c>
      <c r="AF74" s="1" t="e">
        <f t="shared" ca="1" si="25"/>
        <v>#NAME?</v>
      </c>
      <c r="AG74" s="1" t="e">
        <f ca="1"/>
        <v>#NAME?</v>
      </c>
      <c r="AH74" s="1" t="e">
        <f t="shared" ca="1" si="26"/>
        <v>#NAME?</v>
      </c>
      <c r="AI74" s="1" t="e">
        <f ca="1"/>
        <v>#NAME?</v>
      </c>
      <c r="AJ74" s="1" t="e">
        <f t="shared" ca="1" si="35"/>
        <v>#NAME?</v>
      </c>
      <c r="AK74" s="1" t="e">
        <f ca="1"/>
        <v>#NAME?</v>
      </c>
      <c r="AL74" s="1" t="e">
        <f t="shared" ca="1" si="27"/>
        <v>#NAME?</v>
      </c>
      <c r="AN74" s="1">
        <f t="shared" si="17"/>
        <v>3.3946025421725716</v>
      </c>
      <c r="AO74" s="1" t="e">
        <f ca="1"/>
        <v>#NAME?</v>
      </c>
      <c r="AP74" s="1" t="e">
        <f t="shared" ca="1" si="18"/>
        <v>#NAME?</v>
      </c>
    </row>
    <row r="75" spans="1:42" x14ac:dyDescent="0.25">
      <c r="A75" s="1" t="s">
        <v>90</v>
      </c>
      <c r="B75" s="1">
        <v>74</v>
      </c>
      <c r="C75" s="1">
        <v>6578.6049999999996</v>
      </c>
      <c r="D75" s="1">
        <f t="shared" si="28"/>
        <v>3.8181338107822991</v>
      </c>
      <c r="E75" s="1">
        <v>4170.01</v>
      </c>
      <c r="F75" s="1">
        <f t="shared" si="29"/>
        <v>3.6201370964460864</v>
      </c>
      <c r="G75" s="1">
        <v>923.26599999999996</v>
      </c>
      <c r="H75" s="1">
        <f t="shared" si="30"/>
        <v>2.9653268426176282</v>
      </c>
      <c r="I75" s="1">
        <v>1669.4770000000001</v>
      </c>
      <c r="J75" s="1">
        <f t="shared" si="31"/>
        <v>0.25377371038388841</v>
      </c>
      <c r="K75" s="1">
        <f t="shared" si="32"/>
        <v>3.222580440256583</v>
      </c>
      <c r="L75" s="1">
        <v>334.10599999999999</v>
      </c>
      <c r="M75" s="1">
        <f t="shared" si="33"/>
        <v>2.5238842749302401</v>
      </c>
      <c r="N75" s="1">
        <v>426.41899999999998</v>
      </c>
      <c r="O75" s="1">
        <f t="shared" si="34"/>
        <v>2.629836547358384</v>
      </c>
      <c r="P75" s="1">
        <v>-92.313000000000002</v>
      </c>
      <c r="Q75" s="1" t="e">
        <f ca="1"/>
        <v>#NAME?</v>
      </c>
      <c r="R75" s="1" t="e">
        <f t="shared" ca="1" si="19"/>
        <v>#NAME?</v>
      </c>
      <c r="S75" s="4">
        <v>1162010000000</v>
      </c>
      <c r="T75" s="1">
        <v>86540.333333333299</v>
      </c>
      <c r="U75" s="1" t="e">
        <f ca="1"/>
        <v>#NAME?</v>
      </c>
      <c r="V75" s="1" t="e">
        <f t="shared" ca="1" si="20"/>
        <v>#NAME?</v>
      </c>
      <c r="W75" s="1" t="e">
        <f ca="1"/>
        <v>#NAME?</v>
      </c>
      <c r="X75" s="1" t="e">
        <f t="shared" ca="1" si="21"/>
        <v>#NAME?</v>
      </c>
      <c r="Y75" s="1" t="e">
        <f ca="1"/>
        <v>#NAME?</v>
      </c>
      <c r="Z75" s="1" t="e">
        <f t="shared" ca="1" si="22"/>
        <v>#NAME?</v>
      </c>
      <c r="AA75" s="1" t="e">
        <f ca="1"/>
        <v>#NAME?</v>
      </c>
      <c r="AB75" s="1" t="e">
        <f t="shared" ca="1" si="23"/>
        <v>#NAME?</v>
      </c>
      <c r="AC75" s="1" t="e">
        <f ca="1"/>
        <v>#NAME?</v>
      </c>
      <c r="AD75" s="1" t="e">
        <f t="shared" ca="1" si="24"/>
        <v>#NAME?</v>
      </c>
      <c r="AE75" s="1" t="e">
        <f ca="1"/>
        <v>#NAME?</v>
      </c>
      <c r="AF75" s="1" t="e">
        <f t="shared" ca="1" si="25"/>
        <v>#NAME?</v>
      </c>
      <c r="AG75" s="1" t="e">
        <f ca="1"/>
        <v>#NAME?</v>
      </c>
      <c r="AH75" s="1" t="e">
        <f t="shared" ca="1" si="26"/>
        <v>#NAME?</v>
      </c>
      <c r="AI75" s="1" t="e">
        <f ca="1"/>
        <v>#NAME?</v>
      </c>
      <c r="AJ75" s="1" t="e">
        <f t="shared" ca="1" si="35"/>
        <v>#NAME?</v>
      </c>
      <c r="AK75" s="1" t="e">
        <f ca="1"/>
        <v>#NAME?</v>
      </c>
      <c r="AL75" s="1" t="e">
        <f t="shared" ca="1" si="27"/>
        <v>#NAME?</v>
      </c>
      <c r="AN75" s="1">
        <f t="shared" si="17"/>
        <v>3.3948383784505278</v>
      </c>
      <c r="AO75" s="1" t="e">
        <f ca="1"/>
        <v>#NAME?</v>
      </c>
      <c r="AP75" s="1" t="e">
        <f t="shared" ca="1" si="18"/>
        <v>#NAME?</v>
      </c>
    </row>
    <row r="76" spans="1:42" x14ac:dyDescent="0.25">
      <c r="A76" s="1" t="s">
        <v>91</v>
      </c>
      <c r="B76" s="1">
        <v>75</v>
      </c>
      <c r="C76" s="1">
        <v>6644.7539999999999</v>
      </c>
      <c r="D76" s="1">
        <f t="shared" si="28"/>
        <v>3.8224789072621737</v>
      </c>
      <c r="E76" s="1">
        <v>4187.5200000000004</v>
      </c>
      <c r="F76" s="1">
        <f t="shared" si="29"/>
        <v>3.62195689428225</v>
      </c>
      <c r="G76" s="1">
        <v>950.16600000000005</v>
      </c>
      <c r="H76" s="1">
        <f t="shared" si="30"/>
        <v>2.9777994859057828</v>
      </c>
      <c r="I76" s="1">
        <v>1684.9</v>
      </c>
      <c r="J76" s="1">
        <f t="shared" si="31"/>
        <v>0.25356845415195206</v>
      </c>
      <c r="K76" s="1">
        <f t="shared" si="32"/>
        <v>3.2265741302892867</v>
      </c>
      <c r="L76" s="1">
        <v>337.77199999999999</v>
      </c>
      <c r="M76" s="1">
        <f t="shared" si="33"/>
        <v>2.5286236453844921</v>
      </c>
      <c r="N76" s="1">
        <v>431.99299999999999</v>
      </c>
      <c r="O76" s="1">
        <f t="shared" si="34"/>
        <v>2.6354767095787923</v>
      </c>
      <c r="P76" s="1">
        <v>-94.221000000000004</v>
      </c>
      <c r="Q76" s="1" t="e">
        <f ca="1"/>
        <v>#NAME?</v>
      </c>
      <c r="R76" s="1" t="e">
        <f t="shared" ca="1" si="19"/>
        <v>#NAME?</v>
      </c>
      <c r="S76" s="4">
        <v>1193667000000</v>
      </c>
      <c r="T76" s="1">
        <v>87436</v>
      </c>
      <c r="U76" s="1" t="e">
        <f ca="1"/>
        <v>#NAME?</v>
      </c>
      <c r="V76" s="1" t="e">
        <f t="shared" ca="1" si="20"/>
        <v>#NAME?</v>
      </c>
      <c r="W76" s="1" t="e">
        <f ca="1"/>
        <v>#NAME?</v>
      </c>
      <c r="X76" s="1" t="e">
        <f t="shared" ca="1" si="21"/>
        <v>#NAME?</v>
      </c>
      <c r="Y76" s="1" t="e">
        <f ca="1"/>
        <v>#NAME?</v>
      </c>
      <c r="Z76" s="1" t="e">
        <f t="shared" ca="1" si="22"/>
        <v>#NAME?</v>
      </c>
      <c r="AA76" s="1" t="e">
        <f ca="1"/>
        <v>#NAME?</v>
      </c>
      <c r="AB76" s="1" t="e">
        <f t="shared" ca="1" si="23"/>
        <v>#NAME?</v>
      </c>
      <c r="AC76" s="1" t="e">
        <f ca="1"/>
        <v>#NAME?</v>
      </c>
      <c r="AD76" s="1" t="e">
        <f t="shared" ca="1" si="24"/>
        <v>#NAME?</v>
      </c>
      <c r="AE76" s="1" t="e">
        <f ca="1"/>
        <v>#NAME?</v>
      </c>
      <c r="AF76" s="1" t="e">
        <f t="shared" ca="1" si="25"/>
        <v>#NAME?</v>
      </c>
      <c r="AG76" s="1" t="e">
        <f ca="1"/>
        <v>#NAME?</v>
      </c>
      <c r="AH76" s="1" t="e">
        <f t="shared" ca="1" si="26"/>
        <v>#NAME?</v>
      </c>
      <c r="AI76" s="1" t="e">
        <f ca="1"/>
        <v>#NAME?</v>
      </c>
      <c r="AJ76" s="1" t="e">
        <f t="shared" ca="1" si="35"/>
        <v>#NAME?</v>
      </c>
      <c r="AK76" s="1" t="e">
        <f ca="1"/>
        <v>#NAME?</v>
      </c>
      <c r="AL76" s="1" t="e">
        <f t="shared" ca="1" si="27"/>
        <v>#NAME?</v>
      </c>
      <c r="AN76" s="1">
        <f t="shared" si="17"/>
        <v>3.3921191796397911</v>
      </c>
      <c r="AO76" s="1" t="e">
        <f ca="1"/>
        <v>#NAME?</v>
      </c>
      <c r="AP76" s="1" t="e">
        <f t="shared" ca="1" si="18"/>
        <v>#NAME?</v>
      </c>
    </row>
    <row r="77" spans="1:42" x14ac:dyDescent="0.25">
      <c r="A77" s="1" t="s">
        <v>92</v>
      </c>
      <c r="B77" s="1">
        <v>76</v>
      </c>
      <c r="C77" s="1">
        <v>6734.0690000000004</v>
      </c>
      <c r="D77" s="1">
        <f t="shared" si="28"/>
        <v>3.8282775620321301</v>
      </c>
      <c r="E77" s="1">
        <v>4221.3100000000004</v>
      </c>
      <c r="F77" s="1">
        <f t="shared" si="29"/>
        <v>3.6254472465741703</v>
      </c>
      <c r="G77" s="1">
        <v>972.13900000000001</v>
      </c>
      <c r="H77" s="1">
        <f t="shared" si="30"/>
        <v>2.9877283663841308</v>
      </c>
      <c r="I77" s="1">
        <v>1700.067</v>
      </c>
      <c r="J77" s="1">
        <f t="shared" si="31"/>
        <v>0.25245761515066151</v>
      </c>
      <c r="K77" s="1">
        <f t="shared" si="32"/>
        <v>3.2304660373529246</v>
      </c>
      <c r="L77" s="1">
        <v>351.178</v>
      </c>
      <c r="M77" s="1">
        <f t="shared" si="33"/>
        <v>2.5455273011467301</v>
      </c>
      <c r="N77" s="1">
        <v>437.92399999999998</v>
      </c>
      <c r="O77" s="1">
        <f t="shared" si="34"/>
        <v>2.6413987469321287</v>
      </c>
      <c r="P77" s="1">
        <v>-86.745999999999995</v>
      </c>
      <c r="Q77" s="1" t="e">
        <f ca="1"/>
        <v>#NAME?</v>
      </c>
      <c r="R77" s="1" t="e">
        <f t="shared" ca="1" si="19"/>
        <v>#NAME?</v>
      </c>
      <c r="S77" s="4">
        <v>1220456000000</v>
      </c>
      <c r="T77" s="1">
        <v>88339.333333333299</v>
      </c>
      <c r="U77" s="1" t="e">
        <f ca="1"/>
        <v>#NAME?</v>
      </c>
      <c r="V77" s="1" t="e">
        <f t="shared" ca="1" si="20"/>
        <v>#NAME?</v>
      </c>
      <c r="W77" s="1" t="e">
        <f ca="1"/>
        <v>#NAME?</v>
      </c>
      <c r="X77" s="1" t="e">
        <f t="shared" ca="1" si="21"/>
        <v>#NAME?</v>
      </c>
      <c r="Y77" s="1" t="e">
        <f ca="1"/>
        <v>#NAME?</v>
      </c>
      <c r="Z77" s="1" t="e">
        <f t="shared" ca="1" si="22"/>
        <v>#NAME?</v>
      </c>
      <c r="AA77" s="1" t="e">
        <f ca="1"/>
        <v>#NAME?</v>
      </c>
      <c r="AB77" s="1" t="e">
        <f t="shared" ca="1" si="23"/>
        <v>#NAME?</v>
      </c>
      <c r="AC77" s="1" t="e">
        <f ca="1"/>
        <v>#NAME?</v>
      </c>
      <c r="AD77" s="1" t="e">
        <f t="shared" ca="1" si="24"/>
        <v>#NAME?</v>
      </c>
      <c r="AE77" s="1" t="e">
        <f ca="1"/>
        <v>#NAME?</v>
      </c>
      <c r="AF77" s="1" t="e">
        <f t="shared" ca="1" si="25"/>
        <v>#NAME?</v>
      </c>
      <c r="AG77" s="1" t="e">
        <f ca="1"/>
        <v>#NAME?</v>
      </c>
      <c r="AH77" s="1" t="e">
        <f t="shared" ca="1" si="26"/>
        <v>#NAME?</v>
      </c>
      <c r="AI77" s="1" t="e">
        <f ca="1"/>
        <v>#NAME?</v>
      </c>
      <c r="AJ77" s="1" t="e">
        <f t="shared" ca="1" si="35"/>
        <v>#NAME?</v>
      </c>
      <c r="AK77" s="1" t="e">
        <f ca="1"/>
        <v>#NAME?</v>
      </c>
      <c r="AL77" s="1" t="e">
        <f t="shared" ca="1" si="27"/>
        <v>#NAME?</v>
      </c>
      <c r="AN77" s="1">
        <f t="shared" si="17"/>
        <v>3.39159096120484</v>
      </c>
      <c r="AO77" s="1" t="e">
        <f ca="1"/>
        <v>#NAME?</v>
      </c>
      <c r="AP77" s="1" t="e">
        <f t="shared" ca="1" si="18"/>
        <v>#NAME?</v>
      </c>
    </row>
    <row r="78" spans="1:42" x14ac:dyDescent="0.25">
      <c r="A78" s="1" t="s">
        <v>93</v>
      </c>
      <c r="B78" s="1">
        <v>77</v>
      </c>
      <c r="C78" s="1">
        <v>6746.1760000000004</v>
      </c>
      <c r="D78" s="1">
        <f t="shared" si="28"/>
        <v>3.8290576672462668</v>
      </c>
      <c r="E78" s="1">
        <v>4243.1729999999998</v>
      </c>
      <c r="F78" s="1">
        <f t="shared" si="29"/>
        <v>3.6276907389110211</v>
      </c>
      <c r="G78" s="1">
        <v>973.75400000000002</v>
      </c>
      <c r="H78" s="1">
        <f t="shared" si="30"/>
        <v>2.988449254685098</v>
      </c>
      <c r="I78" s="1">
        <v>1683.258</v>
      </c>
      <c r="J78" s="1">
        <f t="shared" si="31"/>
        <v>0.24951290923924901</v>
      </c>
      <c r="K78" s="1">
        <f t="shared" si="32"/>
        <v>3.2261506872110353</v>
      </c>
      <c r="L78" s="1">
        <v>351.45299999999997</v>
      </c>
      <c r="M78" s="1">
        <f t="shared" si="33"/>
        <v>2.5458672548026939</v>
      </c>
      <c r="N78" s="1">
        <v>436.73399999999998</v>
      </c>
      <c r="O78" s="1">
        <f t="shared" si="34"/>
        <v>2.6402170033195502</v>
      </c>
      <c r="P78" s="1">
        <v>-85.281000000000006</v>
      </c>
      <c r="Q78" s="1" t="e">
        <f ca="1"/>
        <v>#NAME?</v>
      </c>
      <c r="R78" s="1" t="e">
        <f t="shared" ca="1" si="19"/>
        <v>#NAME?</v>
      </c>
      <c r="S78" s="4">
        <v>1216210000000</v>
      </c>
      <c r="T78" s="1">
        <v>89114</v>
      </c>
      <c r="U78" s="1" t="e">
        <f ca="1"/>
        <v>#NAME?</v>
      </c>
      <c r="V78" s="1" t="e">
        <f t="shared" ca="1" si="20"/>
        <v>#NAME?</v>
      </c>
      <c r="W78" s="1" t="e">
        <f ca="1"/>
        <v>#NAME?</v>
      </c>
      <c r="X78" s="1" t="e">
        <f t="shared" ca="1" si="21"/>
        <v>#NAME?</v>
      </c>
      <c r="Y78" s="1" t="e">
        <f ca="1"/>
        <v>#NAME?</v>
      </c>
      <c r="Z78" s="1" t="e">
        <f t="shared" ca="1" si="22"/>
        <v>#NAME?</v>
      </c>
      <c r="AA78" s="1" t="e">
        <f ca="1"/>
        <v>#NAME?</v>
      </c>
      <c r="AB78" s="1" t="e">
        <f t="shared" ca="1" si="23"/>
        <v>#NAME?</v>
      </c>
      <c r="AC78" s="1" t="e">
        <f ca="1"/>
        <v>#NAME?</v>
      </c>
      <c r="AD78" s="1" t="e">
        <f t="shared" ca="1" si="24"/>
        <v>#NAME?</v>
      </c>
      <c r="AE78" s="1" t="e">
        <f ca="1"/>
        <v>#NAME?</v>
      </c>
      <c r="AF78" s="1" t="e">
        <f t="shared" ca="1" si="25"/>
        <v>#NAME?</v>
      </c>
      <c r="AG78" s="1" t="e">
        <f ca="1"/>
        <v>#NAME?</v>
      </c>
      <c r="AH78" s="1" t="e">
        <f t="shared" ca="1" si="26"/>
        <v>#NAME?</v>
      </c>
      <c r="AI78" s="1" t="e">
        <f ca="1"/>
        <v>#NAME?</v>
      </c>
      <c r="AJ78" s="1" t="e">
        <f t="shared" ca="1" si="35"/>
        <v>#NAME?</v>
      </c>
      <c r="AK78" s="1" t="e">
        <f ca="1"/>
        <v>#NAME?</v>
      </c>
      <c r="AL78" s="1" t="e">
        <f t="shared" ca="1" si="27"/>
        <v>#NAME?</v>
      </c>
      <c r="AN78" s="1">
        <f t="shared" si="17"/>
        <v>3.3904891817422822</v>
      </c>
      <c r="AO78" s="1" t="e">
        <f ca="1"/>
        <v>#NAME?</v>
      </c>
      <c r="AP78" s="1" t="e">
        <f t="shared" ca="1" si="18"/>
        <v>#NAME?</v>
      </c>
    </row>
    <row r="79" spans="1:42" x14ac:dyDescent="0.25">
      <c r="A79" s="1" t="s">
        <v>94</v>
      </c>
      <c r="B79" s="1">
        <v>78</v>
      </c>
      <c r="C79" s="1">
        <v>6753.3890000000001</v>
      </c>
      <c r="D79" s="1">
        <f t="shared" si="28"/>
        <v>3.829521766111093</v>
      </c>
      <c r="E79" s="1">
        <v>4240.4189999999999</v>
      </c>
      <c r="F79" s="1">
        <f t="shared" si="29"/>
        <v>3.6274087717807828</v>
      </c>
      <c r="G79" s="1">
        <v>972.87699999999995</v>
      </c>
      <c r="H79" s="1">
        <f t="shared" si="30"/>
        <v>2.9880579362622455</v>
      </c>
      <c r="I79" s="1">
        <v>1699.6590000000001</v>
      </c>
      <c r="J79" s="1">
        <f t="shared" si="31"/>
        <v>0.25167497385386806</v>
      </c>
      <c r="K79" s="1">
        <f t="shared" si="32"/>
        <v>3.2303617982763244</v>
      </c>
      <c r="L79" s="1">
        <v>352.36900000000003</v>
      </c>
      <c r="M79" s="1">
        <f t="shared" si="33"/>
        <v>2.5469976939479064</v>
      </c>
      <c r="N79" s="1">
        <v>439.09199999999998</v>
      </c>
      <c r="O79" s="1">
        <f t="shared" si="34"/>
        <v>2.6425555245844485</v>
      </c>
      <c r="P79" s="1">
        <v>-86.722999999999999</v>
      </c>
      <c r="Q79" s="1" t="e">
        <f ca="1"/>
        <v>#NAME?</v>
      </c>
      <c r="R79" s="1" t="e">
        <f t="shared" ca="1" si="19"/>
        <v>#NAME?</v>
      </c>
      <c r="S79" s="4">
        <v>1219844000000</v>
      </c>
      <c r="T79" s="1">
        <v>89771.333333333299</v>
      </c>
      <c r="U79" s="1" t="e">
        <f ca="1"/>
        <v>#NAME?</v>
      </c>
      <c r="V79" s="1" t="e">
        <f t="shared" ca="1" si="20"/>
        <v>#NAME?</v>
      </c>
      <c r="W79" s="1" t="e">
        <f ca="1"/>
        <v>#NAME?</v>
      </c>
      <c r="X79" s="1" t="e">
        <f t="shared" ca="1" si="21"/>
        <v>#NAME?</v>
      </c>
      <c r="Y79" s="1" t="e">
        <f ca="1"/>
        <v>#NAME?</v>
      </c>
      <c r="Z79" s="1" t="e">
        <f t="shared" ca="1" si="22"/>
        <v>#NAME?</v>
      </c>
      <c r="AA79" s="1" t="e">
        <f ca="1"/>
        <v>#NAME?</v>
      </c>
      <c r="AB79" s="1" t="e">
        <f t="shared" ca="1" si="23"/>
        <v>#NAME?</v>
      </c>
      <c r="AC79" s="1" t="e">
        <f ca="1"/>
        <v>#NAME?</v>
      </c>
      <c r="AD79" s="1" t="e">
        <f t="shared" ca="1" si="24"/>
        <v>#NAME?</v>
      </c>
      <c r="AE79" s="1" t="e">
        <f ca="1"/>
        <v>#NAME?</v>
      </c>
      <c r="AF79" s="1" t="e">
        <f t="shared" ca="1" si="25"/>
        <v>#NAME?</v>
      </c>
      <c r="AG79" s="1" t="e">
        <f ca="1"/>
        <v>#NAME?</v>
      </c>
      <c r="AH79" s="1" t="e">
        <f t="shared" ca="1" si="26"/>
        <v>#NAME?</v>
      </c>
      <c r="AI79" s="1" t="e">
        <f ca="1"/>
        <v>#NAME?</v>
      </c>
      <c r="AJ79" s="1" t="e">
        <f t="shared" ca="1" si="35"/>
        <v>#NAME?</v>
      </c>
      <c r="AK79" s="1" t="e">
        <f ca="1"/>
        <v>#NAME?</v>
      </c>
      <c r="AL79" s="1" t="e">
        <f t="shared" ca="1" si="27"/>
        <v>#NAME?</v>
      </c>
      <c r="AN79" s="1">
        <f t="shared" si="17"/>
        <v>3.3884441077398373</v>
      </c>
      <c r="AO79" s="1" t="e">
        <f ca="1"/>
        <v>#NAME?</v>
      </c>
      <c r="AP79" s="1" t="e">
        <f t="shared" ca="1" si="18"/>
        <v>#NAME?</v>
      </c>
    </row>
    <row r="80" spans="1:42" x14ac:dyDescent="0.25">
      <c r="A80" s="1" t="s">
        <v>95</v>
      </c>
      <c r="B80" s="1">
        <v>79</v>
      </c>
      <c r="C80" s="1">
        <v>6803.558</v>
      </c>
      <c r="D80" s="1">
        <f t="shared" si="28"/>
        <v>3.8327360914784143</v>
      </c>
      <c r="E80" s="1">
        <v>4281.6819999999998</v>
      </c>
      <c r="F80" s="1">
        <f t="shared" si="29"/>
        <v>3.6316144091579377</v>
      </c>
      <c r="G80" s="1">
        <v>956.49300000000005</v>
      </c>
      <c r="H80" s="1">
        <f t="shared" si="30"/>
        <v>2.9806817960334691</v>
      </c>
      <c r="I80" s="1">
        <v>1704.624</v>
      </c>
      <c r="J80" s="1">
        <f t="shared" si="31"/>
        <v>0.25054890397054014</v>
      </c>
      <c r="K80" s="1">
        <f t="shared" si="32"/>
        <v>3.2316285987341695</v>
      </c>
      <c r="L80" s="1">
        <v>365.05</v>
      </c>
      <c r="M80" s="1">
        <f t="shared" si="33"/>
        <v>2.5623523527768066</v>
      </c>
      <c r="N80" s="1">
        <v>432.38600000000002</v>
      </c>
      <c r="O80" s="1">
        <f t="shared" si="34"/>
        <v>2.6358716237151807</v>
      </c>
      <c r="P80" s="1">
        <v>-67.335999999999999</v>
      </c>
      <c r="Q80" s="1" t="e">
        <f ca="1"/>
        <v>#NAME?</v>
      </c>
      <c r="R80" s="1" t="e">
        <f t="shared" ca="1" si="19"/>
        <v>#NAME?</v>
      </c>
      <c r="S80" s="4">
        <v>1248048000000</v>
      </c>
      <c r="T80" s="1">
        <v>90281.333333333299</v>
      </c>
      <c r="U80" s="1" t="e">
        <f ca="1"/>
        <v>#NAME?</v>
      </c>
      <c r="V80" s="1" t="e">
        <f t="shared" ca="1" si="20"/>
        <v>#NAME?</v>
      </c>
      <c r="W80" s="1" t="e">
        <f ca="1"/>
        <v>#NAME?</v>
      </c>
      <c r="X80" s="1" t="e">
        <f t="shared" ca="1" si="21"/>
        <v>#NAME?</v>
      </c>
      <c r="Y80" s="1" t="e">
        <f ca="1"/>
        <v>#NAME?</v>
      </c>
      <c r="Z80" s="1" t="e">
        <f t="shared" ca="1" si="22"/>
        <v>#NAME?</v>
      </c>
      <c r="AA80" s="1" t="e">
        <f ca="1"/>
        <v>#NAME?</v>
      </c>
      <c r="AB80" s="1" t="e">
        <f t="shared" ca="1" si="23"/>
        <v>#NAME?</v>
      </c>
      <c r="AC80" s="1" t="e">
        <f ca="1"/>
        <v>#NAME?</v>
      </c>
      <c r="AD80" s="1" t="e">
        <f t="shared" ca="1" si="24"/>
        <v>#NAME?</v>
      </c>
      <c r="AE80" s="1" t="e">
        <f ca="1"/>
        <v>#NAME?</v>
      </c>
      <c r="AF80" s="1" t="e">
        <f t="shared" ca="1" si="25"/>
        <v>#NAME?</v>
      </c>
      <c r="AG80" s="1" t="e">
        <f ca="1"/>
        <v>#NAME?</v>
      </c>
      <c r="AH80" s="1" t="e">
        <f t="shared" ca="1" si="26"/>
        <v>#NAME?</v>
      </c>
      <c r="AI80" s="1" t="e">
        <f ca="1"/>
        <v>#NAME?</v>
      </c>
      <c r="AJ80" s="1" t="e">
        <f t="shared" ca="1" si="35"/>
        <v>#NAME?</v>
      </c>
      <c r="AK80" s="1" t="e">
        <f ca="1"/>
        <v>#NAME?</v>
      </c>
      <c r="AL80" s="1" t="e">
        <f t="shared" ca="1" si="27"/>
        <v>#NAME?</v>
      </c>
      <c r="AN80" s="1">
        <f t="shared" si="17"/>
        <v>3.3865101303477587</v>
      </c>
      <c r="AO80" s="1" t="e">
        <f ca="1"/>
        <v>#NAME?</v>
      </c>
      <c r="AP80" s="1" t="e">
        <f t="shared" ca="1" si="18"/>
        <v>#NAME?</v>
      </c>
    </row>
    <row r="81" spans="1:42" x14ac:dyDescent="0.25">
      <c r="A81" s="1" t="s">
        <v>96</v>
      </c>
      <c r="B81" s="1">
        <v>80</v>
      </c>
      <c r="C81" s="1">
        <v>6820.5720000000001</v>
      </c>
      <c r="D81" s="1">
        <f t="shared" si="28"/>
        <v>3.8338207978275594</v>
      </c>
      <c r="E81" s="1">
        <v>4292.335</v>
      </c>
      <c r="F81" s="1">
        <f t="shared" si="29"/>
        <v>3.6326936096065601</v>
      </c>
      <c r="G81" s="1">
        <v>939.52599999999995</v>
      </c>
      <c r="H81" s="1">
        <f t="shared" si="30"/>
        <v>2.9729088030637802</v>
      </c>
      <c r="I81" s="1">
        <v>1715.85</v>
      </c>
      <c r="J81" s="1">
        <f t="shared" si="31"/>
        <v>0.25156980968751591</v>
      </c>
      <c r="K81" s="1">
        <f t="shared" si="32"/>
        <v>3.2344793190490142</v>
      </c>
      <c r="L81" s="1">
        <v>388.01900000000001</v>
      </c>
      <c r="M81" s="1">
        <f t="shared" si="33"/>
        <v>2.5888529920713368</v>
      </c>
      <c r="N81" s="1">
        <v>441.81599999999997</v>
      </c>
      <c r="O81" s="1">
        <f t="shared" si="34"/>
        <v>2.6452414394346646</v>
      </c>
      <c r="P81" s="1">
        <v>-53.796999999999997</v>
      </c>
      <c r="Q81" s="1" t="e">
        <f ca="1"/>
        <v>#NAME?</v>
      </c>
      <c r="R81" s="1" t="e">
        <f t="shared" ca="1" si="19"/>
        <v>#NAME?</v>
      </c>
      <c r="S81" s="4">
        <v>1238856000000</v>
      </c>
      <c r="T81" s="1">
        <v>90575.333333333299</v>
      </c>
      <c r="U81" s="1" t="e">
        <f ca="1"/>
        <v>#NAME?</v>
      </c>
      <c r="V81" s="1" t="e">
        <f t="shared" ca="1" si="20"/>
        <v>#NAME?</v>
      </c>
      <c r="W81" s="1" t="e">
        <f ca="1"/>
        <v>#NAME?</v>
      </c>
      <c r="X81" s="1" t="e">
        <f t="shared" ca="1" si="21"/>
        <v>#NAME?</v>
      </c>
      <c r="Y81" s="1" t="e">
        <f ca="1"/>
        <v>#NAME?</v>
      </c>
      <c r="Z81" s="1" t="e">
        <f t="shared" ca="1" si="22"/>
        <v>#NAME?</v>
      </c>
      <c r="AA81" s="1" t="e">
        <f ca="1"/>
        <v>#NAME?</v>
      </c>
      <c r="AB81" s="1" t="e">
        <f t="shared" ca="1" si="23"/>
        <v>#NAME?</v>
      </c>
      <c r="AC81" s="1" t="e">
        <f ca="1"/>
        <v>#NAME?</v>
      </c>
      <c r="AD81" s="1" t="e">
        <f t="shared" ca="1" si="24"/>
        <v>#NAME?</v>
      </c>
      <c r="AE81" s="1" t="e">
        <f ca="1"/>
        <v>#NAME?</v>
      </c>
      <c r="AF81" s="1" t="e">
        <f t="shared" ca="1" si="25"/>
        <v>#NAME?</v>
      </c>
      <c r="AG81" s="1" t="e">
        <f ca="1"/>
        <v>#NAME?</v>
      </c>
      <c r="AH81" s="1" t="e">
        <f t="shared" ca="1" si="26"/>
        <v>#NAME?</v>
      </c>
      <c r="AI81" s="1" t="e">
        <f ca="1"/>
        <v>#NAME?</v>
      </c>
      <c r="AJ81" s="1" t="e">
        <f t="shared" ca="1" si="35"/>
        <v>#NAME?</v>
      </c>
      <c r="AK81" s="1" t="e">
        <f ca="1"/>
        <v>#NAME?</v>
      </c>
      <c r="AL81" s="1" t="e">
        <f t="shared" ca="1" si="27"/>
        <v>#NAME?</v>
      </c>
      <c r="AN81" s="1">
        <f t="shared" si="17"/>
        <v>3.3878469373195665</v>
      </c>
      <c r="AO81" s="1" t="e">
        <f ca="1"/>
        <v>#NAME?</v>
      </c>
      <c r="AP81" s="1" t="e">
        <f t="shared" ca="1" si="18"/>
        <v>#NAME?</v>
      </c>
    </row>
    <row r="82" spans="1:42" x14ac:dyDescent="0.25">
      <c r="A82" s="1" t="s">
        <v>97</v>
      </c>
      <c r="B82" s="1">
        <v>81</v>
      </c>
      <c r="C82" s="1">
        <v>6842.0240000000003</v>
      </c>
      <c r="D82" s="1">
        <f t="shared" si="28"/>
        <v>3.8351845932412223</v>
      </c>
      <c r="E82" s="1">
        <v>4286.2</v>
      </c>
      <c r="F82" s="1">
        <f t="shared" si="29"/>
        <v>3.6320724319577629</v>
      </c>
      <c r="G82" s="1">
        <v>933.101</v>
      </c>
      <c r="H82" s="1">
        <f t="shared" si="30"/>
        <v>2.969928654859741</v>
      </c>
      <c r="I82" s="1">
        <v>1741.0340000000001</v>
      </c>
      <c r="J82" s="1">
        <f t="shared" si="31"/>
        <v>0.25446183760828667</v>
      </c>
      <c r="K82" s="1">
        <f t="shared" si="32"/>
        <v>3.2408072523741973</v>
      </c>
      <c r="L82" s="1">
        <v>398.84800000000001</v>
      </c>
      <c r="M82" s="1">
        <f t="shared" si="33"/>
        <v>2.6008074186483952</v>
      </c>
      <c r="N82" s="1">
        <v>442.11700000000002</v>
      </c>
      <c r="O82" s="1">
        <f t="shared" si="34"/>
        <v>2.6455372144404752</v>
      </c>
      <c r="P82" s="1">
        <v>-43.268999999999998</v>
      </c>
      <c r="Q82" s="1" t="e">
        <f ca="1"/>
        <v>#NAME?</v>
      </c>
      <c r="R82" s="1" t="e">
        <f t="shared" ca="1" si="19"/>
        <v>#NAME?</v>
      </c>
      <c r="S82" s="4">
        <v>1233790000000</v>
      </c>
      <c r="T82" s="1">
        <v>90892.333333333299</v>
      </c>
      <c r="U82" s="1" t="e">
        <f ca="1"/>
        <v>#NAME?</v>
      </c>
      <c r="V82" s="1" t="e">
        <f t="shared" ca="1" si="20"/>
        <v>#NAME?</v>
      </c>
      <c r="W82" s="1" t="e">
        <f ca="1"/>
        <v>#NAME?</v>
      </c>
      <c r="X82" s="1" t="e">
        <f t="shared" ca="1" si="21"/>
        <v>#NAME?</v>
      </c>
      <c r="Y82" s="1" t="e">
        <f ca="1"/>
        <v>#NAME?</v>
      </c>
      <c r="Z82" s="1" t="e">
        <f t="shared" ca="1" si="22"/>
        <v>#NAME?</v>
      </c>
      <c r="AA82" s="1" t="e">
        <f ca="1"/>
        <v>#NAME?</v>
      </c>
      <c r="AB82" s="1" t="e">
        <f t="shared" ca="1" si="23"/>
        <v>#NAME?</v>
      </c>
      <c r="AC82" s="1" t="e">
        <f ca="1"/>
        <v>#NAME?</v>
      </c>
      <c r="AD82" s="1" t="e">
        <f t="shared" ca="1" si="24"/>
        <v>#NAME?</v>
      </c>
      <c r="AE82" s="1" t="e">
        <f ca="1"/>
        <v>#NAME?</v>
      </c>
      <c r="AF82" s="1" t="e">
        <f t="shared" ca="1" si="25"/>
        <v>#NAME?</v>
      </c>
      <c r="AG82" s="1" t="e">
        <f ca="1"/>
        <v>#NAME?</v>
      </c>
      <c r="AH82" s="1" t="e">
        <f t="shared" ca="1" si="26"/>
        <v>#NAME?</v>
      </c>
      <c r="AI82" s="1" t="e">
        <f ca="1"/>
        <v>#NAME?</v>
      </c>
      <c r="AJ82" s="1" t="e">
        <f t="shared" ca="1" si="35"/>
        <v>#NAME?</v>
      </c>
      <c r="AK82" s="1" t="e">
        <f ca="1"/>
        <v>#NAME?</v>
      </c>
      <c r="AL82" s="1" t="e">
        <f t="shared" ca="1" si="27"/>
        <v>#NAME?</v>
      </c>
      <c r="AN82" s="1">
        <f t="shared" si="17"/>
        <v>3.3888803031020895</v>
      </c>
      <c r="AO82" s="1" t="e">
        <f ca="1"/>
        <v>#NAME?</v>
      </c>
      <c r="AP82" s="1" t="e">
        <f t="shared" ca="1" si="18"/>
        <v>#NAME?</v>
      </c>
    </row>
    <row r="83" spans="1:42" x14ac:dyDescent="0.25">
      <c r="A83" s="1" t="s">
        <v>98</v>
      </c>
      <c r="B83" s="1">
        <v>82</v>
      </c>
      <c r="C83" s="1">
        <v>6701.0460000000003</v>
      </c>
      <c r="D83" s="1">
        <f t="shared" si="28"/>
        <v>3.8261425992040237</v>
      </c>
      <c r="E83" s="1">
        <v>4189.6710000000003</v>
      </c>
      <c r="F83" s="1">
        <f t="shared" si="29"/>
        <v>3.6221799207003187</v>
      </c>
      <c r="G83" s="1">
        <v>853.76</v>
      </c>
      <c r="H83" s="1">
        <f t="shared" si="30"/>
        <v>2.9313358035644175</v>
      </c>
      <c r="I83" s="1">
        <v>1744.4559999999999</v>
      </c>
      <c r="J83" s="1">
        <f t="shared" si="31"/>
        <v>0.26032592523614967</v>
      </c>
      <c r="K83" s="1">
        <f t="shared" si="32"/>
        <v>3.2416600198155474</v>
      </c>
      <c r="L83" s="1">
        <v>406.36700000000002</v>
      </c>
      <c r="M83" s="1">
        <f t="shared" si="33"/>
        <v>2.6089184327901154</v>
      </c>
      <c r="N83" s="1">
        <v>410.012</v>
      </c>
      <c r="O83" s="1">
        <f t="shared" si="34"/>
        <v>2.6127965675917304</v>
      </c>
      <c r="P83" s="1">
        <v>-3.64499999999998</v>
      </c>
      <c r="Q83" s="1" t="e">
        <f ca="1"/>
        <v>#NAME?</v>
      </c>
      <c r="R83" s="1" t="e">
        <f t="shared" ca="1" si="19"/>
        <v>#NAME?</v>
      </c>
      <c r="S83" s="4">
        <v>1144041000000</v>
      </c>
      <c r="T83" s="1">
        <v>90456.666666666701</v>
      </c>
      <c r="U83" s="1" t="e">
        <f ca="1"/>
        <v>#NAME?</v>
      </c>
      <c r="V83" s="1" t="e">
        <f t="shared" ca="1" si="20"/>
        <v>#NAME?</v>
      </c>
      <c r="W83" s="1" t="e">
        <f ca="1"/>
        <v>#NAME?</v>
      </c>
      <c r="X83" s="1" t="e">
        <f t="shared" ca="1" si="21"/>
        <v>#NAME?</v>
      </c>
      <c r="Y83" s="1" t="e">
        <f ca="1"/>
        <v>#NAME?</v>
      </c>
      <c r="Z83" s="1" t="e">
        <f t="shared" ca="1" si="22"/>
        <v>#NAME?</v>
      </c>
      <c r="AA83" s="1" t="e">
        <f ca="1"/>
        <v>#NAME?</v>
      </c>
      <c r="AB83" s="1" t="e">
        <f t="shared" ca="1" si="23"/>
        <v>#NAME?</v>
      </c>
      <c r="AC83" s="1" t="e">
        <f ca="1"/>
        <v>#NAME?</v>
      </c>
      <c r="AD83" s="1" t="e">
        <f t="shared" ca="1" si="24"/>
        <v>#NAME?</v>
      </c>
      <c r="AE83" s="1" t="e">
        <f ca="1"/>
        <v>#NAME?</v>
      </c>
      <c r="AF83" s="1" t="e">
        <f t="shared" ca="1" si="25"/>
        <v>#NAME?</v>
      </c>
      <c r="AG83" s="1" t="e">
        <f ca="1"/>
        <v>#NAME?</v>
      </c>
      <c r="AH83" s="1" t="e">
        <f t="shared" ca="1" si="26"/>
        <v>#NAME?</v>
      </c>
      <c r="AI83" s="1" t="e">
        <f ca="1"/>
        <v>#NAME?</v>
      </c>
      <c r="AJ83" s="1" t="e">
        <f t="shared" ca="1" si="35"/>
        <v>#NAME?</v>
      </c>
      <c r="AK83" s="1" t="e">
        <f ca="1"/>
        <v>#NAME?</v>
      </c>
      <c r="AL83" s="1" t="e">
        <f t="shared" ca="1" si="27"/>
        <v>#NAME?</v>
      </c>
      <c r="AN83" s="1">
        <f t="shared" si="17"/>
        <v>3.3929816560358743</v>
      </c>
      <c r="AO83" s="1" t="e">
        <f ca="1"/>
        <v>#NAME?</v>
      </c>
      <c r="AP83" s="1" t="e">
        <f t="shared" ca="1" si="18"/>
        <v>#NAME?</v>
      </c>
    </row>
    <row r="84" spans="1:42" x14ac:dyDescent="0.25">
      <c r="A84" s="1" t="s">
        <v>99</v>
      </c>
      <c r="B84" s="1">
        <v>83</v>
      </c>
      <c r="C84" s="1">
        <v>6693.0820000000003</v>
      </c>
      <c r="D84" s="1">
        <f t="shared" si="28"/>
        <v>3.8256261457758542</v>
      </c>
      <c r="E84" s="1">
        <v>4235.6289999999999</v>
      </c>
      <c r="F84" s="1">
        <f t="shared" si="29"/>
        <v>3.6269179131188758</v>
      </c>
      <c r="G84" s="1">
        <v>797.41099999999994</v>
      </c>
      <c r="H84" s="1">
        <f t="shared" si="30"/>
        <v>2.9016822223049945</v>
      </c>
      <c r="I84" s="1">
        <v>1720.713</v>
      </c>
      <c r="J84" s="1">
        <f t="shared" si="31"/>
        <v>0.25708828907220915</v>
      </c>
      <c r="K84" s="1">
        <f t="shared" si="32"/>
        <v>3.2357084398160127</v>
      </c>
      <c r="L84" s="1">
        <v>405.50099999999998</v>
      </c>
      <c r="M84" s="1">
        <f t="shared" si="33"/>
        <v>2.6079919295556739</v>
      </c>
      <c r="N84" s="1">
        <v>380.50700000000001</v>
      </c>
      <c r="O84" s="1">
        <f t="shared" si="34"/>
        <v>2.5803626506819133</v>
      </c>
      <c r="P84" s="1">
        <v>24.994</v>
      </c>
      <c r="Q84" s="1" t="e">
        <f ca="1"/>
        <v>#NAME?</v>
      </c>
      <c r="R84" s="1" t="e">
        <f t="shared" ca="1" si="19"/>
        <v>#NAME?</v>
      </c>
      <c r="S84" s="4">
        <v>1148860000000</v>
      </c>
      <c r="T84" s="1">
        <v>90050.666666666701</v>
      </c>
      <c r="U84" s="1" t="e">
        <f ca="1"/>
        <v>#NAME?</v>
      </c>
      <c r="V84" s="1" t="e">
        <f t="shared" ca="1" si="20"/>
        <v>#NAME?</v>
      </c>
      <c r="W84" s="1" t="e">
        <f ca="1"/>
        <v>#NAME?</v>
      </c>
      <c r="X84" s="1" t="e">
        <f t="shared" ca="1" si="21"/>
        <v>#NAME?</v>
      </c>
      <c r="Y84" s="1" t="e">
        <f ca="1"/>
        <v>#NAME?</v>
      </c>
      <c r="Z84" s="1" t="e">
        <f t="shared" ca="1" si="22"/>
        <v>#NAME?</v>
      </c>
      <c r="AA84" s="1" t="e">
        <f ca="1"/>
        <v>#NAME?</v>
      </c>
      <c r="AB84" s="1" t="e">
        <f t="shared" ca="1" si="23"/>
        <v>#NAME?</v>
      </c>
      <c r="AC84" s="1" t="e">
        <f ca="1"/>
        <v>#NAME?</v>
      </c>
      <c r="AD84" s="1" t="e">
        <f t="shared" ca="1" si="24"/>
        <v>#NAME?</v>
      </c>
      <c r="AE84" s="1" t="e">
        <f ca="1"/>
        <v>#NAME?</v>
      </c>
      <c r="AF84" s="1" t="e">
        <f t="shared" ca="1" si="25"/>
        <v>#NAME?</v>
      </c>
      <c r="AG84" s="1" t="e">
        <f ca="1"/>
        <v>#NAME?</v>
      </c>
      <c r="AH84" s="1" t="e">
        <f t="shared" ca="1" si="26"/>
        <v>#NAME?</v>
      </c>
      <c r="AI84" s="1" t="e">
        <f ca="1"/>
        <v>#NAME?</v>
      </c>
      <c r="AJ84" s="1" t="e">
        <f t="shared" ca="1" si="35"/>
        <v>#NAME?</v>
      </c>
      <c r="AK84" s="1" t="e">
        <f ca="1"/>
        <v>#NAME?</v>
      </c>
      <c r="AL84" s="1" t="e">
        <f t="shared" ca="1" si="27"/>
        <v>#NAME?</v>
      </c>
      <c r="AN84" s="1">
        <f t="shared" si="17"/>
        <v>3.3930583498953837</v>
      </c>
      <c r="AO84" s="1" t="e">
        <f ca="1"/>
        <v>#NAME?</v>
      </c>
      <c r="AP84" s="1" t="e">
        <f t="shared" ca="1" si="18"/>
        <v>#NAME?</v>
      </c>
    </row>
    <row r="85" spans="1:42" x14ac:dyDescent="0.25">
      <c r="A85" s="1" t="s">
        <v>100</v>
      </c>
      <c r="B85" s="1">
        <v>84</v>
      </c>
      <c r="C85" s="1">
        <v>6817.9030000000002</v>
      </c>
      <c r="D85" s="1">
        <f t="shared" si="28"/>
        <v>3.833650818121324</v>
      </c>
      <c r="E85" s="1">
        <v>4292.8559999999998</v>
      </c>
      <c r="F85" s="1">
        <f t="shared" si="29"/>
        <v>3.6327463207053228</v>
      </c>
      <c r="G85" s="1">
        <v>871.73299999999995</v>
      </c>
      <c r="H85" s="1">
        <f t="shared" si="30"/>
        <v>2.9403834867871237</v>
      </c>
      <c r="I85" s="1">
        <v>1720.3340000000001</v>
      </c>
      <c r="J85" s="1">
        <f t="shared" si="31"/>
        <v>0.25232597178340616</v>
      </c>
      <c r="K85" s="1">
        <f t="shared" si="32"/>
        <v>3.2356127726488353</v>
      </c>
      <c r="L85" s="1">
        <v>403.04500000000002</v>
      </c>
      <c r="M85" s="1">
        <f t="shared" si="33"/>
        <v>2.6053535378548625</v>
      </c>
      <c r="N85" s="1">
        <v>400.911</v>
      </c>
      <c r="O85" s="1">
        <f t="shared" si="34"/>
        <v>2.603047972373651</v>
      </c>
      <c r="P85" s="1">
        <v>2.1340000000000101</v>
      </c>
      <c r="Q85" s="1" t="e">
        <f ca="1"/>
        <v>#NAME?</v>
      </c>
      <c r="R85" s="1" t="e">
        <f t="shared" ca="1" si="19"/>
        <v>#NAME?</v>
      </c>
      <c r="S85" s="4">
        <v>1184951000000</v>
      </c>
      <c r="T85" s="1">
        <v>90726.666666666701</v>
      </c>
      <c r="U85" s="1" t="e">
        <f ca="1"/>
        <v>#NAME?</v>
      </c>
      <c r="V85" s="1" t="e">
        <f t="shared" ca="1" si="20"/>
        <v>#NAME?</v>
      </c>
      <c r="W85" s="1" t="e">
        <f ca="1"/>
        <v>#NAME?</v>
      </c>
      <c r="X85" s="1" t="e">
        <f t="shared" ca="1" si="21"/>
        <v>#NAME?</v>
      </c>
      <c r="Y85" s="1" t="e">
        <f ca="1"/>
        <v>#NAME?</v>
      </c>
      <c r="Z85" s="1" t="e">
        <f t="shared" ca="1" si="22"/>
        <v>#NAME?</v>
      </c>
      <c r="AA85" s="1" t="e">
        <f ca="1"/>
        <v>#NAME?</v>
      </c>
      <c r="AB85" s="1" t="e">
        <f t="shared" ca="1" si="23"/>
        <v>#NAME?</v>
      </c>
      <c r="AC85" s="1" t="e">
        <f ca="1"/>
        <v>#NAME?</v>
      </c>
      <c r="AD85" s="1" t="e">
        <f t="shared" ca="1" si="24"/>
        <v>#NAME?</v>
      </c>
      <c r="AE85" s="1" t="e">
        <f ca="1"/>
        <v>#NAME?</v>
      </c>
      <c r="AF85" s="1" t="e">
        <f t="shared" ca="1" si="25"/>
        <v>#NAME?</v>
      </c>
      <c r="AG85" s="1" t="e">
        <f ca="1"/>
        <v>#NAME?</v>
      </c>
      <c r="AH85" s="1" t="e">
        <f t="shared" ca="1" si="26"/>
        <v>#NAME?</v>
      </c>
      <c r="AI85" s="1" t="e">
        <f ca="1"/>
        <v>#NAME?</v>
      </c>
      <c r="AJ85" s="1" t="e">
        <f t="shared" ca="1" si="35"/>
        <v>#NAME?</v>
      </c>
      <c r="AK85" s="1" t="e">
        <f ca="1"/>
        <v>#NAME?</v>
      </c>
      <c r="AL85" s="1" t="e">
        <f t="shared" ca="1" si="27"/>
        <v>#NAME?</v>
      </c>
      <c r="AN85" s="1">
        <f t="shared" si="17"/>
        <v>3.3941683058577734</v>
      </c>
      <c r="AO85" s="1" t="e">
        <f ca="1"/>
        <v>#NAME?</v>
      </c>
      <c r="AP85" s="1" t="e">
        <f t="shared" ca="1" si="18"/>
        <v>#NAME?</v>
      </c>
    </row>
    <row r="86" spans="1:42" x14ac:dyDescent="0.25">
      <c r="A86" s="1" t="s">
        <v>101</v>
      </c>
      <c r="B86" s="1">
        <v>85</v>
      </c>
      <c r="C86" s="1">
        <v>6951.4949999999999</v>
      </c>
      <c r="D86" s="1">
        <f t="shared" si="28"/>
        <v>3.8420782147237649</v>
      </c>
      <c r="E86" s="1">
        <v>4307.2370000000001</v>
      </c>
      <c r="F86" s="1">
        <f t="shared" si="29"/>
        <v>3.6341987688975959</v>
      </c>
      <c r="G86" s="1">
        <v>952.41800000000001</v>
      </c>
      <c r="H86" s="1">
        <f t="shared" si="30"/>
        <v>2.9788275946568272</v>
      </c>
      <c r="I86" s="1">
        <v>1743.3430000000001</v>
      </c>
      <c r="J86" s="1">
        <f t="shared" si="31"/>
        <v>0.25078677320490056</v>
      </c>
      <c r="K86" s="1">
        <f t="shared" si="32"/>
        <v>3.2413828422747737</v>
      </c>
      <c r="L86" s="1">
        <v>410.625</v>
      </c>
      <c r="M86" s="1">
        <f t="shared" si="33"/>
        <v>2.6134453869038561</v>
      </c>
      <c r="N86" s="1">
        <v>418.02199999999999</v>
      </c>
      <c r="O86" s="1">
        <f t="shared" si="34"/>
        <v>2.6211991387778513</v>
      </c>
      <c r="P86" s="1">
        <v>-7.3969999999999896</v>
      </c>
      <c r="Q86" s="1" t="e">
        <f ca="1"/>
        <v>#NAME?</v>
      </c>
      <c r="R86" s="1" t="e">
        <f t="shared" ca="1" si="19"/>
        <v>#NAME?</v>
      </c>
      <c r="S86" s="4">
        <v>1201243000000</v>
      </c>
      <c r="T86" s="1">
        <v>91116</v>
      </c>
      <c r="U86" s="1" t="e">
        <f ca="1"/>
        <v>#NAME?</v>
      </c>
      <c r="V86" s="1" t="e">
        <f t="shared" ca="1" si="20"/>
        <v>#NAME?</v>
      </c>
      <c r="W86" s="1" t="e">
        <f ca="1"/>
        <v>#NAME?</v>
      </c>
      <c r="X86" s="1" t="e">
        <f t="shared" ca="1" si="21"/>
        <v>#NAME?</v>
      </c>
      <c r="Y86" s="1" t="e">
        <f ca="1"/>
        <v>#NAME?</v>
      </c>
      <c r="Z86" s="1" t="e">
        <f t="shared" ca="1" si="22"/>
        <v>#NAME?</v>
      </c>
      <c r="AA86" s="1" t="e">
        <f ca="1"/>
        <v>#NAME?</v>
      </c>
      <c r="AB86" s="1" t="e">
        <f t="shared" ca="1" si="23"/>
        <v>#NAME?</v>
      </c>
      <c r="AC86" s="1" t="e">
        <f ca="1"/>
        <v>#NAME?</v>
      </c>
      <c r="AD86" s="1" t="e">
        <f t="shared" ca="1" si="24"/>
        <v>#NAME?</v>
      </c>
      <c r="AE86" s="1" t="e">
        <f ca="1"/>
        <v>#NAME?</v>
      </c>
      <c r="AF86" s="1" t="e">
        <f t="shared" ca="1" si="25"/>
        <v>#NAME?</v>
      </c>
      <c r="AG86" s="1" t="e">
        <f ca="1"/>
        <v>#NAME?</v>
      </c>
      <c r="AH86" s="1" t="e">
        <f t="shared" ca="1" si="26"/>
        <v>#NAME?</v>
      </c>
      <c r="AI86" s="1" t="e">
        <f ca="1"/>
        <v>#NAME?</v>
      </c>
      <c r="AJ86" s="1" t="e">
        <f t="shared" ca="1" si="35"/>
        <v>#NAME?</v>
      </c>
      <c r="AK86" s="1" t="e">
        <f ca="1"/>
        <v>#NAME?</v>
      </c>
      <c r="AL86" s="1" t="e">
        <f t="shared" ca="1" si="27"/>
        <v>#NAME?</v>
      </c>
      <c r="AN86" s="1">
        <f t="shared" si="17"/>
        <v>3.3992705281598781</v>
      </c>
      <c r="AO86" s="1" t="e">
        <f ca="1"/>
        <v>#NAME?</v>
      </c>
      <c r="AP86" s="1" t="e">
        <f t="shared" ca="1" si="18"/>
        <v>#NAME?</v>
      </c>
    </row>
    <row r="87" spans="1:42" x14ac:dyDescent="0.25">
      <c r="A87" s="1" t="s">
        <v>102</v>
      </c>
      <c r="B87" s="1">
        <v>86</v>
      </c>
      <c r="C87" s="1">
        <v>6899.98</v>
      </c>
      <c r="D87" s="1">
        <f t="shared" si="28"/>
        <v>3.8388478319108459</v>
      </c>
      <c r="E87" s="1">
        <v>4307.55</v>
      </c>
      <c r="F87" s="1">
        <f t="shared" si="29"/>
        <v>3.6342303272339529</v>
      </c>
      <c r="G87" s="1">
        <v>912.94500000000005</v>
      </c>
      <c r="H87" s="1">
        <f t="shared" si="30"/>
        <v>2.960444614428059</v>
      </c>
      <c r="I87" s="1">
        <v>1746.6949999999999</v>
      </c>
      <c r="J87" s="1">
        <f t="shared" si="31"/>
        <v>0.25314493665199028</v>
      </c>
      <c r="K87" s="1">
        <f t="shared" si="32"/>
        <v>3.2422170770601633</v>
      </c>
      <c r="L87" s="1">
        <v>412.84500000000003</v>
      </c>
      <c r="M87" s="1">
        <f t="shared" si="33"/>
        <v>2.6157870291873291</v>
      </c>
      <c r="N87" s="1">
        <v>418.63900000000001</v>
      </c>
      <c r="O87" s="1">
        <f t="shared" si="34"/>
        <v>2.6218396843367096</v>
      </c>
      <c r="P87" s="1">
        <v>-5.7939999999999801</v>
      </c>
      <c r="Q87" s="1" t="e">
        <f ca="1"/>
        <v>#NAME?</v>
      </c>
      <c r="R87" s="1" t="e">
        <f t="shared" ca="1" si="19"/>
        <v>#NAME?</v>
      </c>
      <c r="S87" s="4">
        <v>1201530000000</v>
      </c>
      <c r="T87" s="1">
        <v>91356.333333333299</v>
      </c>
      <c r="U87" s="1" t="e">
        <f ca="1"/>
        <v>#NAME?</v>
      </c>
      <c r="V87" s="1" t="e">
        <f t="shared" ca="1" si="20"/>
        <v>#NAME?</v>
      </c>
      <c r="W87" s="1" t="e">
        <f ca="1"/>
        <v>#NAME?</v>
      </c>
      <c r="X87" s="1" t="e">
        <f t="shared" ca="1" si="21"/>
        <v>#NAME?</v>
      </c>
      <c r="Y87" s="1" t="e">
        <f ca="1"/>
        <v>#NAME?</v>
      </c>
      <c r="Z87" s="1" t="e">
        <f t="shared" ca="1" si="22"/>
        <v>#NAME?</v>
      </c>
      <c r="AA87" s="1" t="e">
        <f ca="1"/>
        <v>#NAME?</v>
      </c>
      <c r="AB87" s="1" t="e">
        <f t="shared" ca="1" si="23"/>
        <v>#NAME?</v>
      </c>
      <c r="AC87" s="1" t="e">
        <f ca="1"/>
        <v>#NAME?</v>
      </c>
      <c r="AD87" s="1" t="e">
        <f t="shared" ca="1" si="24"/>
        <v>#NAME?</v>
      </c>
      <c r="AE87" s="1" t="e">
        <f ca="1"/>
        <v>#NAME?</v>
      </c>
      <c r="AF87" s="1" t="e">
        <f t="shared" ca="1" si="25"/>
        <v>#NAME?</v>
      </c>
      <c r="AG87" s="1" t="e">
        <f ca="1"/>
        <v>#NAME?</v>
      </c>
      <c r="AH87" s="1" t="e">
        <f t="shared" ca="1" si="26"/>
        <v>#NAME?</v>
      </c>
      <c r="AI87" s="1" t="e">
        <f ca="1"/>
        <v>#NAME?</v>
      </c>
      <c r="AJ87" s="1" t="e">
        <f t="shared" ca="1" si="35"/>
        <v>#NAME?</v>
      </c>
      <c r="AK87" s="1" t="e">
        <f ca="1"/>
        <v>#NAME?</v>
      </c>
      <c r="AL87" s="1" t="e">
        <f t="shared" ca="1" si="27"/>
        <v>#NAME?</v>
      </c>
      <c r="AN87" s="1">
        <f t="shared" si="17"/>
        <v>3.3952706264434571</v>
      </c>
      <c r="AO87" s="1" t="e">
        <f ca="1"/>
        <v>#NAME?</v>
      </c>
      <c r="AP87" s="1" t="e">
        <f t="shared" ca="1" si="18"/>
        <v>#NAME?</v>
      </c>
    </row>
    <row r="88" spans="1:42" x14ac:dyDescent="0.25">
      <c r="A88" s="1" t="s">
        <v>103</v>
      </c>
      <c r="B88" s="1">
        <v>87</v>
      </c>
      <c r="C88" s="1">
        <v>6982.6090000000004</v>
      </c>
      <c r="D88" s="1">
        <f t="shared" si="28"/>
        <v>3.8440177238544671</v>
      </c>
      <c r="E88" s="1">
        <v>4327.4759999999997</v>
      </c>
      <c r="F88" s="1">
        <f t="shared" si="29"/>
        <v>3.6362346679751685</v>
      </c>
      <c r="G88" s="1">
        <v>964.40099999999995</v>
      </c>
      <c r="H88" s="1">
        <f t="shared" si="30"/>
        <v>2.9842576520312734</v>
      </c>
      <c r="I88" s="1">
        <v>1740.68</v>
      </c>
      <c r="J88" s="1">
        <f t="shared" si="31"/>
        <v>0.24928790943327916</v>
      </c>
      <c r="K88" s="1">
        <f t="shared" si="32"/>
        <v>3.2407189394070071</v>
      </c>
      <c r="L88" s="1">
        <v>404.05</v>
      </c>
      <c r="M88" s="1">
        <f t="shared" si="33"/>
        <v>2.6064351111018751</v>
      </c>
      <c r="N88" s="1">
        <v>413.84699999999998</v>
      </c>
      <c r="O88" s="1">
        <f t="shared" si="34"/>
        <v>2.61683981132134</v>
      </c>
      <c r="P88" s="1">
        <v>-9.7969999999999704</v>
      </c>
      <c r="Q88" s="1" t="e">
        <f ca="1"/>
        <v>#NAME?</v>
      </c>
      <c r="R88" s="1" t="e">
        <f t="shared" ca="1" si="19"/>
        <v>#NAME?</v>
      </c>
      <c r="S88" s="4">
        <v>1197764000000</v>
      </c>
      <c r="T88" s="1">
        <v>91547.666666666701</v>
      </c>
      <c r="U88" s="1" t="e">
        <f ca="1"/>
        <v>#NAME?</v>
      </c>
      <c r="V88" s="1" t="e">
        <f t="shared" ca="1" si="20"/>
        <v>#NAME?</v>
      </c>
      <c r="W88" s="1" t="e">
        <f ca="1"/>
        <v>#NAME?</v>
      </c>
      <c r="X88" s="1" t="e">
        <f t="shared" ca="1" si="21"/>
        <v>#NAME?</v>
      </c>
      <c r="Y88" s="1" t="e">
        <f ca="1"/>
        <v>#NAME?</v>
      </c>
      <c r="Z88" s="1" t="e">
        <f t="shared" ca="1" si="22"/>
        <v>#NAME?</v>
      </c>
      <c r="AA88" s="1" t="e">
        <f ca="1"/>
        <v>#NAME?</v>
      </c>
      <c r="AB88" s="1" t="e">
        <f t="shared" ca="1" si="23"/>
        <v>#NAME?</v>
      </c>
      <c r="AC88" s="1" t="e">
        <f ca="1"/>
        <v>#NAME?</v>
      </c>
      <c r="AD88" s="1" t="e">
        <f t="shared" ca="1" si="24"/>
        <v>#NAME?</v>
      </c>
      <c r="AE88" s="1" t="e">
        <f ca="1"/>
        <v>#NAME?</v>
      </c>
      <c r="AF88" s="1" t="e">
        <f t="shared" ca="1" si="25"/>
        <v>#NAME?</v>
      </c>
      <c r="AG88" s="1" t="e">
        <f ca="1"/>
        <v>#NAME?</v>
      </c>
      <c r="AH88" s="1" t="e">
        <f t="shared" ca="1" si="26"/>
        <v>#NAME?</v>
      </c>
      <c r="AI88" s="1" t="e">
        <f ca="1"/>
        <v>#NAME?</v>
      </c>
      <c r="AJ88" s="1" t="e">
        <f t="shared" ca="1" si="35"/>
        <v>#NAME?</v>
      </c>
      <c r="AK88" s="1" t="e">
        <f ca="1"/>
        <v>#NAME?</v>
      </c>
      <c r="AL88" s="1" t="e">
        <f t="shared" ca="1" si="27"/>
        <v>#NAME?</v>
      </c>
      <c r="AN88" s="1">
        <f t="shared" si="17"/>
        <v>3.4003498128011129</v>
      </c>
      <c r="AO88" s="1" t="e">
        <f ca="1"/>
        <v>#NAME?</v>
      </c>
      <c r="AP88" s="1" t="e">
        <f t="shared" ca="1" si="18"/>
        <v>#NAME?</v>
      </c>
    </row>
    <row r="89" spans="1:42" x14ac:dyDescent="0.25">
      <c r="A89" s="1" t="s">
        <v>104</v>
      </c>
      <c r="B89" s="1">
        <v>88</v>
      </c>
      <c r="C89" s="1">
        <v>6906.5290000000005</v>
      </c>
      <c r="D89" s="1">
        <f t="shared" si="28"/>
        <v>3.8392598397218425</v>
      </c>
      <c r="E89" s="1">
        <v>4297.875</v>
      </c>
      <c r="F89" s="1">
        <f t="shared" si="29"/>
        <v>3.6332537802574083</v>
      </c>
      <c r="G89" s="1">
        <v>930.44</v>
      </c>
      <c r="H89" s="1">
        <f t="shared" si="30"/>
        <v>2.9686883726209303</v>
      </c>
      <c r="I89" s="1">
        <v>1762.8040000000001</v>
      </c>
      <c r="J89" s="1">
        <f t="shared" si="31"/>
        <v>0.25523732688301171</v>
      </c>
      <c r="K89" s="1">
        <f t="shared" si="32"/>
        <v>3.2462040273018911</v>
      </c>
      <c r="L89" s="1">
        <v>405.90499999999997</v>
      </c>
      <c r="M89" s="1">
        <f t="shared" si="33"/>
        <v>2.6084244010562241</v>
      </c>
      <c r="N89" s="1">
        <v>425.69600000000003</v>
      </c>
      <c r="O89" s="1">
        <f t="shared" si="34"/>
        <v>2.6290995694017334</v>
      </c>
      <c r="P89" s="1">
        <v>-19.7910000000001</v>
      </c>
      <c r="Q89" s="1" t="e">
        <f ca="1"/>
        <v>#NAME?</v>
      </c>
      <c r="R89" s="1" t="e">
        <f t="shared" ca="1" si="19"/>
        <v>#NAME?</v>
      </c>
      <c r="S89" s="4">
        <v>1200996000000</v>
      </c>
      <c r="T89" s="1">
        <v>91148.666666666701</v>
      </c>
      <c r="U89" s="1" t="e">
        <f ca="1"/>
        <v>#NAME?</v>
      </c>
      <c r="V89" s="1" t="e">
        <f t="shared" ca="1" si="20"/>
        <v>#NAME?</v>
      </c>
      <c r="W89" s="1" t="e">
        <f ca="1"/>
        <v>#NAME?</v>
      </c>
      <c r="X89" s="1" t="e">
        <f t="shared" ca="1" si="21"/>
        <v>#NAME?</v>
      </c>
      <c r="Y89" s="1" t="e">
        <f ca="1"/>
        <v>#NAME?</v>
      </c>
      <c r="Z89" s="1" t="e">
        <f t="shared" ca="1" si="22"/>
        <v>#NAME?</v>
      </c>
      <c r="AA89" s="1" t="e">
        <f ca="1"/>
        <v>#NAME?</v>
      </c>
      <c r="AB89" s="1" t="e">
        <f t="shared" ca="1" si="23"/>
        <v>#NAME?</v>
      </c>
      <c r="AC89" s="1" t="e">
        <f ca="1"/>
        <v>#NAME?</v>
      </c>
      <c r="AD89" s="1" t="e">
        <f t="shared" ca="1" si="24"/>
        <v>#NAME?</v>
      </c>
      <c r="AE89" s="1" t="e">
        <f ca="1"/>
        <v>#NAME?</v>
      </c>
      <c r="AF89" s="1" t="e">
        <f t="shared" ca="1" si="25"/>
        <v>#NAME?</v>
      </c>
      <c r="AG89" s="1" t="e">
        <f ca="1"/>
        <v>#NAME?</v>
      </c>
      <c r="AH89" s="1" t="e">
        <f t="shared" ca="1" si="26"/>
        <v>#NAME?</v>
      </c>
      <c r="AI89" s="1" t="e">
        <f ca="1"/>
        <v>#NAME?</v>
      </c>
      <c r="AJ89" s="1" t="e">
        <f t="shared" ca="1" si="35"/>
        <v>#NAME?</v>
      </c>
      <c r="AK89" s="1" t="e">
        <f ca="1"/>
        <v>#NAME?</v>
      </c>
      <c r="AL89" s="1" t="e">
        <f t="shared" ca="1" si="27"/>
        <v>#NAME?</v>
      </c>
      <c r="AN89" s="1">
        <f t="shared" si="17"/>
        <v>3.396384672895767</v>
      </c>
      <c r="AO89" s="1" t="e">
        <f ca="1"/>
        <v>#NAME?</v>
      </c>
      <c r="AP89" s="1" t="e">
        <f t="shared" ca="1" si="18"/>
        <v>#NAME?</v>
      </c>
    </row>
    <row r="90" spans="1:42" x14ac:dyDescent="0.25">
      <c r="A90" s="1" t="s">
        <v>105</v>
      </c>
      <c r="B90" s="1">
        <v>89</v>
      </c>
      <c r="C90" s="1">
        <v>6799.2330000000002</v>
      </c>
      <c r="D90" s="1">
        <f t="shared" si="28"/>
        <v>3.8324599240804846</v>
      </c>
      <c r="E90" s="1">
        <v>4329.5330000000004</v>
      </c>
      <c r="F90" s="1">
        <f t="shared" si="29"/>
        <v>3.6364410542145928</v>
      </c>
      <c r="G90" s="1">
        <v>842.42899999999997</v>
      </c>
      <c r="H90" s="1">
        <f t="shared" si="30"/>
        <v>2.9255333087035384</v>
      </c>
      <c r="I90" s="1">
        <v>1760.84</v>
      </c>
      <c r="J90" s="1">
        <f t="shared" si="31"/>
        <v>0.25897626982337563</v>
      </c>
      <c r="K90" s="1">
        <f t="shared" si="32"/>
        <v>3.2457198952778916</v>
      </c>
      <c r="L90" s="1">
        <v>388.28899999999999</v>
      </c>
      <c r="M90" s="1">
        <f t="shared" si="33"/>
        <v>2.589155087411954</v>
      </c>
      <c r="N90" s="1">
        <v>413.53899999999999</v>
      </c>
      <c r="O90" s="1">
        <f t="shared" si="34"/>
        <v>2.6165164732261705</v>
      </c>
      <c r="P90" s="1">
        <v>-25.25</v>
      </c>
      <c r="Q90" s="1" t="e">
        <f ca="1"/>
        <v>#NAME?</v>
      </c>
      <c r="R90" s="1" t="e">
        <f t="shared" ca="1" si="19"/>
        <v>#NAME?</v>
      </c>
      <c r="S90" s="4">
        <v>1168917000000</v>
      </c>
      <c r="T90" s="1">
        <v>90520.666666666701</v>
      </c>
      <c r="U90" s="1" t="e">
        <f ca="1"/>
        <v>#NAME?</v>
      </c>
      <c r="V90" s="1" t="e">
        <f t="shared" ca="1" si="20"/>
        <v>#NAME?</v>
      </c>
      <c r="W90" s="1" t="e">
        <f ca="1"/>
        <v>#NAME?</v>
      </c>
      <c r="X90" s="1" t="e">
        <f t="shared" ca="1" si="21"/>
        <v>#NAME?</v>
      </c>
      <c r="Y90" s="1" t="e">
        <f ca="1"/>
        <v>#NAME?</v>
      </c>
      <c r="Z90" s="1" t="e">
        <f t="shared" ca="1" si="22"/>
        <v>#NAME?</v>
      </c>
      <c r="AA90" s="1" t="e">
        <f ca="1"/>
        <v>#NAME?</v>
      </c>
      <c r="AB90" s="1" t="e">
        <f t="shared" ca="1" si="23"/>
        <v>#NAME?</v>
      </c>
      <c r="AC90" s="1" t="e">
        <f ca="1"/>
        <v>#NAME?</v>
      </c>
      <c r="AD90" s="1" t="e">
        <f t="shared" ca="1" si="24"/>
        <v>#NAME?</v>
      </c>
      <c r="AE90" s="1" t="e">
        <f ca="1"/>
        <v>#NAME?</v>
      </c>
      <c r="AF90" s="1" t="e">
        <f t="shared" ca="1" si="25"/>
        <v>#NAME?</v>
      </c>
      <c r="AG90" s="1" t="e">
        <f ca="1"/>
        <v>#NAME?</v>
      </c>
      <c r="AH90" s="1" t="e">
        <f t="shared" ca="1" si="26"/>
        <v>#NAME?</v>
      </c>
      <c r="AI90" s="1" t="e">
        <f ca="1"/>
        <v>#NAME?</v>
      </c>
      <c r="AJ90" s="1" t="e">
        <f t="shared" ca="1" si="35"/>
        <v>#NAME?</v>
      </c>
      <c r="AK90" s="1" t="e">
        <f ca="1"/>
        <v>#NAME?</v>
      </c>
      <c r="AL90" s="1" t="e">
        <f t="shared" ca="1" si="27"/>
        <v>#NAME?</v>
      </c>
      <c r="AN90" s="1">
        <f t="shared" si="17"/>
        <v>3.3957392451334956</v>
      </c>
      <c r="AO90" s="1" t="e">
        <f ca="1"/>
        <v>#NAME?</v>
      </c>
      <c r="AP90" s="1" t="e">
        <f t="shared" ca="1" si="18"/>
        <v>#NAME?</v>
      </c>
    </row>
    <row r="91" spans="1:42" x14ac:dyDescent="0.25">
      <c r="A91" s="1" t="s">
        <v>106</v>
      </c>
      <c r="B91" s="1">
        <v>90</v>
      </c>
      <c r="C91" s="1">
        <v>6830.2510000000002</v>
      </c>
      <c r="D91" s="1">
        <f t="shared" si="28"/>
        <v>3.8344366635515188</v>
      </c>
      <c r="E91" s="1">
        <v>4342.7209999999995</v>
      </c>
      <c r="F91" s="1">
        <f t="shared" si="29"/>
        <v>3.6377619288205256</v>
      </c>
      <c r="G91" s="1">
        <v>841.78899999999999</v>
      </c>
      <c r="H91" s="1">
        <f t="shared" si="30"/>
        <v>2.9252032463460571</v>
      </c>
      <c r="I91" s="1">
        <v>1767.5319999999999</v>
      </c>
      <c r="J91" s="1">
        <f t="shared" si="31"/>
        <v>0.25877994820395323</v>
      </c>
      <c r="K91" s="1">
        <f t="shared" si="32"/>
        <v>3.2473672851550011</v>
      </c>
      <c r="L91" s="1">
        <v>390.60500000000002</v>
      </c>
      <c r="M91" s="1">
        <f t="shared" si="33"/>
        <v>2.5917377982414189</v>
      </c>
      <c r="N91" s="1">
        <v>406.76799999999997</v>
      </c>
      <c r="O91" s="1">
        <f t="shared" si="34"/>
        <v>2.6093467801158639</v>
      </c>
      <c r="P91" s="1">
        <v>-16.163</v>
      </c>
      <c r="Q91" s="1" t="e">
        <f ca="1"/>
        <v>#NAME?</v>
      </c>
      <c r="R91" s="1" t="e">
        <f t="shared" ca="1" si="19"/>
        <v>#NAME?</v>
      </c>
      <c r="S91" s="4">
        <v>1143141000000</v>
      </c>
      <c r="T91" s="1">
        <v>90040.666666666701</v>
      </c>
      <c r="U91" s="1" t="e">
        <f ca="1"/>
        <v>#NAME?</v>
      </c>
      <c r="V91" s="1" t="e">
        <f t="shared" ca="1" si="20"/>
        <v>#NAME?</v>
      </c>
      <c r="W91" s="1" t="e">
        <f ca="1"/>
        <v>#NAME?</v>
      </c>
      <c r="X91" s="1" t="e">
        <f t="shared" ca="1" si="21"/>
        <v>#NAME?</v>
      </c>
      <c r="Y91" s="1" t="e">
        <f ca="1"/>
        <v>#NAME?</v>
      </c>
      <c r="Z91" s="1" t="e">
        <f t="shared" ca="1" si="22"/>
        <v>#NAME?</v>
      </c>
      <c r="AA91" s="1" t="e">
        <f ca="1"/>
        <v>#NAME?</v>
      </c>
      <c r="AB91" s="1" t="e">
        <f t="shared" ca="1" si="23"/>
        <v>#NAME?</v>
      </c>
      <c r="AC91" s="1" t="e">
        <f ca="1"/>
        <v>#NAME?</v>
      </c>
      <c r="AD91" s="1" t="e">
        <f t="shared" ca="1" si="24"/>
        <v>#NAME?</v>
      </c>
      <c r="AE91" s="1" t="e">
        <f ca="1"/>
        <v>#NAME?</v>
      </c>
      <c r="AF91" s="1" t="e">
        <f t="shared" ca="1" si="25"/>
        <v>#NAME?</v>
      </c>
      <c r="AG91" s="1" t="e">
        <f ca="1"/>
        <v>#NAME?</v>
      </c>
      <c r="AH91" s="1" t="e">
        <f t="shared" ca="1" si="26"/>
        <v>#NAME?</v>
      </c>
      <c r="AI91" s="1" t="e">
        <f ca="1"/>
        <v>#NAME?</v>
      </c>
      <c r="AJ91" s="1" t="e">
        <f t="shared" ca="1" si="35"/>
        <v>#NAME?</v>
      </c>
      <c r="AK91" s="1" t="e">
        <f ca="1"/>
        <v>#NAME?</v>
      </c>
      <c r="AL91" s="1" t="e">
        <f t="shared" ca="1" si="27"/>
        <v>#NAME?</v>
      </c>
      <c r="AN91" s="1">
        <f t="shared" si="17"/>
        <v>3.4026799658146549</v>
      </c>
      <c r="AO91" s="1" t="e">
        <f ca="1"/>
        <v>#NAME?</v>
      </c>
      <c r="AP91" s="1" t="e">
        <f t="shared" ca="1" si="18"/>
        <v>#NAME?</v>
      </c>
    </row>
    <row r="92" spans="1:42" x14ac:dyDescent="0.25">
      <c r="A92" s="1" t="s">
        <v>107</v>
      </c>
      <c r="B92" s="1">
        <v>91</v>
      </c>
      <c r="C92" s="1">
        <v>6804.1390000000001</v>
      </c>
      <c r="D92" s="1">
        <f t="shared" si="28"/>
        <v>3.832773177121068</v>
      </c>
      <c r="E92" s="1">
        <v>4371.8329999999996</v>
      </c>
      <c r="F92" s="1">
        <f t="shared" si="29"/>
        <v>3.6406635639447065</v>
      </c>
      <c r="G92" s="1">
        <v>834.07500000000005</v>
      </c>
      <c r="H92" s="1">
        <f t="shared" si="30"/>
        <v>2.9212051041409262</v>
      </c>
      <c r="I92" s="1">
        <v>1781.703</v>
      </c>
      <c r="J92" s="1">
        <f t="shared" si="31"/>
        <v>0.26185576161803864</v>
      </c>
      <c r="K92" s="1">
        <f t="shared" si="32"/>
        <v>3.2508353112546673</v>
      </c>
      <c r="L92" s="1">
        <v>373.28300000000002</v>
      </c>
      <c r="M92" s="1">
        <f t="shared" si="33"/>
        <v>2.5720382118006477</v>
      </c>
      <c r="N92" s="1">
        <v>425.63499999999999</v>
      </c>
      <c r="O92" s="1">
        <f t="shared" si="34"/>
        <v>2.6290373328252632</v>
      </c>
      <c r="P92" s="1">
        <v>-52.351999999999997</v>
      </c>
      <c r="Q92" s="1" t="e">
        <f ca="1"/>
        <v>#NAME?</v>
      </c>
      <c r="R92" s="1" t="e">
        <f t="shared" ca="1" si="19"/>
        <v>#NAME?</v>
      </c>
      <c r="S92" s="4">
        <v>1121696000000</v>
      </c>
      <c r="T92" s="1">
        <v>89355.666666666701</v>
      </c>
      <c r="U92" s="1" t="e">
        <f ca="1"/>
        <v>#NAME?</v>
      </c>
      <c r="V92" s="1" t="e">
        <f t="shared" ca="1" si="20"/>
        <v>#NAME?</v>
      </c>
      <c r="W92" s="1" t="e">
        <f ca="1"/>
        <v>#NAME?</v>
      </c>
      <c r="X92" s="1" t="e">
        <f t="shared" ca="1" si="21"/>
        <v>#NAME?</v>
      </c>
      <c r="Y92" s="1" t="e">
        <f ca="1"/>
        <v>#NAME?</v>
      </c>
      <c r="Z92" s="1" t="e">
        <f t="shared" ca="1" si="22"/>
        <v>#NAME?</v>
      </c>
      <c r="AA92" s="1" t="e">
        <f ca="1"/>
        <v>#NAME?</v>
      </c>
      <c r="AB92" s="1" t="e">
        <f t="shared" ca="1" si="23"/>
        <v>#NAME?</v>
      </c>
      <c r="AC92" s="1" t="e">
        <f ca="1"/>
        <v>#NAME?</v>
      </c>
      <c r="AD92" s="1" t="e">
        <f t="shared" ca="1" si="24"/>
        <v>#NAME?</v>
      </c>
      <c r="AE92" s="1" t="e">
        <f ca="1"/>
        <v>#NAME?</v>
      </c>
      <c r="AF92" s="1" t="e">
        <f t="shared" ca="1" si="25"/>
        <v>#NAME?</v>
      </c>
      <c r="AG92" s="1" t="e">
        <f ca="1"/>
        <v>#NAME?</v>
      </c>
      <c r="AH92" s="1" t="e">
        <f t="shared" ca="1" si="26"/>
        <v>#NAME?</v>
      </c>
      <c r="AI92" s="1" t="e">
        <f ca="1"/>
        <v>#NAME?</v>
      </c>
      <c r="AJ92" s="1" t="e">
        <f t="shared" ca="1" si="35"/>
        <v>#NAME?</v>
      </c>
      <c r="AK92" s="1" t="e">
        <f ca="1"/>
        <v>#NAME?</v>
      </c>
      <c r="AL92" s="1" t="e">
        <f t="shared" ca="1" si="27"/>
        <v>#NAME?</v>
      </c>
      <c r="AN92" s="1">
        <f t="shared" si="17"/>
        <v>3.4060999719093248</v>
      </c>
      <c r="AO92" s="1" t="e">
        <f ca="1"/>
        <v>#NAME?</v>
      </c>
      <c r="AP92" s="1" t="e">
        <f t="shared" ca="1" si="18"/>
        <v>#NAME?</v>
      </c>
    </row>
    <row r="93" spans="1:42" x14ac:dyDescent="0.25">
      <c r="A93" s="1" t="s">
        <v>108</v>
      </c>
      <c r="B93" s="1">
        <v>92</v>
      </c>
      <c r="C93" s="1">
        <v>6806.857</v>
      </c>
      <c r="D93" s="1">
        <f t="shared" si="28"/>
        <v>3.8329466269431829</v>
      </c>
      <c r="E93" s="1">
        <v>4448.4139999999998</v>
      </c>
      <c r="F93" s="1">
        <f t="shared" si="29"/>
        <v>3.6482051988861937</v>
      </c>
      <c r="G93" s="1">
        <v>769.60199999999998</v>
      </c>
      <c r="H93" s="1">
        <f t="shared" si="30"/>
        <v>2.8862661876522036</v>
      </c>
      <c r="I93" s="1">
        <v>1809.171</v>
      </c>
      <c r="J93" s="1">
        <f t="shared" si="31"/>
        <v>0.26578654436254501</v>
      </c>
      <c r="K93" s="1">
        <f t="shared" si="32"/>
        <v>3.2574796176318532</v>
      </c>
      <c r="L93" s="1">
        <v>356.178</v>
      </c>
      <c r="M93" s="1">
        <f t="shared" si="33"/>
        <v>2.5516670909451054</v>
      </c>
      <c r="N93" s="1">
        <v>408.92899999999997</v>
      </c>
      <c r="O93" s="1">
        <f t="shared" si="34"/>
        <v>2.6116479104892378</v>
      </c>
      <c r="P93" s="1">
        <v>-52.750999999999998</v>
      </c>
      <c r="Q93" s="1" t="e">
        <f ca="1"/>
        <v>#NAME?</v>
      </c>
      <c r="R93" s="1" t="e">
        <f t="shared" ca="1" si="19"/>
        <v>#NAME?</v>
      </c>
      <c r="S93" s="4">
        <v>1129354000000</v>
      </c>
      <c r="T93" s="1">
        <v>88821.333333333299</v>
      </c>
      <c r="U93" s="1" t="e">
        <f ca="1"/>
        <v>#NAME?</v>
      </c>
      <c r="V93" s="1" t="e">
        <f t="shared" ca="1" si="20"/>
        <v>#NAME?</v>
      </c>
      <c r="W93" s="1" t="e">
        <f ca="1"/>
        <v>#NAME?</v>
      </c>
      <c r="X93" s="1" t="e">
        <f t="shared" ca="1" si="21"/>
        <v>#NAME?</v>
      </c>
      <c r="Y93" s="1" t="e">
        <f ca="1"/>
        <v>#NAME?</v>
      </c>
      <c r="Z93" s="1" t="e">
        <f t="shared" ca="1" si="22"/>
        <v>#NAME?</v>
      </c>
      <c r="AA93" s="1" t="e">
        <f ca="1"/>
        <v>#NAME?</v>
      </c>
      <c r="AB93" s="1" t="e">
        <f t="shared" ca="1" si="23"/>
        <v>#NAME?</v>
      </c>
      <c r="AC93" s="1" t="e">
        <f ca="1"/>
        <v>#NAME?</v>
      </c>
      <c r="AD93" s="1" t="e">
        <f t="shared" ca="1" si="24"/>
        <v>#NAME?</v>
      </c>
      <c r="AE93" s="1" t="e">
        <f ca="1"/>
        <v>#NAME?</v>
      </c>
      <c r="AF93" s="1" t="e">
        <f t="shared" ca="1" si="25"/>
        <v>#NAME?</v>
      </c>
      <c r="AG93" s="1" t="e">
        <f ca="1"/>
        <v>#NAME?</v>
      </c>
      <c r="AH93" s="1" t="e">
        <f t="shared" ca="1" si="26"/>
        <v>#NAME?</v>
      </c>
      <c r="AI93" s="1" t="e">
        <f ca="1"/>
        <v>#NAME?</v>
      </c>
      <c r="AJ93" s="1" t="e">
        <f t="shared" ca="1" si="35"/>
        <v>#NAME?</v>
      </c>
      <c r="AK93" s="1" t="e">
        <f ca="1"/>
        <v>#NAME?</v>
      </c>
      <c r="AL93" s="1" t="e">
        <f t="shared" ca="1" si="27"/>
        <v>#NAME?</v>
      </c>
      <c r="AN93" s="1">
        <f t="shared" si="17"/>
        <v>3.4068767284722643</v>
      </c>
      <c r="AO93" s="1" t="e">
        <f ca="1"/>
        <v>#NAME?</v>
      </c>
      <c r="AP93" s="1" t="e">
        <f t="shared" ca="1" si="18"/>
        <v>#NAME?</v>
      </c>
    </row>
    <row r="94" spans="1:42" x14ac:dyDescent="0.25">
      <c r="A94" s="1" t="s">
        <v>109</v>
      </c>
      <c r="B94" s="1">
        <v>93</v>
      </c>
      <c r="C94" s="1">
        <v>6896.5609999999997</v>
      </c>
      <c r="D94" s="1">
        <f t="shared" si="28"/>
        <v>3.8386325818907103</v>
      </c>
      <c r="E94" s="1">
        <v>4492.3950000000004</v>
      </c>
      <c r="F94" s="1">
        <f t="shared" si="29"/>
        <v>3.6524779352070533</v>
      </c>
      <c r="G94" s="1">
        <v>796.26599999999996</v>
      </c>
      <c r="H94" s="1">
        <f t="shared" si="30"/>
        <v>2.9010581720522257</v>
      </c>
      <c r="I94" s="1">
        <v>1826.558</v>
      </c>
      <c r="J94" s="1">
        <f t="shared" si="31"/>
        <v>0.26485055377600519</v>
      </c>
      <c r="K94" s="1">
        <f t="shared" si="32"/>
        <v>3.2616334672295793</v>
      </c>
      <c r="L94" s="1">
        <v>361.923</v>
      </c>
      <c r="M94" s="1">
        <f t="shared" si="33"/>
        <v>2.5586161831515444</v>
      </c>
      <c r="N94" s="1">
        <v>418.30099999999999</v>
      </c>
      <c r="O94" s="1">
        <f t="shared" si="34"/>
        <v>2.6214889028162571</v>
      </c>
      <c r="P94" s="1">
        <v>-56.378</v>
      </c>
      <c r="Q94" s="1" t="e">
        <f ca="1"/>
        <v>#NAME?</v>
      </c>
      <c r="R94" s="1" t="e">
        <f t="shared" ca="1" si="19"/>
        <v>#NAME?</v>
      </c>
      <c r="S94" s="4">
        <v>1150482000000</v>
      </c>
      <c r="T94" s="1">
        <v>88999</v>
      </c>
      <c r="U94" s="1" t="e">
        <f ca="1"/>
        <v>#NAME?</v>
      </c>
      <c r="V94" s="1" t="e">
        <f t="shared" ca="1" si="20"/>
        <v>#NAME?</v>
      </c>
      <c r="W94" s="1" t="e">
        <f ca="1"/>
        <v>#NAME?</v>
      </c>
      <c r="X94" s="1" t="e">
        <f t="shared" ca="1" si="21"/>
        <v>#NAME?</v>
      </c>
      <c r="Y94" s="1" t="e">
        <f ca="1"/>
        <v>#NAME?</v>
      </c>
      <c r="Z94" s="1" t="e">
        <f t="shared" ca="1" si="22"/>
        <v>#NAME?</v>
      </c>
      <c r="AA94" s="1" t="e">
        <f ca="1"/>
        <v>#NAME?</v>
      </c>
      <c r="AB94" s="1" t="e">
        <f t="shared" ca="1" si="23"/>
        <v>#NAME?</v>
      </c>
      <c r="AC94" s="1" t="e">
        <f ca="1"/>
        <v>#NAME?</v>
      </c>
      <c r="AD94" s="1" t="e">
        <f t="shared" ca="1" si="24"/>
        <v>#NAME?</v>
      </c>
      <c r="AE94" s="1" t="e">
        <f ca="1"/>
        <v>#NAME?</v>
      </c>
      <c r="AF94" s="1" t="e">
        <f t="shared" ca="1" si="25"/>
        <v>#NAME?</v>
      </c>
      <c r="AG94" s="1" t="e">
        <f ca="1"/>
        <v>#NAME?</v>
      </c>
      <c r="AH94" s="1" t="e">
        <f t="shared" ca="1" si="26"/>
        <v>#NAME?</v>
      </c>
      <c r="AI94" s="1" t="e">
        <f ca="1"/>
        <v>#NAME?</v>
      </c>
      <c r="AJ94" s="1" t="e">
        <f t="shared" ca="1" si="35"/>
        <v>#NAME?</v>
      </c>
      <c r="AK94" s="1" t="e">
        <f ca="1"/>
        <v>#NAME?</v>
      </c>
      <c r="AL94" s="1" t="e">
        <f t="shared" ca="1" si="27"/>
        <v>#NAME?</v>
      </c>
      <c r="AN94" s="1">
        <f t="shared" si="17"/>
        <v>3.409109362500943</v>
      </c>
      <c r="AO94" s="1" t="e">
        <f ca="1"/>
        <v>#NAME?</v>
      </c>
      <c r="AP94" s="1" t="e">
        <f t="shared" ca="1" si="18"/>
        <v>#NAME?</v>
      </c>
    </row>
    <row r="95" spans="1:42" x14ac:dyDescent="0.25">
      <c r="A95" s="1" t="s">
        <v>110</v>
      </c>
      <c r="B95" s="1">
        <v>94</v>
      </c>
      <c r="C95" s="1">
        <v>7053.5</v>
      </c>
      <c r="D95" s="1">
        <f t="shared" si="28"/>
        <v>3.8484046706791877</v>
      </c>
      <c r="E95" s="1">
        <v>4583.8729999999996</v>
      </c>
      <c r="F95" s="1">
        <f t="shared" si="29"/>
        <v>3.6612325766375058</v>
      </c>
      <c r="G95" s="1">
        <v>866.78399999999999</v>
      </c>
      <c r="H95" s="1">
        <f t="shared" si="30"/>
        <v>2.9379108860628205</v>
      </c>
      <c r="I95" s="1">
        <v>1841.6079999999999</v>
      </c>
      <c r="J95" s="1">
        <f t="shared" si="31"/>
        <v>0.26109137307719571</v>
      </c>
      <c r="K95" s="1">
        <f t="shared" si="32"/>
        <v>3.2651971928779782</v>
      </c>
      <c r="L95" s="1">
        <v>363.00599999999997</v>
      </c>
      <c r="M95" s="1">
        <f t="shared" si="33"/>
        <v>2.559913803397976</v>
      </c>
      <c r="N95" s="1">
        <v>450.46499999999997</v>
      </c>
      <c r="O95" s="1">
        <f t="shared" si="34"/>
        <v>2.6536610530345843</v>
      </c>
      <c r="P95" s="1">
        <v>-87.459000000000003</v>
      </c>
      <c r="Q95" s="1" t="e">
        <f ca="1"/>
        <v>#NAME?</v>
      </c>
      <c r="R95" s="1" t="e">
        <f t="shared" ca="1" si="19"/>
        <v>#NAME?</v>
      </c>
      <c r="S95" s="4">
        <v>1186910000000</v>
      </c>
      <c r="T95" s="1">
        <v>89676.333333333299</v>
      </c>
      <c r="U95" s="1" t="e">
        <f ca="1"/>
        <v>#NAME?</v>
      </c>
      <c r="V95" s="1" t="e">
        <f t="shared" ca="1" si="20"/>
        <v>#NAME?</v>
      </c>
      <c r="W95" s="1" t="e">
        <f ca="1"/>
        <v>#NAME?</v>
      </c>
      <c r="X95" s="1" t="e">
        <f t="shared" ca="1" si="21"/>
        <v>#NAME?</v>
      </c>
      <c r="Y95" s="1" t="e">
        <f ca="1"/>
        <v>#NAME?</v>
      </c>
      <c r="Z95" s="1" t="e">
        <f t="shared" ca="1" si="22"/>
        <v>#NAME?</v>
      </c>
      <c r="AA95" s="1" t="e">
        <f ca="1"/>
        <v>#NAME?</v>
      </c>
      <c r="AB95" s="1" t="e">
        <f t="shared" ca="1" si="23"/>
        <v>#NAME?</v>
      </c>
      <c r="AC95" s="1" t="e">
        <f ca="1"/>
        <v>#NAME?</v>
      </c>
      <c r="AD95" s="1" t="e">
        <f t="shared" ca="1" si="24"/>
        <v>#NAME?</v>
      </c>
      <c r="AE95" s="1" t="e">
        <f ca="1"/>
        <v>#NAME?</v>
      </c>
      <c r="AF95" s="1" t="e">
        <f t="shared" ca="1" si="25"/>
        <v>#NAME?</v>
      </c>
      <c r="AG95" s="1" t="e">
        <f ca="1"/>
        <v>#NAME?</v>
      </c>
      <c r="AH95" s="1" t="e">
        <f t="shared" ca="1" si="26"/>
        <v>#NAME?</v>
      </c>
      <c r="AI95" s="1" t="e">
        <f ca="1"/>
        <v>#NAME?</v>
      </c>
      <c r="AJ95" s="1" t="e">
        <f t="shared" ca="1" si="35"/>
        <v>#NAME?</v>
      </c>
      <c r="AK95" s="1" t="e">
        <f ca="1"/>
        <v>#NAME?</v>
      </c>
      <c r="AL95" s="1" t="e">
        <f t="shared" ca="1" si="27"/>
        <v>#NAME?</v>
      </c>
      <c r="AN95" s="1">
        <f t="shared" si="17"/>
        <v>3.4119004474077066</v>
      </c>
      <c r="AO95" s="1" t="e">
        <f ca="1"/>
        <v>#NAME?</v>
      </c>
      <c r="AP95" s="1" t="e">
        <f t="shared" ca="1" si="18"/>
        <v>#NAME?</v>
      </c>
    </row>
    <row r="96" spans="1:42" x14ac:dyDescent="0.25">
      <c r="A96" s="1" t="s">
        <v>111</v>
      </c>
      <c r="B96" s="1">
        <v>95</v>
      </c>
      <c r="C96" s="1">
        <v>7194.5039999999999</v>
      </c>
      <c r="D96" s="1">
        <f t="shared" si="28"/>
        <v>3.8570008583854523</v>
      </c>
      <c r="E96" s="1">
        <v>4666.07</v>
      </c>
      <c r="F96" s="1">
        <f t="shared" si="29"/>
        <v>3.6689512497568546</v>
      </c>
      <c r="G96" s="1">
        <v>921.05100000000004</v>
      </c>
      <c r="H96" s="1">
        <f t="shared" si="30"/>
        <v>2.9642836784111304</v>
      </c>
      <c r="I96" s="1">
        <v>1873.396</v>
      </c>
      <c r="J96" s="1">
        <f t="shared" si="31"/>
        <v>0.26039265528242111</v>
      </c>
      <c r="K96" s="1">
        <f t="shared" si="32"/>
        <v>3.2726295886068715</v>
      </c>
      <c r="L96" s="1">
        <v>368.46300000000002</v>
      </c>
      <c r="M96" s="1">
        <f t="shared" si="33"/>
        <v>2.5663938837755325</v>
      </c>
      <c r="N96" s="1">
        <v>485.55599999999998</v>
      </c>
      <c r="O96" s="1">
        <f t="shared" si="34"/>
        <v>2.6862393250544683</v>
      </c>
      <c r="P96" s="1">
        <v>-117.093</v>
      </c>
      <c r="Q96" s="1" t="e">
        <f ca="1"/>
        <v>#NAME?</v>
      </c>
      <c r="R96" s="1" t="e">
        <f t="shared" ca="1" si="19"/>
        <v>#NAME?</v>
      </c>
      <c r="S96" s="4">
        <v>1248512000000</v>
      </c>
      <c r="T96" s="1">
        <v>90604.333333333299</v>
      </c>
      <c r="U96" s="1" t="e">
        <f ca="1"/>
        <v>#NAME?</v>
      </c>
      <c r="V96" s="1" t="e">
        <f t="shared" ca="1" si="20"/>
        <v>#NAME?</v>
      </c>
      <c r="W96" s="1" t="e">
        <f ca="1"/>
        <v>#NAME?</v>
      </c>
      <c r="X96" s="1" t="e">
        <f t="shared" ca="1" si="21"/>
        <v>#NAME?</v>
      </c>
      <c r="Y96" s="1" t="e">
        <f ca="1"/>
        <v>#NAME?</v>
      </c>
      <c r="Z96" s="1" t="e">
        <f t="shared" ca="1" si="22"/>
        <v>#NAME?</v>
      </c>
      <c r="AA96" s="1" t="e">
        <f ca="1"/>
        <v>#NAME?</v>
      </c>
      <c r="AB96" s="1" t="e">
        <f t="shared" ca="1" si="23"/>
        <v>#NAME?</v>
      </c>
      <c r="AC96" s="1" t="e">
        <f ca="1"/>
        <v>#NAME?</v>
      </c>
      <c r="AD96" s="1" t="e">
        <f t="shared" ca="1" si="24"/>
        <v>#NAME?</v>
      </c>
      <c r="AE96" s="1" t="e">
        <f ca="1"/>
        <v>#NAME?</v>
      </c>
      <c r="AF96" s="1" t="e">
        <f t="shared" ca="1" si="25"/>
        <v>#NAME?</v>
      </c>
      <c r="AG96" s="1" t="e">
        <f ca="1"/>
        <v>#NAME?</v>
      </c>
      <c r="AH96" s="1" t="e">
        <f t="shared" ca="1" si="26"/>
        <v>#NAME?</v>
      </c>
      <c r="AI96" s="1" t="e">
        <f ca="1"/>
        <v>#NAME?</v>
      </c>
      <c r="AJ96" s="1" t="e">
        <f t="shared" ca="1" si="35"/>
        <v>#NAME?</v>
      </c>
      <c r="AK96" s="1" t="e">
        <f ca="1"/>
        <v>#NAME?</v>
      </c>
      <c r="AL96" s="1" t="e">
        <f t="shared" ca="1" si="27"/>
        <v>#NAME?</v>
      </c>
      <c r="AN96" s="1">
        <f t="shared" si="17"/>
        <v>3.4097241385881194</v>
      </c>
      <c r="AO96" s="1" t="e">
        <f ca="1"/>
        <v>#NAME?</v>
      </c>
      <c r="AP96" s="1" t="e">
        <f t="shared" ca="1" si="18"/>
        <v>#NAME?</v>
      </c>
    </row>
    <row r="97" spans="1:42" x14ac:dyDescent="0.25">
      <c r="A97" s="1" t="s">
        <v>112</v>
      </c>
      <c r="B97" s="1">
        <v>96</v>
      </c>
      <c r="C97" s="1">
        <v>7344.5969999999998</v>
      </c>
      <c r="D97" s="1">
        <f t="shared" si="28"/>
        <v>3.8659679709257531</v>
      </c>
      <c r="E97" s="1">
        <v>4740.4269999999997</v>
      </c>
      <c r="F97" s="1">
        <f t="shared" si="29"/>
        <v>3.6758174630646927</v>
      </c>
      <c r="G97" s="1">
        <v>1010.654</v>
      </c>
      <c r="H97" s="1">
        <f t="shared" si="30"/>
        <v>3.0046024992015243</v>
      </c>
      <c r="I97" s="1">
        <v>1843.4169999999999</v>
      </c>
      <c r="J97" s="1">
        <f t="shared" si="31"/>
        <v>0.25098953693442949</v>
      </c>
      <c r="K97" s="1">
        <f t="shared" si="32"/>
        <v>3.2656235882380491</v>
      </c>
      <c r="L97" s="1">
        <v>375.87799999999999</v>
      </c>
      <c r="M97" s="1">
        <f t="shared" si="33"/>
        <v>2.5750469073626379</v>
      </c>
      <c r="N97" s="1">
        <v>509.375</v>
      </c>
      <c r="O97" s="1">
        <f t="shared" si="34"/>
        <v>2.7070376260840519</v>
      </c>
      <c r="P97" s="1">
        <v>-133.49700000000001</v>
      </c>
      <c r="Q97" s="1" t="e">
        <f ca="1"/>
        <v>#NAME?</v>
      </c>
      <c r="R97" s="1" t="e">
        <f t="shared" ca="1" si="19"/>
        <v>#NAME?</v>
      </c>
      <c r="S97" s="4">
        <v>1308453000000</v>
      </c>
      <c r="T97" s="1">
        <v>91875</v>
      </c>
      <c r="U97" s="1" t="e">
        <f ca="1"/>
        <v>#NAME?</v>
      </c>
      <c r="V97" s="1" t="e">
        <f t="shared" ca="1" si="20"/>
        <v>#NAME?</v>
      </c>
      <c r="W97" s="1" t="e">
        <f ca="1"/>
        <v>#NAME?</v>
      </c>
      <c r="X97" s="1" t="e">
        <f t="shared" ca="1" si="21"/>
        <v>#NAME?</v>
      </c>
      <c r="Y97" s="1" t="e">
        <f ca="1"/>
        <v>#NAME?</v>
      </c>
      <c r="Z97" s="1" t="e">
        <f t="shared" ca="1" si="22"/>
        <v>#NAME?</v>
      </c>
      <c r="AA97" s="1" t="e">
        <f ca="1"/>
        <v>#NAME?</v>
      </c>
      <c r="AB97" s="1" t="e">
        <f t="shared" ca="1" si="23"/>
        <v>#NAME?</v>
      </c>
      <c r="AC97" s="1" t="e">
        <f ca="1"/>
        <v>#NAME?</v>
      </c>
      <c r="AD97" s="1" t="e">
        <f t="shared" ca="1" si="24"/>
        <v>#NAME?</v>
      </c>
      <c r="AE97" s="1" t="e">
        <f ca="1"/>
        <v>#NAME?</v>
      </c>
      <c r="AF97" s="1" t="e">
        <f t="shared" ca="1" si="25"/>
        <v>#NAME?</v>
      </c>
      <c r="AG97" s="1" t="e">
        <f ca="1"/>
        <v>#NAME?</v>
      </c>
      <c r="AH97" s="1" t="e">
        <f t="shared" ca="1" si="26"/>
        <v>#NAME?</v>
      </c>
      <c r="AI97" s="1" t="e">
        <f ca="1"/>
        <v>#NAME?</v>
      </c>
      <c r="AJ97" s="1" t="e">
        <f t="shared" ca="1" si="35"/>
        <v>#NAME?</v>
      </c>
      <c r="AK97" s="1" t="e">
        <f ca="1"/>
        <v>#NAME?</v>
      </c>
      <c r="AL97" s="1" t="e">
        <f t="shared" ca="1" si="27"/>
        <v>#NAME?</v>
      </c>
      <c r="AN97" s="1">
        <f t="shared" si="17"/>
        <v>3.4074887397673326</v>
      </c>
      <c r="AO97" s="1" t="e">
        <f ca="1"/>
        <v>#NAME?</v>
      </c>
      <c r="AP97" s="1" t="e">
        <f t="shared" ca="1" si="18"/>
        <v>#NAME?</v>
      </c>
    </row>
    <row r="98" spans="1:42" x14ac:dyDescent="0.25">
      <c r="A98" s="1" t="s">
        <v>113</v>
      </c>
      <c r="B98" s="1">
        <v>97</v>
      </c>
      <c r="C98" s="1">
        <v>7488.1670000000004</v>
      </c>
      <c r="D98" s="1">
        <f t="shared" si="28"/>
        <v>3.8743755214097666</v>
      </c>
      <c r="E98" s="1">
        <v>4779.7669999999998</v>
      </c>
      <c r="F98" s="1">
        <f t="shared" si="29"/>
        <v>3.6794067265115706</v>
      </c>
      <c r="G98" s="1">
        <v>1108.328</v>
      </c>
      <c r="H98" s="1">
        <f t="shared" si="30"/>
        <v>3.0446683050763244</v>
      </c>
      <c r="I98" s="1">
        <v>1862.9549999999999</v>
      </c>
      <c r="J98" s="1">
        <f t="shared" si="31"/>
        <v>0.24878651878356878</v>
      </c>
      <c r="K98" s="1">
        <f t="shared" si="32"/>
        <v>3.2702023645646703</v>
      </c>
      <c r="L98" s="1">
        <v>383.72300000000001</v>
      </c>
      <c r="M98" s="1">
        <f t="shared" si="33"/>
        <v>2.5840178311861166</v>
      </c>
      <c r="N98" s="1">
        <v>550.32399999999996</v>
      </c>
      <c r="O98" s="1">
        <f t="shared" si="34"/>
        <v>2.7406184530987883</v>
      </c>
      <c r="P98" s="1">
        <v>-166.601</v>
      </c>
      <c r="Q98" s="1" t="e">
        <f ca="1"/>
        <v>#NAME?</v>
      </c>
      <c r="R98" s="1" t="e">
        <f t="shared" ca="1" si="19"/>
        <v>#NAME?</v>
      </c>
      <c r="S98" s="4">
        <v>1347773000000</v>
      </c>
      <c r="T98" s="1">
        <v>93086.333333333299</v>
      </c>
      <c r="U98" s="1" t="e">
        <f ca="1"/>
        <v>#NAME?</v>
      </c>
      <c r="V98" s="1" t="e">
        <f t="shared" ca="1" si="20"/>
        <v>#NAME?</v>
      </c>
      <c r="W98" s="1" t="e">
        <f ca="1"/>
        <v>#NAME?</v>
      </c>
      <c r="X98" s="1" t="e">
        <f t="shared" ca="1" si="21"/>
        <v>#NAME?</v>
      </c>
      <c r="Y98" s="1" t="e">
        <f ca="1"/>
        <v>#NAME?</v>
      </c>
      <c r="Z98" s="1" t="e">
        <f t="shared" ca="1" si="22"/>
        <v>#NAME?</v>
      </c>
      <c r="AA98" s="1" t="e">
        <f ca="1"/>
        <v>#NAME?</v>
      </c>
      <c r="AB98" s="1" t="e">
        <f t="shared" ca="1" si="23"/>
        <v>#NAME?</v>
      </c>
      <c r="AC98" s="1" t="e">
        <f ca="1"/>
        <v>#NAME?</v>
      </c>
      <c r="AD98" s="1" t="e">
        <f t="shared" ca="1" si="24"/>
        <v>#NAME?</v>
      </c>
      <c r="AE98" s="1" t="e">
        <f ca="1"/>
        <v>#NAME?</v>
      </c>
      <c r="AF98" s="1" t="e">
        <f t="shared" ca="1" si="25"/>
        <v>#NAME?</v>
      </c>
      <c r="AG98" s="1" t="e">
        <f ca="1"/>
        <v>#NAME?</v>
      </c>
      <c r="AH98" s="1" t="e">
        <f t="shared" ca="1" si="26"/>
        <v>#NAME?</v>
      </c>
      <c r="AI98" s="1" t="e">
        <f ca="1"/>
        <v>#NAME?</v>
      </c>
      <c r="AJ98" s="1" t="e">
        <f t="shared" ca="1" si="35"/>
        <v>#NAME?</v>
      </c>
      <c r="AK98" s="1" t="e">
        <f ca="1"/>
        <v>#NAME?</v>
      </c>
      <c r="AL98" s="1" t="e">
        <f t="shared" ca="1" si="27"/>
        <v>#NAME?</v>
      </c>
      <c r="AN98" s="1">
        <f t="shared" si="17"/>
        <v>3.407626499500747</v>
      </c>
      <c r="AO98" s="1" t="e">
        <f ca="1"/>
        <v>#NAME?</v>
      </c>
      <c r="AP98" s="1" t="e">
        <f t="shared" ca="1" si="18"/>
        <v>#NAME?</v>
      </c>
    </row>
    <row r="99" spans="1:42" x14ac:dyDescent="0.25">
      <c r="A99" s="1" t="s">
        <v>114</v>
      </c>
      <c r="B99" s="1">
        <v>98</v>
      </c>
      <c r="C99" s="1">
        <v>7617.5469999999996</v>
      </c>
      <c r="D99" s="1">
        <f t="shared" si="28"/>
        <v>3.8818151424848235</v>
      </c>
      <c r="E99" s="1">
        <v>4846.7309999999998</v>
      </c>
      <c r="F99" s="1">
        <f t="shared" si="29"/>
        <v>3.6854489164717692</v>
      </c>
      <c r="G99" s="1">
        <v>1144.3710000000001</v>
      </c>
      <c r="H99" s="1">
        <f t="shared" si="30"/>
        <v>3.0585668436285451</v>
      </c>
      <c r="I99" s="1">
        <v>1903.424</v>
      </c>
      <c r="J99" s="1">
        <f t="shared" si="31"/>
        <v>0.24987361417002088</v>
      </c>
      <c r="K99" s="1">
        <f t="shared" si="32"/>
        <v>3.2795355409667475</v>
      </c>
      <c r="L99" s="1">
        <v>393.26</v>
      </c>
      <c r="M99" s="1">
        <f t="shared" si="33"/>
        <v>2.594679774879816</v>
      </c>
      <c r="N99" s="1">
        <v>573.37699999999995</v>
      </c>
      <c r="O99" s="1">
        <f t="shared" si="34"/>
        <v>2.7584402680080555</v>
      </c>
      <c r="P99" s="1">
        <v>-180.11699999999999</v>
      </c>
      <c r="Q99" s="1" t="e">
        <f ca="1"/>
        <v>#NAME?</v>
      </c>
      <c r="R99" s="1" t="e">
        <f t="shared" ca="1" si="19"/>
        <v>#NAME?</v>
      </c>
      <c r="S99" s="4">
        <v>1396925000000</v>
      </c>
      <c r="T99" s="1">
        <v>94123</v>
      </c>
      <c r="U99" s="1" t="e">
        <f ca="1"/>
        <v>#NAME?</v>
      </c>
      <c r="V99" s="1" t="e">
        <f t="shared" ca="1" si="20"/>
        <v>#NAME?</v>
      </c>
      <c r="W99" s="1" t="e">
        <f ca="1"/>
        <v>#NAME?</v>
      </c>
      <c r="X99" s="1" t="e">
        <f t="shared" ca="1" si="21"/>
        <v>#NAME?</v>
      </c>
      <c r="Y99" s="1" t="e">
        <f ca="1"/>
        <v>#NAME?</v>
      </c>
      <c r="Z99" s="1" t="e">
        <f t="shared" ca="1" si="22"/>
        <v>#NAME?</v>
      </c>
      <c r="AA99" s="1" t="e">
        <f ca="1"/>
        <v>#NAME?</v>
      </c>
      <c r="AB99" s="1" t="e">
        <f t="shared" ca="1" si="23"/>
        <v>#NAME?</v>
      </c>
      <c r="AC99" s="1" t="e">
        <f ca="1"/>
        <v>#NAME?</v>
      </c>
      <c r="AD99" s="1" t="e">
        <f t="shared" ca="1" si="24"/>
        <v>#NAME?</v>
      </c>
      <c r="AE99" s="1" t="e">
        <f ca="1"/>
        <v>#NAME?</v>
      </c>
      <c r="AF99" s="1" t="e">
        <f t="shared" ca="1" si="25"/>
        <v>#NAME?</v>
      </c>
      <c r="AG99" s="1" t="e">
        <f ca="1"/>
        <v>#NAME?</v>
      </c>
      <c r="AH99" s="1" t="e">
        <f t="shared" ca="1" si="26"/>
        <v>#NAME?</v>
      </c>
      <c r="AI99" s="1" t="e">
        <f ca="1"/>
        <v>#NAME?</v>
      </c>
      <c r="AJ99" s="1" t="e">
        <f t="shared" ca="1" si="35"/>
        <v>#NAME?</v>
      </c>
      <c r="AK99" s="1" t="e">
        <f ca="1"/>
        <v>#NAME?</v>
      </c>
      <c r="AL99" s="1" t="e">
        <f t="shared" ca="1" si="27"/>
        <v>#NAME?</v>
      </c>
      <c r="AN99" s="1">
        <f t="shared" si="17"/>
        <v>3.4063875430874546</v>
      </c>
      <c r="AO99" s="1" t="e">
        <f ca="1"/>
        <v>#NAME?</v>
      </c>
      <c r="AP99" s="1" t="e">
        <f t="shared" ca="1" si="18"/>
        <v>#NAME?</v>
      </c>
    </row>
    <row r="100" spans="1:42" x14ac:dyDescent="0.25">
      <c r="A100" s="1" t="s">
        <v>115</v>
      </c>
      <c r="B100" s="1">
        <v>99</v>
      </c>
      <c r="C100" s="1">
        <v>7690.9849999999997</v>
      </c>
      <c r="D100" s="1">
        <f t="shared" si="28"/>
        <v>3.8859819643359144</v>
      </c>
      <c r="E100" s="1">
        <v>4882.6760000000004</v>
      </c>
      <c r="F100" s="1">
        <f t="shared" si="29"/>
        <v>3.6886579067374043</v>
      </c>
      <c r="G100" s="1">
        <v>1169.136</v>
      </c>
      <c r="H100" s="1">
        <f t="shared" si="30"/>
        <v>3.0678650335006652</v>
      </c>
      <c r="I100" s="1">
        <v>1918.8330000000001</v>
      </c>
      <c r="J100" s="1">
        <f t="shared" si="31"/>
        <v>0.24949119001012227</v>
      </c>
      <c r="K100" s="1">
        <f t="shared" si="32"/>
        <v>3.2830371788342307</v>
      </c>
      <c r="L100" s="1">
        <v>401.94799999999998</v>
      </c>
      <c r="M100" s="1">
        <f t="shared" si="33"/>
        <v>2.6041698720551238</v>
      </c>
      <c r="N100" s="1">
        <v>588.22</v>
      </c>
      <c r="O100" s="1">
        <f t="shared" si="34"/>
        <v>2.7695397868184024</v>
      </c>
      <c r="P100" s="1">
        <v>-186.27199999999999</v>
      </c>
      <c r="Q100" s="1" t="e">
        <f ca="1"/>
        <v>#NAME?</v>
      </c>
      <c r="R100" s="1" t="e">
        <f t="shared" ca="1" si="19"/>
        <v>#NAME?</v>
      </c>
      <c r="S100" s="4">
        <v>1423659000000</v>
      </c>
      <c r="T100" s="1">
        <v>95055</v>
      </c>
      <c r="U100" s="1" t="e">
        <f ca="1"/>
        <v>#NAME?</v>
      </c>
      <c r="V100" s="1" t="e">
        <f t="shared" ca="1" si="20"/>
        <v>#NAME?</v>
      </c>
      <c r="W100" s="1" t="e">
        <f ca="1"/>
        <v>#NAME?</v>
      </c>
      <c r="X100" s="1" t="e">
        <f t="shared" ca="1" si="21"/>
        <v>#NAME?</v>
      </c>
      <c r="Y100" s="1" t="e">
        <f ca="1"/>
        <v>#NAME?</v>
      </c>
      <c r="Z100" s="1" t="e">
        <f t="shared" ca="1" si="22"/>
        <v>#NAME?</v>
      </c>
      <c r="AA100" s="1" t="e">
        <f ca="1"/>
        <v>#NAME?</v>
      </c>
      <c r="AB100" s="1" t="e">
        <f t="shared" ca="1" si="23"/>
        <v>#NAME?</v>
      </c>
      <c r="AC100" s="1" t="e">
        <f ca="1"/>
        <v>#NAME?</v>
      </c>
      <c r="AD100" s="1" t="e">
        <f t="shared" ca="1" si="24"/>
        <v>#NAME?</v>
      </c>
      <c r="AE100" s="1" t="e">
        <f ca="1"/>
        <v>#NAME?</v>
      </c>
      <c r="AF100" s="1" t="e">
        <f t="shared" ca="1" si="25"/>
        <v>#NAME?</v>
      </c>
      <c r="AG100" s="1" t="e">
        <f ca="1"/>
        <v>#NAME?</v>
      </c>
      <c r="AH100" s="1" t="e">
        <f t="shared" ca="1" si="26"/>
        <v>#NAME?</v>
      </c>
      <c r="AI100" s="1" t="e">
        <f ca="1"/>
        <v>#NAME?</v>
      </c>
      <c r="AJ100" s="1" t="e">
        <f t="shared" ca="1" si="35"/>
        <v>#NAME?</v>
      </c>
      <c r="AK100" s="1" t="e">
        <f ca="1"/>
        <v>#NAME?</v>
      </c>
      <c r="AL100" s="1" t="e">
        <f t="shared" ca="1" si="27"/>
        <v>#NAME?</v>
      </c>
      <c r="AN100" s="1">
        <f t="shared" si="17"/>
        <v>3.4048518339154379</v>
      </c>
      <c r="AO100" s="1" t="e">
        <f ca="1"/>
        <v>#NAME?</v>
      </c>
      <c r="AP100" s="1" t="e">
        <f t="shared" ca="1" si="18"/>
        <v>#NAME?</v>
      </c>
    </row>
    <row r="101" spans="1:42" x14ac:dyDescent="0.25">
      <c r="A101" s="1" t="s">
        <v>116</v>
      </c>
      <c r="B101" s="1">
        <v>100</v>
      </c>
      <c r="C101" s="1">
        <v>7754.1170000000002</v>
      </c>
      <c r="D101" s="1">
        <f t="shared" si="28"/>
        <v>3.8895323496852527</v>
      </c>
      <c r="E101" s="1">
        <v>4945.9260000000004</v>
      </c>
      <c r="F101" s="1">
        <f t="shared" si="29"/>
        <v>3.694247614242812</v>
      </c>
      <c r="G101" s="1">
        <v>1153.971</v>
      </c>
      <c r="H101" s="1">
        <f t="shared" si="30"/>
        <v>3.062194894869775</v>
      </c>
      <c r="I101" s="1">
        <v>1959.1210000000001</v>
      </c>
      <c r="J101" s="1">
        <f t="shared" si="31"/>
        <v>0.25265558928244186</v>
      </c>
      <c r="K101" s="1">
        <f t="shared" si="32"/>
        <v>3.2920612598893157</v>
      </c>
      <c r="L101" s="1">
        <v>410.12599999999998</v>
      </c>
      <c r="M101" s="1">
        <f t="shared" si="33"/>
        <v>2.612917302324802</v>
      </c>
      <c r="N101" s="1">
        <v>605.46100000000001</v>
      </c>
      <c r="O101" s="1">
        <f t="shared" si="34"/>
        <v>2.7820861738534957</v>
      </c>
      <c r="P101" s="1">
        <v>-195.33500000000001</v>
      </c>
      <c r="Q101" s="1" t="e">
        <f ca="1"/>
        <v>#NAME?</v>
      </c>
      <c r="R101" s="1" t="e">
        <f t="shared" ca="1" si="19"/>
        <v>#NAME?</v>
      </c>
      <c r="S101" s="4">
        <v>1460603000000</v>
      </c>
      <c r="T101" s="1">
        <v>95906</v>
      </c>
      <c r="U101" s="1" t="e">
        <f ca="1"/>
        <v>#NAME?</v>
      </c>
      <c r="V101" s="1" t="e">
        <f t="shared" ca="1" si="20"/>
        <v>#NAME?</v>
      </c>
      <c r="W101" s="1" t="e">
        <f ca="1"/>
        <v>#NAME?</v>
      </c>
      <c r="X101" s="1" t="e">
        <f t="shared" ca="1" si="21"/>
        <v>#NAME?</v>
      </c>
      <c r="Y101" s="1" t="e">
        <f ca="1"/>
        <v>#NAME?</v>
      </c>
      <c r="Z101" s="1" t="e">
        <f t="shared" ca="1" si="22"/>
        <v>#NAME?</v>
      </c>
      <c r="AA101" s="1" t="e">
        <f ca="1"/>
        <v>#NAME?</v>
      </c>
      <c r="AB101" s="1" t="e">
        <f t="shared" ca="1" si="23"/>
        <v>#NAME?</v>
      </c>
      <c r="AC101" s="1" t="e">
        <f ca="1"/>
        <v>#NAME?</v>
      </c>
      <c r="AD101" s="1" t="e">
        <f t="shared" ca="1" si="24"/>
        <v>#NAME?</v>
      </c>
      <c r="AE101" s="1" t="e">
        <f ca="1"/>
        <v>#NAME?</v>
      </c>
      <c r="AF101" s="1" t="e">
        <f t="shared" ca="1" si="25"/>
        <v>#NAME?</v>
      </c>
      <c r="AG101" s="1" t="e">
        <f ca="1"/>
        <v>#NAME?</v>
      </c>
      <c r="AH101" s="1" t="e">
        <f t="shared" ca="1" si="26"/>
        <v>#NAME?</v>
      </c>
      <c r="AI101" s="1" t="e">
        <f ca="1"/>
        <v>#NAME?</v>
      </c>
      <c r="AJ101" s="1" t="e">
        <f t="shared" ca="1" si="35"/>
        <v>#NAME?</v>
      </c>
      <c r="AK101" s="1" t="e">
        <f ca="1"/>
        <v>#NAME?</v>
      </c>
      <c r="AL101" s="1" t="e">
        <f t="shared" ca="1" si="27"/>
        <v>#NAME?</v>
      </c>
      <c r="AN101" s="1">
        <f t="shared" si="17"/>
        <v>3.4019194639496693</v>
      </c>
      <c r="AO101" s="1" t="e">
        <f ca="1"/>
        <v>#NAME?</v>
      </c>
      <c r="AP101" s="1" t="e">
        <f t="shared" ca="1" si="18"/>
        <v>#NAME?</v>
      </c>
    </row>
    <row r="102" spans="1:42" x14ac:dyDescent="0.25">
      <c r="A102" s="1" t="s">
        <v>117</v>
      </c>
      <c r="B102" s="1">
        <v>101</v>
      </c>
      <c r="C102" s="1">
        <v>7829.26</v>
      </c>
      <c r="D102" s="1">
        <f t="shared" si="28"/>
        <v>3.8937207156845073</v>
      </c>
      <c r="E102" s="1">
        <v>5029.9589999999998</v>
      </c>
      <c r="F102" s="1">
        <f t="shared" si="29"/>
        <v>3.7015644450665977</v>
      </c>
      <c r="G102" s="1">
        <v>1122.3309999999999</v>
      </c>
      <c r="H102" s="1">
        <f t="shared" si="30"/>
        <v>3.0501209587683569</v>
      </c>
      <c r="I102" s="1">
        <v>1980.4580000000001</v>
      </c>
      <c r="J102" s="1">
        <f t="shared" si="31"/>
        <v>0.25295596263248377</v>
      </c>
      <c r="K102" s="1">
        <f t="shared" si="32"/>
        <v>3.2967656366612146</v>
      </c>
      <c r="L102" s="1">
        <v>411.214</v>
      </c>
      <c r="M102" s="1">
        <f t="shared" si="33"/>
        <v>2.614067892026239</v>
      </c>
      <c r="N102" s="1">
        <v>592.10799999999995</v>
      </c>
      <c r="O102" s="1">
        <f t="shared" si="34"/>
        <v>2.772400928895518</v>
      </c>
      <c r="P102" s="1">
        <v>-180.89400000000001</v>
      </c>
      <c r="Q102" s="1" t="e">
        <f ca="1"/>
        <v>#NAME?</v>
      </c>
      <c r="R102" s="1" t="e">
        <f t="shared" ca="1" si="19"/>
        <v>#NAME?</v>
      </c>
      <c r="S102" s="4">
        <v>1474579000000</v>
      </c>
      <c r="T102" s="1">
        <v>96572.333333333299</v>
      </c>
      <c r="U102" s="1" t="e">
        <f ca="1"/>
        <v>#NAME?</v>
      </c>
      <c r="V102" s="1" t="e">
        <f t="shared" ca="1" si="20"/>
        <v>#NAME?</v>
      </c>
      <c r="W102" s="1" t="e">
        <f ca="1"/>
        <v>#NAME?</v>
      </c>
      <c r="X102" s="1" t="e">
        <f t="shared" ca="1" si="21"/>
        <v>#NAME?</v>
      </c>
      <c r="Y102" s="1" t="e">
        <f ca="1"/>
        <v>#NAME?</v>
      </c>
      <c r="Z102" s="1" t="e">
        <f t="shared" ca="1" si="22"/>
        <v>#NAME?</v>
      </c>
      <c r="AA102" s="1" t="e">
        <f ca="1"/>
        <v>#NAME?</v>
      </c>
      <c r="AB102" s="1" t="e">
        <f t="shared" ca="1" si="23"/>
        <v>#NAME?</v>
      </c>
      <c r="AC102" s="1" t="e">
        <f ca="1"/>
        <v>#NAME?</v>
      </c>
      <c r="AD102" s="1" t="e">
        <f t="shared" ca="1" si="24"/>
        <v>#NAME?</v>
      </c>
      <c r="AE102" s="1" t="e">
        <f ca="1"/>
        <v>#NAME?</v>
      </c>
      <c r="AF102" s="1" t="e">
        <f t="shared" ca="1" si="25"/>
        <v>#NAME?</v>
      </c>
      <c r="AG102" s="1" t="e">
        <f ca="1"/>
        <v>#NAME?</v>
      </c>
      <c r="AH102" s="1" t="e">
        <f t="shared" ca="1" si="26"/>
        <v>#NAME?</v>
      </c>
      <c r="AI102" s="1" t="e">
        <f ca="1"/>
        <v>#NAME?</v>
      </c>
      <c r="AJ102" s="1" t="e">
        <f t="shared" ca="1" si="35"/>
        <v>#NAME?</v>
      </c>
      <c r="AK102" s="1" t="e">
        <f ca="1"/>
        <v>#NAME?</v>
      </c>
      <c r="AL102" s="1" t="e">
        <f t="shared" ca="1" si="27"/>
        <v>#NAME?</v>
      </c>
      <c r="AN102" s="1">
        <f t="shared" si="17"/>
        <v>3.4026944757682429</v>
      </c>
      <c r="AO102" s="1" t="e">
        <f ca="1"/>
        <v>#NAME?</v>
      </c>
      <c r="AP102" s="1" t="e">
        <f t="shared" ca="1" si="18"/>
        <v>#NAME?</v>
      </c>
    </row>
    <row r="103" spans="1:42" x14ac:dyDescent="0.25">
      <c r="A103" s="1" t="s">
        <v>118</v>
      </c>
      <c r="B103" s="1">
        <v>102</v>
      </c>
      <c r="C103" s="1">
        <v>7898.1940000000004</v>
      </c>
      <c r="D103" s="1">
        <f t="shared" si="28"/>
        <v>3.8975277969232835</v>
      </c>
      <c r="E103" s="1">
        <v>5076.1360000000004</v>
      </c>
      <c r="F103" s="1">
        <f t="shared" si="29"/>
        <v>3.7055332492103559</v>
      </c>
      <c r="G103" s="1">
        <v>1141.4469999999999</v>
      </c>
      <c r="H103" s="1">
        <f t="shared" si="30"/>
        <v>3.0574557510063567</v>
      </c>
      <c r="I103" s="1">
        <v>2024.41</v>
      </c>
      <c r="J103" s="1">
        <f t="shared" si="31"/>
        <v>0.25631302548405371</v>
      </c>
      <c r="K103" s="1">
        <f t="shared" si="32"/>
        <v>3.306298473931204</v>
      </c>
      <c r="L103" s="1">
        <v>410.33199999999999</v>
      </c>
      <c r="M103" s="1">
        <f t="shared" si="33"/>
        <v>2.6131353870168934</v>
      </c>
      <c r="N103" s="1">
        <v>621.20100000000002</v>
      </c>
      <c r="O103" s="1">
        <f t="shared" si="34"/>
        <v>2.79323214617779</v>
      </c>
      <c r="P103" s="1">
        <v>-210.869</v>
      </c>
      <c r="Q103" s="1" t="e">
        <f ca="1"/>
        <v>#NAME?</v>
      </c>
      <c r="R103" s="1" t="e">
        <f t="shared" ca="1" si="19"/>
        <v>#NAME?</v>
      </c>
      <c r="S103" s="4">
        <v>1505166000000</v>
      </c>
      <c r="T103" s="1">
        <v>97269.666666666701</v>
      </c>
      <c r="U103" s="1" t="e">
        <f ca="1"/>
        <v>#NAME?</v>
      </c>
      <c r="V103" s="1" t="e">
        <f t="shared" ca="1" si="20"/>
        <v>#NAME?</v>
      </c>
      <c r="W103" s="1" t="e">
        <f ca="1"/>
        <v>#NAME?</v>
      </c>
      <c r="X103" s="1" t="e">
        <f t="shared" ca="1" si="21"/>
        <v>#NAME?</v>
      </c>
      <c r="Y103" s="1" t="e">
        <f ca="1"/>
        <v>#NAME?</v>
      </c>
      <c r="Z103" s="1" t="e">
        <f t="shared" ca="1" si="22"/>
        <v>#NAME?</v>
      </c>
      <c r="AA103" s="1" t="e">
        <f ca="1"/>
        <v>#NAME?</v>
      </c>
      <c r="AB103" s="1" t="e">
        <f t="shared" ca="1" si="23"/>
        <v>#NAME?</v>
      </c>
      <c r="AC103" s="1" t="e">
        <f ca="1"/>
        <v>#NAME?</v>
      </c>
      <c r="AD103" s="1" t="e">
        <f t="shared" ca="1" si="24"/>
        <v>#NAME?</v>
      </c>
      <c r="AE103" s="1" t="e">
        <f ca="1"/>
        <v>#NAME?</v>
      </c>
      <c r="AF103" s="1" t="e">
        <f t="shared" ca="1" si="25"/>
        <v>#NAME?</v>
      </c>
      <c r="AG103" s="1" t="e">
        <f ca="1"/>
        <v>#NAME?</v>
      </c>
      <c r="AH103" s="1" t="e">
        <f t="shared" ca="1" si="26"/>
        <v>#NAME?</v>
      </c>
      <c r="AI103" s="1" t="e">
        <f ca="1"/>
        <v>#NAME?</v>
      </c>
      <c r="AJ103" s="1" t="e">
        <f t="shared" ca="1" si="35"/>
        <v>#NAME?</v>
      </c>
      <c r="AK103" s="1" t="e">
        <f ca="1"/>
        <v>#NAME?</v>
      </c>
      <c r="AL103" s="1" t="e">
        <f t="shared" ca="1" si="27"/>
        <v>#NAME?</v>
      </c>
      <c r="AN103" s="1">
        <f t="shared" si="17"/>
        <v>3.4012918594294606</v>
      </c>
      <c r="AO103" s="1" t="e">
        <f ca="1"/>
        <v>#NAME?</v>
      </c>
      <c r="AP103" s="1" t="e">
        <f t="shared" ca="1" si="18"/>
        <v>#NAME?</v>
      </c>
    </row>
    <row r="104" spans="1:42" x14ac:dyDescent="0.25">
      <c r="A104" s="1" t="s">
        <v>119</v>
      </c>
      <c r="B104" s="1">
        <v>103</v>
      </c>
      <c r="C104" s="1">
        <v>8018.8090000000002</v>
      </c>
      <c r="D104" s="1">
        <f t="shared" si="28"/>
        <v>3.9041098691397571</v>
      </c>
      <c r="E104" s="1">
        <v>5172.55</v>
      </c>
      <c r="F104" s="1">
        <f t="shared" si="29"/>
        <v>3.713704697427505</v>
      </c>
      <c r="G104" s="1">
        <v>1133.665</v>
      </c>
      <c r="H104" s="1">
        <f t="shared" si="30"/>
        <v>3.0544847387320231</v>
      </c>
      <c r="I104" s="1">
        <v>2070.5500000000002</v>
      </c>
      <c r="J104" s="1">
        <f t="shared" si="31"/>
        <v>0.25821166210593122</v>
      </c>
      <c r="K104" s="1">
        <f t="shared" si="32"/>
        <v>3.3160857223833897</v>
      </c>
      <c r="L104" s="1">
        <v>404.34699999999998</v>
      </c>
      <c r="M104" s="1">
        <f t="shared" si="33"/>
        <v>2.6067542252671396</v>
      </c>
      <c r="N104" s="1">
        <v>615.19200000000001</v>
      </c>
      <c r="O104" s="1">
        <f t="shared" si="34"/>
        <v>2.7890106792341327</v>
      </c>
      <c r="P104" s="1">
        <v>-210.845</v>
      </c>
      <c r="Q104" s="1" t="e">
        <f ca="1"/>
        <v>#NAME?</v>
      </c>
      <c r="R104" s="1" t="e">
        <f t="shared" ca="1" si="19"/>
        <v>#NAME?</v>
      </c>
      <c r="S104" s="4">
        <v>1510245000000</v>
      </c>
      <c r="T104" s="1">
        <v>97844.333333333299</v>
      </c>
      <c r="U104" s="1" t="e">
        <f ca="1"/>
        <v>#NAME?</v>
      </c>
      <c r="V104" s="1" t="e">
        <f t="shared" ca="1" si="20"/>
        <v>#NAME?</v>
      </c>
      <c r="W104" s="1" t="e">
        <f ca="1"/>
        <v>#NAME?</v>
      </c>
      <c r="X104" s="1" t="e">
        <f t="shared" ca="1" si="21"/>
        <v>#NAME?</v>
      </c>
      <c r="Y104" s="1" t="e">
        <f ca="1"/>
        <v>#NAME?</v>
      </c>
      <c r="Z104" s="1" t="e">
        <f t="shared" ca="1" si="22"/>
        <v>#NAME?</v>
      </c>
      <c r="AA104" s="1" t="e">
        <f ca="1"/>
        <v>#NAME?</v>
      </c>
      <c r="AB104" s="1" t="e">
        <f t="shared" ca="1" si="23"/>
        <v>#NAME?</v>
      </c>
      <c r="AC104" s="1" t="e">
        <f ca="1"/>
        <v>#NAME?</v>
      </c>
      <c r="AD104" s="1" t="e">
        <f t="shared" ca="1" si="24"/>
        <v>#NAME?</v>
      </c>
      <c r="AE104" s="1" t="e">
        <f ca="1"/>
        <v>#NAME?</v>
      </c>
      <c r="AF104" s="1" t="e">
        <f t="shared" ca="1" si="25"/>
        <v>#NAME?</v>
      </c>
      <c r="AG104" s="1" t="e">
        <f ca="1"/>
        <v>#NAME?</v>
      </c>
      <c r="AH104" s="1" t="e">
        <f t="shared" ca="1" si="26"/>
        <v>#NAME?</v>
      </c>
      <c r="AI104" s="1" t="e">
        <f ca="1"/>
        <v>#NAME?</v>
      </c>
      <c r="AJ104" s="1" t="e">
        <f t="shared" ca="1" si="35"/>
        <v>#NAME?</v>
      </c>
      <c r="AK104" s="1" t="e">
        <f ca="1"/>
        <v>#NAME?</v>
      </c>
      <c r="AL104" s="1" t="e">
        <f t="shared" ca="1" si="27"/>
        <v>#NAME?</v>
      </c>
      <c r="AN104" s="1">
        <f t="shared" si="17"/>
        <v>3.4057099685300347</v>
      </c>
      <c r="AO104" s="1" t="e">
        <f ca="1"/>
        <v>#NAME?</v>
      </c>
      <c r="AP104" s="1" t="e">
        <f t="shared" ca="1" si="18"/>
        <v>#NAME?</v>
      </c>
    </row>
    <row r="105" spans="1:42" x14ac:dyDescent="0.25">
      <c r="A105" s="1" t="s">
        <v>120</v>
      </c>
      <c r="B105" s="1">
        <v>104</v>
      </c>
      <c r="C105" s="1">
        <v>8078.415</v>
      </c>
      <c r="D105" s="1">
        <f t="shared" si="28"/>
        <v>3.9073261597501014</v>
      </c>
      <c r="E105" s="1">
        <v>5183.741</v>
      </c>
      <c r="F105" s="1">
        <f t="shared" si="29"/>
        <v>3.7146432943515815</v>
      </c>
      <c r="G105" s="1">
        <v>1175.45</v>
      </c>
      <c r="H105" s="1">
        <f t="shared" si="30"/>
        <v>3.0702041603125725</v>
      </c>
      <c r="I105" s="1">
        <v>2079.0859999999998</v>
      </c>
      <c r="J105" s="1">
        <f t="shared" si="31"/>
        <v>0.25736310897620385</v>
      </c>
      <c r="K105" s="1">
        <f t="shared" si="32"/>
        <v>3.3178724540034117</v>
      </c>
      <c r="L105" s="1">
        <v>416.411</v>
      </c>
      <c r="M105" s="1">
        <f t="shared" si="33"/>
        <v>2.6195221934038253</v>
      </c>
      <c r="N105" s="1">
        <v>639.26700000000005</v>
      </c>
      <c r="O105" s="1">
        <f t="shared" si="34"/>
        <v>2.8056822860265287</v>
      </c>
      <c r="P105" s="1">
        <v>-222.85599999999999</v>
      </c>
      <c r="Q105" s="1" t="e">
        <f ca="1"/>
        <v>#NAME?</v>
      </c>
      <c r="R105" s="1" t="e">
        <f t="shared" ca="1" si="19"/>
        <v>#NAME?</v>
      </c>
      <c r="S105" s="4">
        <v>1533262000000</v>
      </c>
      <c r="T105" s="1">
        <v>98428.333333333299</v>
      </c>
      <c r="U105" s="1" t="e">
        <f ca="1"/>
        <v>#NAME?</v>
      </c>
      <c r="V105" s="1" t="e">
        <f t="shared" ca="1" si="20"/>
        <v>#NAME?</v>
      </c>
      <c r="W105" s="1" t="e">
        <f ca="1"/>
        <v>#NAME?</v>
      </c>
      <c r="X105" s="1" t="e">
        <f t="shared" ca="1" si="21"/>
        <v>#NAME?</v>
      </c>
      <c r="Y105" s="1" t="e">
        <f ca="1"/>
        <v>#NAME?</v>
      </c>
      <c r="Z105" s="1" t="e">
        <f t="shared" ca="1" si="22"/>
        <v>#NAME?</v>
      </c>
      <c r="AA105" s="1" t="e">
        <f ca="1"/>
        <v>#NAME?</v>
      </c>
      <c r="AB105" s="1" t="e">
        <f t="shared" ca="1" si="23"/>
        <v>#NAME?</v>
      </c>
      <c r="AC105" s="1" t="e">
        <f ca="1"/>
        <v>#NAME?</v>
      </c>
      <c r="AD105" s="1" t="e">
        <f t="shared" ca="1" si="24"/>
        <v>#NAME?</v>
      </c>
      <c r="AE105" s="1" t="e">
        <f ca="1"/>
        <v>#NAME?</v>
      </c>
      <c r="AF105" s="1" t="e">
        <f t="shared" ca="1" si="25"/>
        <v>#NAME?</v>
      </c>
      <c r="AG105" s="1" t="e">
        <f ca="1"/>
        <v>#NAME?</v>
      </c>
      <c r="AH105" s="1" t="e">
        <f t="shared" ca="1" si="26"/>
        <v>#NAME?</v>
      </c>
      <c r="AI105" s="1" t="e">
        <f ca="1"/>
        <v>#NAME?</v>
      </c>
      <c r="AJ105" s="1" t="e">
        <f t="shared" ca="1" si="35"/>
        <v>#NAME?</v>
      </c>
      <c r="AK105" s="1" t="e">
        <f ca="1"/>
        <v>#NAME?</v>
      </c>
      <c r="AL105" s="1" t="e">
        <f t="shared" ca="1" si="27"/>
        <v>#NAME?</v>
      </c>
      <c r="AN105" s="1">
        <f t="shared" si="17"/>
        <v>3.4049073816380471</v>
      </c>
      <c r="AO105" s="1" t="e">
        <f ca="1"/>
        <v>#NAME?</v>
      </c>
      <c r="AP105" s="1" t="e">
        <f t="shared" ca="1" si="18"/>
        <v>#NAME?</v>
      </c>
    </row>
    <row r="106" spans="1:42" x14ac:dyDescent="0.25">
      <c r="A106" s="1" t="s">
        <v>121</v>
      </c>
      <c r="B106" s="1">
        <v>105</v>
      </c>
      <c r="C106" s="1">
        <v>8153.8289999999997</v>
      </c>
      <c r="D106" s="1">
        <f t="shared" si="28"/>
        <v>3.9113615992997133</v>
      </c>
      <c r="E106" s="1">
        <v>5229.0410000000002</v>
      </c>
      <c r="F106" s="1">
        <f t="shared" si="29"/>
        <v>3.718422047070419</v>
      </c>
      <c r="G106" s="1">
        <v>1175.105</v>
      </c>
      <c r="H106" s="1">
        <f t="shared" si="30"/>
        <v>3.0700766741679537</v>
      </c>
      <c r="I106" s="1">
        <v>2095.5120000000002</v>
      </c>
      <c r="J106" s="1">
        <f t="shared" si="31"/>
        <v>0.25699729538110255</v>
      </c>
      <c r="K106" s="1">
        <f t="shared" si="32"/>
        <v>3.3212901521748077</v>
      </c>
      <c r="L106" s="1">
        <v>429.45299999999997</v>
      </c>
      <c r="M106" s="1">
        <f t="shared" si="33"/>
        <v>2.6329156409086805</v>
      </c>
      <c r="N106" s="1">
        <v>638.62900000000002</v>
      </c>
      <c r="O106" s="1">
        <f t="shared" si="34"/>
        <v>2.8052486358664597</v>
      </c>
      <c r="P106" s="1">
        <v>-209.17599999999999</v>
      </c>
      <c r="Q106" s="1" t="e">
        <f ca="1"/>
        <v>#NAME?</v>
      </c>
      <c r="R106" s="1" t="e">
        <f t="shared" ca="1" si="19"/>
        <v>#NAME?</v>
      </c>
      <c r="S106" s="4">
        <v>1540813000000</v>
      </c>
      <c r="T106" s="1">
        <v>98837.666666666701</v>
      </c>
      <c r="U106" s="1" t="e">
        <f ca="1"/>
        <v>#NAME?</v>
      </c>
      <c r="V106" s="1" t="e">
        <f t="shared" ca="1" si="20"/>
        <v>#NAME?</v>
      </c>
      <c r="W106" s="1" t="e">
        <f ca="1"/>
        <v>#NAME?</v>
      </c>
      <c r="X106" s="1" t="e">
        <f t="shared" ca="1" si="21"/>
        <v>#NAME?</v>
      </c>
      <c r="Y106" s="1" t="e">
        <f ca="1"/>
        <v>#NAME?</v>
      </c>
      <c r="Z106" s="1" t="e">
        <f t="shared" ca="1" si="22"/>
        <v>#NAME?</v>
      </c>
      <c r="AA106" s="1" t="e">
        <f ca="1"/>
        <v>#NAME?</v>
      </c>
      <c r="AB106" s="1" t="e">
        <f t="shared" ca="1" si="23"/>
        <v>#NAME?</v>
      </c>
      <c r="AC106" s="1" t="e">
        <f ca="1"/>
        <v>#NAME?</v>
      </c>
      <c r="AD106" s="1" t="e">
        <f t="shared" ca="1" si="24"/>
        <v>#NAME?</v>
      </c>
      <c r="AE106" s="1" t="e">
        <f ca="1"/>
        <v>#NAME?</v>
      </c>
      <c r="AF106" s="1" t="e">
        <f t="shared" ca="1" si="25"/>
        <v>#NAME?</v>
      </c>
      <c r="AG106" s="1" t="e">
        <f ca="1"/>
        <v>#NAME?</v>
      </c>
      <c r="AH106" s="1" t="e">
        <f t="shared" ca="1" si="26"/>
        <v>#NAME?</v>
      </c>
      <c r="AI106" s="1" t="e">
        <f ca="1"/>
        <v>#NAME?</v>
      </c>
      <c r="AJ106" s="1" t="e">
        <f t="shared" ca="1" si="35"/>
        <v>#NAME?</v>
      </c>
      <c r="AK106" s="1" t="e">
        <f ca="1"/>
        <v>#NAME?</v>
      </c>
      <c r="AL106" s="1" t="e">
        <f t="shared" ca="1" si="27"/>
        <v>#NAME?</v>
      </c>
      <c r="AN106" s="1">
        <f t="shared" si="17"/>
        <v>3.4070212332143592</v>
      </c>
      <c r="AO106" s="1" t="e">
        <f ca="1"/>
        <v>#NAME?</v>
      </c>
      <c r="AP106" s="1" t="e">
        <f t="shared" ca="1" si="18"/>
        <v>#NAME?</v>
      </c>
    </row>
    <row r="107" spans="1:42" x14ac:dyDescent="0.25">
      <c r="A107" s="1" t="s">
        <v>122</v>
      </c>
      <c r="B107" s="1">
        <v>106</v>
      </c>
      <c r="C107" s="1">
        <v>8190.5519999999997</v>
      </c>
      <c r="D107" s="1">
        <f t="shared" si="28"/>
        <v>3.9133131719039524</v>
      </c>
      <c r="E107" s="1">
        <v>5286.0190000000002</v>
      </c>
      <c r="F107" s="1">
        <f t="shared" si="29"/>
        <v>3.7231287198211032</v>
      </c>
      <c r="G107" s="1">
        <v>1154.5889999999999</v>
      </c>
      <c r="H107" s="1">
        <f t="shared" si="30"/>
        <v>3.0624274155720546</v>
      </c>
      <c r="I107" s="1">
        <v>2139.194</v>
      </c>
      <c r="J107" s="1">
        <f t="shared" si="31"/>
        <v>0.2611782453734498</v>
      </c>
      <c r="K107" s="1">
        <f t="shared" si="32"/>
        <v>3.3302501718127551</v>
      </c>
      <c r="L107" s="1">
        <v>434.077</v>
      </c>
      <c r="M107" s="1">
        <f t="shared" si="33"/>
        <v>2.6375667749248284</v>
      </c>
      <c r="N107" s="1">
        <v>665.80100000000004</v>
      </c>
      <c r="O107" s="1">
        <f t="shared" si="34"/>
        <v>2.8233444431098582</v>
      </c>
      <c r="P107" s="1">
        <v>-231.72399999999999</v>
      </c>
      <c r="Q107" s="1" t="e">
        <f ca="1"/>
        <v>#NAME?</v>
      </c>
      <c r="R107" s="1" t="e">
        <f t="shared" ca="1" si="19"/>
        <v>#NAME?</v>
      </c>
      <c r="S107" s="4">
        <v>1548742000000</v>
      </c>
      <c r="T107" s="1">
        <v>99174.666666666701</v>
      </c>
      <c r="U107" s="1" t="e">
        <f ca="1"/>
        <v>#NAME?</v>
      </c>
      <c r="V107" s="1" t="e">
        <f t="shared" ca="1" si="20"/>
        <v>#NAME?</v>
      </c>
      <c r="W107" s="1" t="e">
        <f ca="1"/>
        <v>#NAME?</v>
      </c>
      <c r="X107" s="1" t="e">
        <f t="shared" ca="1" si="21"/>
        <v>#NAME?</v>
      </c>
      <c r="Y107" s="1" t="e">
        <f ca="1"/>
        <v>#NAME?</v>
      </c>
      <c r="Z107" s="1" t="e">
        <f t="shared" ca="1" si="22"/>
        <v>#NAME?</v>
      </c>
      <c r="AA107" s="1" t="e">
        <f ca="1"/>
        <v>#NAME?</v>
      </c>
      <c r="AB107" s="1" t="e">
        <f t="shared" ca="1" si="23"/>
        <v>#NAME?</v>
      </c>
      <c r="AC107" s="1" t="e">
        <f ca="1"/>
        <v>#NAME?</v>
      </c>
      <c r="AD107" s="1" t="e">
        <f t="shared" ca="1" si="24"/>
        <v>#NAME?</v>
      </c>
      <c r="AE107" s="1" t="e">
        <f ca="1"/>
        <v>#NAME?</v>
      </c>
      <c r="AF107" s="1" t="e">
        <f t="shared" ca="1" si="25"/>
        <v>#NAME?</v>
      </c>
      <c r="AG107" s="1" t="e">
        <f ca="1"/>
        <v>#NAME?</v>
      </c>
      <c r="AH107" s="1" t="e">
        <f t="shared" ca="1" si="26"/>
        <v>#NAME?</v>
      </c>
      <c r="AI107" s="1" t="e">
        <f ca="1"/>
        <v>#NAME?</v>
      </c>
      <c r="AJ107" s="1" t="e">
        <f t="shared" ca="1" si="35"/>
        <v>#NAME?</v>
      </c>
      <c r="AK107" s="1" t="e">
        <f ca="1"/>
        <v>#NAME?</v>
      </c>
      <c r="AL107" s="1" t="e">
        <f t="shared" ca="1" si="27"/>
        <v>#NAME?</v>
      </c>
      <c r="AN107" s="1">
        <f t="shared" si="17"/>
        <v>3.4072242248762823</v>
      </c>
      <c r="AO107" s="1" t="e">
        <f ca="1"/>
        <v>#NAME?</v>
      </c>
      <c r="AP107" s="1" t="e">
        <f t="shared" ca="1" si="18"/>
        <v>#NAME?</v>
      </c>
    </row>
    <row r="108" spans="1:42" x14ac:dyDescent="0.25">
      <c r="A108" s="1" t="s">
        <v>123</v>
      </c>
      <c r="B108" s="1">
        <v>107</v>
      </c>
      <c r="C108" s="1">
        <v>8268.9349999999995</v>
      </c>
      <c r="D108" s="1">
        <f t="shared" si="28"/>
        <v>3.9174495780643501</v>
      </c>
      <c r="E108" s="1">
        <v>5379.527</v>
      </c>
      <c r="F108" s="1">
        <f t="shared" si="29"/>
        <v>3.730744091591927</v>
      </c>
      <c r="G108" s="1">
        <v>1123.5319999999999</v>
      </c>
      <c r="H108" s="1">
        <f t="shared" si="30"/>
        <v>3.0505854463372648</v>
      </c>
      <c r="I108" s="1">
        <v>2185.7890000000002</v>
      </c>
      <c r="J108" s="1">
        <f t="shared" si="31"/>
        <v>0.26433742676656674</v>
      </c>
      <c r="K108" s="1">
        <f t="shared" si="32"/>
        <v>3.3396082360407293</v>
      </c>
      <c r="L108" s="1">
        <v>444.012</v>
      </c>
      <c r="M108" s="1">
        <f t="shared" si="33"/>
        <v>2.6473947076447053</v>
      </c>
      <c r="N108" s="1">
        <v>684.25599999999997</v>
      </c>
      <c r="O108" s="1">
        <f t="shared" si="34"/>
        <v>2.8352186142742939</v>
      </c>
      <c r="P108" s="1">
        <v>-240.244</v>
      </c>
      <c r="Q108" s="1" t="e">
        <f ca="1"/>
        <v>#NAME?</v>
      </c>
      <c r="R108" s="1" t="e">
        <f t="shared" ca="1" si="19"/>
        <v>#NAME?</v>
      </c>
      <c r="S108" s="4">
        <v>1558829000000</v>
      </c>
      <c r="T108" s="1">
        <v>99665</v>
      </c>
      <c r="U108" s="1" t="e">
        <f ca="1"/>
        <v>#NAME?</v>
      </c>
      <c r="V108" s="1" t="e">
        <f t="shared" ca="1" si="20"/>
        <v>#NAME?</v>
      </c>
      <c r="W108" s="1" t="e">
        <f ca="1"/>
        <v>#NAME?</v>
      </c>
      <c r="X108" s="1" t="e">
        <f t="shared" ca="1" si="21"/>
        <v>#NAME?</v>
      </c>
      <c r="Y108" s="1" t="e">
        <f ca="1"/>
        <v>#NAME?</v>
      </c>
      <c r="Z108" s="1" t="e">
        <f t="shared" ca="1" si="22"/>
        <v>#NAME?</v>
      </c>
      <c r="AA108" s="1" t="e">
        <f ca="1"/>
        <v>#NAME?</v>
      </c>
      <c r="AB108" s="1" t="e">
        <f t="shared" ca="1" si="23"/>
        <v>#NAME?</v>
      </c>
      <c r="AC108" s="1" t="e">
        <f ca="1"/>
        <v>#NAME?</v>
      </c>
      <c r="AD108" s="1" t="e">
        <f t="shared" ca="1" si="24"/>
        <v>#NAME?</v>
      </c>
      <c r="AE108" s="1" t="e">
        <f ca="1"/>
        <v>#NAME?</v>
      </c>
      <c r="AF108" s="1" t="e">
        <f t="shared" ca="1" si="25"/>
        <v>#NAME?</v>
      </c>
      <c r="AG108" s="1" t="e">
        <f ca="1"/>
        <v>#NAME?</v>
      </c>
      <c r="AH108" s="1" t="e">
        <f t="shared" ca="1" si="26"/>
        <v>#NAME?</v>
      </c>
      <c r="AI108" s="1" t="e">
        <f ca="1"/>
        <v>#NAME?</v>
      </c>
      <c r="AJ108" s="1" t="e">
        <f t="shared" ca="1" si="35"/>
        <v>#NAME?</v>
      </c>
      <c r="AK108" s="1" t="e">
        <f ca="1"/>
        <v>#NAME?</v>
      </c>
      <c r="AL108" s="1" t="e">
        <f t="shared" ca="1" si="27"/>
        <v>#NAME?</v>
      </c>
      <c r="AN108" s="1">
        <f t="shared" si="17"/>
        <v>3.408974816957743</v>
      </c>
      <c r="AO108" s="1" t="e">
        <f ca="1"/>
        <v>#NAME?</v>
      </c>
      <c r="AP108" s="1" t="e">
        <f t="shared" ca="1" si="18"/>
        <v>#NAME?</v>
      </c>
    </row>
    <row r="109" spans="1:42" x14ac:dyDescent="0.25">
      <c r="A109" s="1" t="s">
        <v>124</v>
      </c>
      <c r="B109" s="1">
        <v>108</v>
      </c>
      <c r="C109" s="1">
        <v>8313.3379999999997</v>
      </c>
      <c r="D109" s="1">
        <f t="shared" si="28"/>
        <v>3.9197754382127989</v>
      </c>
      <c r="E109" s="1">
        <v>5412.5150000000003</v>
      </c>
      <c r="F109" s="1">
        <f t="shared" si="29"/>
        <v>3.7333991129472328</v>
      </c>
      <c r="G109" s="1">
        <v>1126.895</v>
      </c>
      <c r="H109" s="1">
        <f t="shared" si="30"/>
        <v>3.0518834519422926</v>
      </c>
      <c r="I109" s="1">
        <v>2176.7570000000001</v>
      </c>
      <c r="J109" s="1">
        <f t="shared" si="31"/>
        <v>0.26183910722744586</v>
      </c>
      <c r="K109" s="1">
        <f t="shared" si="32"/>
        <v>3.3378099497349631</v>
      </c>
      <c r="L109" s="1">
        <v>460.6</v>
      </c>
      <c r="M109" s="1">
        <f t="shared" si="33"/>
        <v>2.6633239336282122</v>
      </c>
      <c r="N109" s="1">
        <v>689.56700000000001</v>
      </c>
      <c r="O109" s="1">
        <f t="shared" si="34"/>
        <v>2.8385764696658042</v>
      </c>
      <c r="P109" s="1">
        <v>-228.96700000000001</v>
      </c>
      <c r="Q109" s="1" t="e">
        <f ca="1"/>
        <v>#NAME?</v>
      </c>
      <c r="R109" s="1" t="e">
        <f t="shared" ca="1" si="19"/>
        <v>#NAME?</v>
      </c>
      <c r="S109" s="4">
        <v>1564354000000</v>
      </c>
      <c r="T109" s="1">
        <v>100312.66666666701</v>
      </c>
      <c r="U109" s="1" t="e">
        <f ca="1"/>
        <v>#NAME?</v>
      </c>
      <c r="V109" s="1" t="e">
        <f t="shared" ca="1" si="20"/>
        <v>#NAME?</v>
      </c>
      <c r="W109" s="1" t="e">
        <f ca="1"/>
        <v>#NAME?</v>
      </c>
      <c r="X109" s="1" t="e">
        <f t="shared" ca="1" si="21"/>
        <v>#NAME?</v>
      </c>
      <c r="Y109" s="1" t="e">
        <f ca="1"/>
        <v>#NAME?</v>
      </c>
      <c r="Z109" s="1" t="e">
        <f t="shared" ca="1" si="22"/>
        <v>#NAME?</v>
      </c>
      <c r="AA109" s="1" t="e">
        <f ca="1"/>
        <v>#NAME?</v>
      </c>
      <c r="AB109" s="1" t="e">
        <f t="shared" ca="1" si="23"/>
        <v>#NAME?</v>
      </c>
      <c r="AC109" s="1" t="e">
        <f ca="1"/>
        <v>#NAME?</v>
      </c>
      <c r="AD109" s="1" t="e">
        <f t="shared" ca="1" si="24"/>
        <v>#NAME?</v>
      </c>
      <c r="AE109" s="1" t="e">
        <f ca="1"/>
        <v>#NAME?</v>
      </c>
      <c r="AF109" s="1" t="e">
        <f t="shared" ca="1" si="25"/>
        <v>#NAME?</v>
      </c>
      <c r="AG109" s="1" t="e">
        <f ca="1"/>
        <v>#NAME?</v>
      </c>
      <c r="AH109" s="1" t="e">
        <f t="shared" ca="1" si="26"/>
        <v>#NAME?</v>
      </c>
      <c r="AI109" s="1" t="e">
        <f ca="1"/>
        <v>#NAME?</v>
      </c>
      <c r="AJ109" s="1" t="e">
        <f t="shared" ca="1" si="35"/>
        <v>#NAME?</v>
      </c>
      <c r="AK109" s="1" t="e">
        <f ca="1"/>
        <v>#NAME?</v>
      </c>
      <c r="AL109" s="1" t="e">
        <f t="shared" ca="1" si="27"/>
        <v>#NAME?</v>
      </c>
      <c r="AN109" s="1">
        <f t="shared" si="17"/>
        <v>3.4089471284776502</v>
      </c>
      <c r="AO109" s="1" t="e">
        <f ca="1"/>
        <v>#NAME?</v>
      </c>
      <c r="AP109" s="1" t="e">
        <f t="shared" ca="1" si="18"/>
        <v>#NAME?</v>
      </c>
    </row>
    <row r="110" spans="1:42" x14ac:dyDescent="0.25">
      <c r="A110" s="1" t="s">
        <v>125</v>
      </c>
      <c r="B110" s="1">
        <v>109</v>
      </c>
      <c r="C110" s="1">
        <v>8375.2739999999994</v>
      </c>
      <c r="D110" s="1">
        <f t="shared" si="28"/>
        <v>3.9229990240362276</v>
      </c>
      <c r="E110" s="1">
        <v>5417.9040000000005</v>
      </c>
      <c r="F110" s="1">
        <f t="shared" si="29"/>
        <v>3.7338313054886529</v>
      </c>
      <c r="G110" s="1">
        <v>1157.306</v>
      </c>
      <c r="H110" s="1">
        <f t="shared" si="30"/>
        <v>3.0634482047087381</v>
      </c>
      <c r="I110" s="1">
        <v>2189.5230000000001</v>
      </c>
      <c r="J110" s="1">
        <f t="shared" si="31"/>
        <v>0.26142702913361404</v>
      </c>
      <c r="K110" s="1">
        <f t="shared" si="32"/>
        <v>3.3403495116293636</v>
      </c>
      <c r="L110" s="1">
        <v>461.01</v>
      </c>
      <c r="M110" s="1">
        <f t="shared" si="33"/>
        <v>2.6637103459920692</v>
      </c>
      <c r="N110" s="1">
        <v>685.524</v>
      </c>
      <c r="O110" s="1">
        <f t="shared" si="34"/>
        <v>2.8360226639178134</v>
      </c>
      <c r="P110" s="1">
        <v>-224.51400000000001</v>
      </c>
      <c r="Q110" s="1" t="e">
        <f ca="1"/>
        <v>#NAME?</v>
      </c>
      <c r="R110" s="1" t="e">
        <f t="shared" ca="1" si="19"/>
        <v>#NAME?</v>
      </c>
      <c r="S110" s="4">
        <v>1548529000000</v>
      </c>
      <c r="T110" s="1">
        <v>100920.33333333299</v>
      </c>
      <c r="U110" s="1" t="e">
        <f ca="1"/>
        <v>#NAME?</v>
      </c>
      <c r="V110" s="1" t="e">
        <f t="shared" ca="1" si="20"/>
        <v>#NAME?</v>
      </c>
      <c r="W110" s="1" t="e">
        <f ca="1"/>
        <v>#NAME?</v>
      </c>
      <c r="X110" s="1" t="e">
        <f t="shared" ca="1" si="21"/>
        <v>#NAME?</v>
      </c>
      <c r="Y110" s="1" t="e">
        <f ca="1"/>
        <v>#NAME?</v>
      </c>
      <c r="Z110" s="1" t="e">
        <f t="shared" ca="1" si="22"/>
        <v>#NAME?</v>
      </c>
      <c r="AA110" s="1" t="e">
        <f ca="1"/>
        <v>#NAME?</v>
      </c>
      <c r="AB110" s="1" t="e">
        <f t="shared" ca="1" si="23"/>
        <v>#NAME?</v>
      </c>
      <c r="AC110" s="1" t="e">
        <f ca="1"/>
        <v>#NAME?</v>
      </c>
      <c r="AD110" s="1" t="e">
        <f t="shared" ca="1" si="24"/>
        <v>#NAME?</v>
      </c>
      <c r="AE110" s="1" t="e">
        <f ca="1"/>
        <v>#NAME?</v>
      </c>
      <c r="AF110" s="1" t="e">
        <f t="shared" ca="1" si="25"/>
        <v>#NAME?</v>
      </c>
      <c r="AG110" s="1" t="e">
        <f ca="1"/>
        <v>#NAME?</v>
      </c>
      <c r="AH110" s="1" t="e">
        <f t="shared" ca="1" si="26"/>
        <v>#NAME?</v>
      </c>
      <c r="AI110" s="1" t="e">
        <f ca="1"/>
        <v>#NAME?</v>
      </c>
      <c r="AJ110" s="1" t="e">
        <f t="shared" ca="1" si="35"/>
        <v>#NAME?</v>
      </c>
      <c r="AK110" s="1" t="e">
        <f ca="1"/>
        <v>#NAME?</v>
      </c>
      <c r="AL110" s="1" t="e">
        <f t="shared" ca="1" si="27"/>
        <v>#NAME?</v>
      </c>
      <c r="AN110" s="1">
        <f t="shared" si="17"/>
        <v>3.4120817077287207</v>
      </c>
      <c r="AO110" s="1" t="e">
        <f ca="1"/>
        <v>#NAME?</v>
      </c>
      <c r="AP110" s="1" t="e">
        <f t="shared" ca="1" si="18"/>
        <v>#NAME?</v>
      </c>
    </row>
    <row r="111" spans="1:42" x14ac:dyDescent="0.25">
      <c r="A111" s="1" t="s">
        <v>126</v>
      </c>
      <c r="B111" s="1">
        <v>110</v>
      </c>
      <c r="C111" s="1">
        <v>8465.6299999999992</v>
      </c>
      <c r="D111" s="1">
        <f t="shared" si="28"/>
        <v>3.9276592832178641</v>
      </c>
      <c r="E111" s="1">
        <v>5491.8370000000004</v>
      </c>
      <c r="F111" s="1">
        <f t="shared" si="29"/>
        <v>3.7397176387156503</v>
      </c>
      <c r="G111" s="1">
        <v>1157.9090000000001</v>
      </c>
      <c r="H111" s="1">
        <f t="shared" si="30"/>
        <v>3.0636744295548191</v>
      </c>
      <c r="I111" s="1">
        <v>2206.5</v>
      </c>
      <c r="J111" s="1">
        <f t="shared" si="31"/>
        <v>0.26064214949153225</v>
      </c>
      <c r="K111" s="1">
        <f t="shared" si="32"/>
        <v>3.3437039317832116</v>
      </c>
      <c r="L111" s="1">
        <v>480.00299999999999</v>
      </c>
      <c r="M111" s="1">
        <f t="shared" si="33"/>
        <v>2.681243951707617</v>
      </c>
      <c r="N111" s="1">
        <v>702.67499999999995</v>
      </c>
      <c r="O111" s="1">
        <f t="shared" si="34"/>
        <v>2.846754502341561</v>
      </c>
      <c r="P111" s="1">
        <v>-222.672</v>
      </c>
      <c r="Q111" s="1" t="e">
        <f ca="1"/>
        <v>#NAME?</v>
      </c>
      <c r="R111" s="1" t="e">
        <f t="shared" ca="1" si="19"/>
        <v>#NAME?</v>
      </c>
      <c r="S111" s="4">
        <v>1573880000000</v>
      </c>
      <c r="T111" s="1">
        <v>101709</v>
      </c>
      <c r="U111" s="1" t="e">
        <f ca="1"/>
        <v>#NAME?</v>
      </c>
      <c r="V111" s="1" t="e">
        <f t="shared" ca="1" si="20"/>
        <v>#NAME?</v>
      </c>
      <c r="W111" s="1" t="e">
        <f ca="1"/>
        <v>#NAME?</v>
      </c>
      <c r="X111" s="1" t="e">
        <f t="shared" ca="1" si="21"/>
        <v>#NAME?</v>
      </c>
      <c r="Y111" s="1" t="e">
        <f ca="1"/>
        <v>#NAME?</v>
      </c>
      <c r="Z111" s="1" t="e">
        <f t="shared" ca="1" si="22"/>
        <v>#NAME?</v>
      </c>
      <c r="AA111" s="1" t="e">
        <f ca="1"/>
        <v>#NAME?</v>
      </c>
      <c r="AB111" s="1" t="e">
        <f t="shared" ca="1" si="23"/>
        <v>#NAME?</v>
      </c>
      <c r="AC111" s="1" t="e">
        <f ca="1"/>
        <v>#NAME?</v>
      </c>
      <c r="AD111" s="1" t="e">
        <f t="shared" ca="1" si="24"/>
        <v>#NAME?</v>
      </c>
      <c r="AE111" s="1" t="e">
        <f ca="1"/>
        <v>#NAME?</v>
      </c>
      <c r="AF111" s="1" t="e">
        <f t="shared" ca="1" si="25"/>
        <v>#NAME?</v>
      </c>
      <c r="AG111" s="1" t="e">
        <f ca="1"/>
        <v>#NAME?</v>
      </c>
      <c r="AH111" s="1" t="e">
        <f t="shared" ca="1" si="26"/>
        <v>#NAME?</v>
      </c>
      <c r="AI111" s="1" t="e">
        <f ca="1"/>
        <v>#NAME?</v>
      </c>
      <c r="AJ111" s="1" t="e">
        <f t="shared" ca="1" si="35"/>
        <v>#NAME?</v>
      </c>
      <c r="AK111" s="1" t="e">
        <f ca="1"/>
        <v>#NAME?</v>
      </c>
      <c r="AL111" s="1" t="e">
        <f t="shared" ca="1" si="27"/>
        <v>#NAME?</v>
      </c>
      <c r="AN111" s="1">
        <f t="shared" si="17"/>
        <v>3.4120394952373632</v>
      </c>
      <c r="AO111" s="1" t="e">
        <f ca="1"/>
        <v>#NAME?</v>
      </c>
      <c r="AP111" s="1" t="e">
        <f t="shared" ca="1" si="18"/>
        <v>#NAME?</v>
      </c>
    </row>
    <row r="112" spans="1:42" x14ac:dyDescent="0.25">
      <c r="A112" s="1" t="s">
        <v>127</v>
      </c>
      <c r="B112" s="1">
        <v>111</v>
      </c>
      <c r="C112" s="1">
        <v>8539.0750000000007</v>
      </c>
      <c r="D112" s="1">
        <f t="shared" si="28"/>
        <v>3.9314108280480946</v>
      </c>
      <c r="E112" s="1">
        <v>5554.5119999999997</v>
      </c>
      <c r="F112" s="1">
        <f t="shared" si="29"/>
        <v>3.7446459093584594</v>
      </c>
      <c r="G112" s="1">
        <v>1158.077</v>
      </c>
      <c r="H112" s="1">
        <f t="shared" si="30"/>
        <v>3.063737436389133</v>
      </c>
      <c r="I112" s="1">
        <v>2208.8180000000002</v>
      </c>
      <c r="J112" s="1">
        <f t="shared" si="31"/>
        <v>0.25867181164236175</v>
      </c>
      <c r="K112" s="1">
        <f t="shared" si="32"/>
        <v>3.3441599327786271</v>
      </c>
      <c r="L112" s="1">
        <v>500.839</v>
      </c>
      <c r="M112" s="1">
        <f t="shared" si="33"/>
        <v>2.6996981397417539</v>
      </c>
      <c r="N112" s="1">
        <v>716.37199999999996</v>
      </c>
      <c r="O112" s="1">
        <f t="shared" si="34"/>
        <v>2.8551386027449213</v>
      </c>
      <c r="P112" s="1">
        <v>-215.53299999999999</v>
      </c>
      <c r="Q112" s="1" t="e">
        <f ca="1"/>
        <v>#NAME?</v>
      </c>
      <c r="R112" s="1" t="e">
        <f t="shared" ca="1" si="19"/>
        <v>#NAME?</v>
      </c>
      <c r="S112" s="4">
        <v>1599722000000</v>
      </c>
      <c r="T112" s="1">
        <v>102438</v>
      </c>
      <c r="U112" s="1" t="e">
        <f ca="1"/>
        <v>#NAME?</v>
      </c>
      <c r="V112" s="1" t="e">
        <f t="shared" ca="1" si="20"/>
        <v>#NAME?</v>
      </c>
      <c r="W112" s="1" t="e">
        <f ca="1"/>
        <v>#NAME?</v>
      </c>
      <c r="X112" s="1" t="e">
        <f t="shared" ca="1" si="21"/>
        <v>#NAME?</v>
      </c>
      <c r="Y112" s="1" t="e">
        <f ca="1"/>
        <v>#NAME?</v>
      </c>
      <c r="Z112" s="1" t="e">
        <f t="shared" ca="1" si="22"/>
        <v>#NAME?</v>
      </c>
      <c r="AA112" s="1" t="e">
        <f ca="1"/>
        <v>#NAME?</v>
      </c>
      <c r="AB112" s="1" t="e">
        <f t="shared" ca="1" si="23"/>
        <v>#NAME?</v>
      </c>
      <c r="AC112" s="1" t="e">
        <f ca="1"/>
        <v>#NAME?</v>
      </c>
      <c r="AD112" s="1" t="e">
        <f t="shared" ca="1" si="24"/>
        <v>#NAME?</v>
      </c>
      <c r="AE112" s="1" t="e">
        <f ca="1"/>
        <v>#NAME?</v>
      </c>
      <c r="AF112" s="1" t="e">
        <f t="shared" ca="1" si="25"/>
        <v>#NAME?</v>
      </c>
      <c r="AG112" s="1" t="e">
        <f ca="1"/>
        <v>#NAME?</v>
      </c>
      <c r="AH112" s="1" t="e">
        <f t="shared" ca="1" si="26"/>
        <v>#NAME?</v>
      </c>
      <c r="AI112" s="1" t="e">
        <f ca="1"/>
        <v>#NAME?</v>
      </c>
      <c r="AJ112" s="1" t="e">
        <f t="shared" ca="1" si="35"/>
        <v>#NAME?</v>
      </c>
      <c r="AK112" s="1" t="e">
        <f ca="1"/>
        <v>#NAME?</v>
      </c>
      <c r="AL112" s="1" t="e">
        <f t="shared" ca="1" si="27"/>
        <v>#NAME?</v>
      </c>
      <c r="AN112" s="1">
        <f t="shared" si="17"/>
        <v>3.4112597037166044</v>
      </c>
      <c r="AO112" s="1" t="e">
        <f ca="1"/>
        <v>#NAME?</v>
      </c>
      <c r="AP112" s="1" t="e">
        <f t="shared" ca="1" si="18"/>
        <v>#NAME?</v>
      </c>
    </row>
    <row r="113" spans="1:42" x14ac:dyDescent="0.25">
      <c r="A113" s="1" t="s">
        <v>128</v>
      </c>
      <c r="B113" s="1">
        <v>112</v>
      </c>
      <c r="C113" s="1">
        <v>8685.6939999999995</v>
      </c>
      <c r="D113" s="1">
        <f t="shared" si="28"/>
        <v>3.9388045249511023</v>
      </c>
      <c r="E113" s="1">
        <v>5566.2629999999999</v>
      </c>
      <c r="F113" s="1">
        <f t="shared" si="29"/>
        <v>3.7455637224346616</v>
      </c>
      <c r="G113" s="1">
        <v>1236.9860000000001</v>
      </c>
      <c r="H113" s="1">
        <f t="shared" si="30"/>
        <v>3.0923647843848574</v>
      </c>
      <c r="I113" s="1">
        <v>2241.9340000000002</v>
      </c>
      <c r="J113" s="1">
        <f t="shared" si="31"/>
        <v>0.25811800415718078</v>
      </c>
      <c r="K113" s="1">
        <f t="shared" si="32"/>
        <v>3.3506228233090387</v>
      </c>
      <c r="L113" s="1">
        <v>519.52300000000002</v>
      </c>
      <c r="M113" s="1">
        <f t="shared" si="33"/>
        <v>2.7156047791347211</v>
      </c>
      <c r="N113" s="1">
        <v>732.84500000000003</v>
      </c>
      <c r="O113" s="1">
        <f t="shared" si="34"/>
        <v>2.8650121291254753</v>
      </c>
      <c r="P113" s="1">
        <v>-213.322</v>
      </c>
      <c r="Q113" s="1" t="e">
        <f ca="1"/>
        <v>#NAME?</v>
      </c>
      <c r="R113" s="1" t="e">
        <f t="shared" ca="1" si="19"/>
        <v>#NAME?</v>
      </c>
      <c r="S113" s="4">
        <v>1600450000000</v>
      </c>
      <c r="T113" s="1">
        <v>103390.33333333299</v>
      </c>
      <c r="U113" s="1" t="e">
        <f ca="1"/>
        <v>#NAME?</v>
      </c>
      <c r="V113" s="1" t="e">
        <f t="shared" ca="1" si="20"/>
        <v>#NAME?</v>
      </c>
      <c r="W113" s="1" t="e">
        <f ca="1"/>
        <v>#NAME?</v>
      </c>
      <c r="X113" s="1" t="e">
        <f t="shared" ca="1" si="21"/>
        <v>#NAME?</v>
      </c>
      <c r="Y113" s="1" t="e">
        <f ca="1"/>
        <v>#NAME?</v>
      </c>
      <c r="Z113" s="1" t="e">
        <f t="shared" ca="1" si="22"/>
        <v>#NAME?</v>
      </c>
      <c r="AA113" s="1" t="e">
        <f ca="1"/>
        <v>#NAME?</v>
      </c>
      <c r="AB113" s="1" t="e">
        <f t="shared" ca="1" si="23"/>
        <v>#NAME?</v>
      </c>
      <c r="AC113" s="1" t="e">
        <f ca="1"/>
        <v>#NAME?</v>
      </c>
      <c r="AD113" s="1" t="e">
        <f t="shared" ca="1" si="24"/>
        <v>#NAME?</v>
      </c>
      <c r="AE113" s="1" t="e">
        <f ca="1"/>
        <v>#NAME?</v>
      </c>
      <c r="AF113" s="1" t="e">
        <f t="shared" ca="1" si="25"/>
        <v>#NAME?</v>
      </c>
      <c r="AG113" s="1" t="e">
        <f ca="1"/>
        <v>#NAME?</v>
      </c>
      <c r="AH113" s="1" t="e">
        <f t="shared" ca="1" si="26"/>
        <v>#NAME?</v>
      </c>
      <c r="AI113" s="1" t="e">
        <f ca="1"/>
        <v>#NAME?</v>
      </c>
      <c r="AJ113" s="1" t="e">
        <f t="shared" ca="1" si="35"/>
        <v>#NAME?</v>
      </c>
      <c r="AK113" s="1" t="e">
        <f ca="1"/>
        <v>#NAME?</v>
      </c>
      <c r="AL113" s="1" t="e">
        <f t="shared" ca="1" si="27"/>
        <v>#NAME?</v>
      </c>
      <c r="AN113" s="1">
        <f t="shared" si="17"/>
        <v>3.4160102063372548</v>
      </c>
      <c r="AO113" s="1" t="e">
        <f ca="1"/>
        <v>#NAME?</v>
      </c>
      <c r="AP113" s="1" t="e">
        <f t="shared" ca="1" si="18"/>
        <v>#NAME?</v>
      </c>
    </row>
    <row r="114" spans="1:42" x14ac:dyDescent="0.25">
      <c r="A114" s="1" t="s">
        <v>129</v>
      </c>
      <c r="B114" s="1">
        <v>113</v>
      </c>
      <c r="C114" s="1">
        <v>8730.5689999999995</v>
      </c>
      <c r="D114" s="1">
        <f t="shared" si="28"/>
        <v>3.9410425490328809</v>
      </c>
      <c r="E114" s="1">
        <v>5664.5929999999998</v>
      </c>
      <c r="F114" s="1">
        <f t="shared" si="29"/>
        <v>3.7531687113390468</v>
      </c>
      <c r="G114" s="1">
        <v>1177.604</v>
      </c>
      <c r="H114" s="1">
        <f t="shared" si="30"/>
        <v>3.0709992721759791</v>
      </c>
      <c r="I114" s="1">
        <v>2223.2289999999998</v>
      </c>
      <c r="J114" s="1">
        <f t="shared" si="31"/>
        <v>0.25464880925859473</v>
      </c>
      <c r="K114" s="1">
        <f t="shared" si="32"/>
        <v>3.3469841987827342</v>
      </c>
      <c r="L114" s="1">
        <v>548.37300000000005</v>
      </c>
      <c r="M114" s="1">
        <f t="shared" si="33"/>
        <v>2.7390760634776514</v>
      </c>
      <c r="N114" s="1">
        <v>729.39300000000003</v>
      </c>
      <c r="O114" s="1">
        <f t="shared" si="34"/>
        <v>2.8629615910644626</v>
      </c>
      <c r="P114" s="1">
        <v>-181.02</v>
      </c>
      <c r="Q114" s="1" t="e">
        <f ca="1"/>
        <v>#NAME?</v>
      </c>
      <c r="R114" s="1" t="e">
        <f t="shared" ca="1" si="19"/>
        <v>#NAME?</v>
      </c>
      <c r="S114" s="4">
        <v>1589205000000</v>
      </c>
      <c r="T114" s="1">
        <v>104152</v>
      </c>
      <c r="U114" s="1" t="e">
        <f ca="1"/>
        <v>#NAME?</v>
      </c>
      <c r="V114" s="1" t="e">
        <f t="shared" ca="1" si="20"/>
        <v>#NAME?</v>
      </c>
      <c r="W114" s="1" t="e">
        <f ca="1"/>
        <v>#NAME?</v>
      </c>
      <c r="X114" s="1" t="e">
        <f t="shared" ca="1" si="21"/>
        <v>#NAME?</v>
      </c>
      <c r="Y114" s="1" t="e">
        <f ca="1"/>
        <v>#NAME?</v>
      </c>
      <c r="Z114" s="1" t="e">
        <f t="shared" ca="1" si="22"/>
        <v>#NAME?</v>
      </c>
      <c r="AA114" s="1" t="e">
        <f ca="1"/>
        <v>#NAME?</v>
      </c>
      <c r="AB114" s="1" t="e">
        <f t="shared" ca="1" si="23"/>
        <v>#NAME?</v>
      </c>
      <c r="AC114" s="1" t="e">
        <f ca="1"/>
        <v>#NAME?</v>
      </c>
      <c r="AD114" s="1" t="e">
        <f t="shared" ca="1" si="24"/>
        <v>#NAME?</v>
      </c>
      <c r="AE114" s="1" t="e">
        <f ca="1"/>
        <v>#NAME?</v>
      </c>
      <c r="AF114" s="1" t="e">
        <f t="shared" ca="1" si="25"/>
        <v>#NAME?</v>
      </c>
      <c r="AG114" s="1" t="e">
        <f ca="1"/>
        <v>#NAME?</v>
      </c>
      <c r="AH114" s="1" t="e">
        <f t="shared" ca="1" si="26"/>
        <v>#NAME?</v>
      </c>
      <c r="AI114" s="1" t="e">
        <f ca="1"/>
        <v>#NAME?</v>
      </c>
      <c r="AJ114" s="1" t="e">
        <f t="shared" ca="1" si="35"/>
        <v>#NAME?</v>
      </c>
      <c r="AK114" s="1" t="e">
        <f ca="1"/>
        <v>#NAME?</v>
      </c>
      <c r="AL114" s="1" t="e">
        <f t="shared" ca="1" si="27"/>
        <v>#NAME?</v>
      </c>
      <c r="AN114" s="1">
        <f t="shared" ref="AN114:AN177" si="36">LOG(C114*10^9)-0.36*LOG(S114)-0.64*LOG(T114*10^3)</f>
        <v>3.4173105038790776</v>
      </c>
      <c r="AO114" s="1" t="e">
        <f ca="1"/>
        <v>#NAME?</v>
      </c>
      <c r="AP114" s="1" t="e">
        <f t="shared" ref="AP114:AP177" ca="1" si="37">100*(AN114-AO114)/AO114</f>
        <v>#NAME?</v>
      </c>
    </row>
    <row r="115" spans="1:42" x14ac:dyDescent="0.25">
      <c r="A115" s="1" t="s">
        <v>130</v>
      </c>
      <c r="B115" s="1">
        <v>114</v>
      </c>
      <c r="C115" s="1">
        <v>8845.2800000000007</v>
      </c>
      <c r="D115" s="1">
        <f t="shared" si="28"/>
        <v>3.9467115851858474</v>
      </c>
      <c r="E115" s="1">
        <v>5706.4139999999998</v>
      </c>
      <c r="F115" s="1">
        <f t="shared" si="29"/>
        <v>3.7563632765031794</v>
      </c>
      <c r="G115" s="1">
        <v>1205.662</v>
      </c>
      <c r="H115" s="1">
        <f t="shared" si="30"/>
        <v>3.0812255730537035</v>
      </c>
      <c r="I115" s="1">
        <v>2229.8679999999999</v>
      </c>
      <c r="J115" s="1">
        <f t="shared" si="31"/>
        <v>0.25209693757574658</v>
      </c>
      <c r="K115" s="1">
        <f t="shared" si="32"/>
        <v>3.3482791551699775</v>
      </c>
      <c r="L115" s="1">
        <v>563.74099999999999</v>
      </c>
      <c r="M115" s="1">
        <f t="shared" si="33"/>
        <v>2.7510796215263054</v>
      </c>
      <c r="N115" s="1">
        <v>720.99199999999996</v>
      </c>
      <c r="O115" s="1">
        <f t="shared" si="34"/>
        <v>2.8579304458912311</v>
      </c>
      <c r="P115" s="1">
        <v>-157.251</v>
      </c>
      <c r="Q115" s="1" t="e">
        <f ca="1"/>
        <v>#NAME?</v>
      </c>
      <c r="R115" s="1" t="e">
        <f t="shared" ca="1" si="19"/>
        <v>#NAME?</v>
      </c>
      <c r="S115" s="4">
        <v>1617439000000</v>
      </c>
      <c r="T115" s="1">
        <v>105006.66666666701</v>
      </c>
      <c r="U115" s="1" t="e">
        <f ca="1"/>
        <v>#NAME?</v>
      </c>
      <c r="V115" s="1" t="e">
        <f t="shared" ca="1" si="20"/>
        <v>#NAME?</v>
      </c>
      <c r="W115" s="1" t="e">
        <f ca="1"/>
        <v>#NAME?</v>
      </c>
      <c r="X115" s="1" t="e">
        <f t="shared" ca="1" si="21"/>
        <v>#NAME?</v>
      </c>
      <c r="Y115" s="1" t="e">
        <f ca="1"/>
        <v>#NAME?</v>
      </c>
      <c r="Z115" s="1" t="e">
        <f t="shared" ca="1" si="22"/>
        <v>#NAME?</v>
      </c>
      <c r="AA115" s="1" t="e">
        <f ca="1"/>
        <v>#NAME?</v>
      </c>
      <c r="AB115" s="1" t="e">
        <f t="shared" ca="1" si="23"/>
        <v>#NAME?</v>
      </c>
      <c r="AC115" s="1" t="e">
        <f ca="1"/>
        <v>#NAME?</v>
      </c>
      <c r="AD115" s="1" t="e">
        <f t="shared" ca="1" si="24"/>
        <v>#NAME?</v>
      </c>
      <c r="AE115" s="1" t="e">
        <f ca="1"/>
        <v>#NAME?</v>
      </c>
      <c r="AF115" s="1" t="e">
        <f t="shared" ca="1" si="25"/>
        <v>#NAME?</v>
      </c>
      <c r="AG115" s="1" t="e">
        <f ca="1"/>
        <v>#NAME?</v>
      </c>
      <c r="AH115" s="1" t="e">
        <f t="shared" ca="1" si="26"/>
        <v>#NAME?</v>
      </c>
      <c r="AI115" s="1" t="e">
        <f ca="1"/>
        <v>#NAME?</v>
      </c>
      <c r="AJ115" s="1" t="e">
        <f t="shared" ca="1" si="35"/>
        <v>#NAME?</v>
      </c>
      <c r="AK115" s="1" t="e">
        <f ca="1"/>
        <v>#NAME?</v>
      </c>
      <c r="AL115" s="1" t="e">
        <f t="shared" ca="1" si="27"/>
        <v>#NAME?</v>
      </c>
      <c r="AN115" s="1">
        <f t="shared" si="36"/>
        <v>3.4179547389700682</v>
      </c>
      <c r="AO115" s="1" t="e">
        <f ca="1"/>
        <v>#NAME?</v>
      </c>
      <c r="AP115" s="1" t="e">
        <f t="shared" ca="1" si="37"/>
        <v>#NAME?</v>
      </c>
    </row>
    <row r="116" spans="1:42" x14ac:dyDescent="0.25">
      <c r="A116" s="1" t="s">
        <v>131</v>
      </c>
      <c r="B116" s="1">
        <v>115</v>
      </c>
      <c r="C116" s="1">
        <v>8897.107</v>
      </c>
      <c r="D116" s="1">
        <f t="shared" si="28"/>
        <v>3.9492488135906472</v>
      </c>
      <c r="E116" s="1">
        <v>5757.12</v>
      </c>
      <c r="F116" s="1">
        <f t="shared" si="29"/>
        <v>3.7602052818773477</v>
      </c>
      <c r="G116" s="1">
        <v>1212.3599999999999</v>
      </c>
      <c r="H116" s="1">
        <f t="shared" si="30"/>
        <v>3.083631599036849</v>
      </c>
      <c r="I116" s="1">
        <v>2230.13</v>
      </c>
      <c r="J116" s="1">
        <f t="shared" si="31"/>
        <v>0.25065788238806164</v>
      </c>
      <c r="K116" s="1">
        <f t="shared" si="32"/>
        <v>3.3483301799257688</v>
      </c>
      <c r="L116" s="1">
        <v>574.85</v>
      </c>
      <c r="M116" s="1">
        <f t="shared" si="33"/>
        <v>2.7595545356968838</v>
      </c>
      <c r="N116" s="1">
        <v>738.00300000000004</v>
      </c>
      <c r="O116" s="1">
        <f t="shared" si="34"/>
        <v>2.8680581272441765</v>
      </c>
      <c r="P116" s="1">
        <v>-163.15299999999999</v>
      </c>
      <c r="Q116" s="1" t="e">
        <f ca="1"/>
        <v>#NAME?</v>
      </c>
      <c r="R116" s="1" t="e">
        <f t="shared" ca="1" si="19"/>
        <v>#NAME?</v>
      </c>
      <c r="S116" s="4">
        <v>1621352000000</v>
      </c>
      <c r="T116" s="1">
        <v>105745.66666666701</v>
      </c>
      <c r="U116" s="1" t="e">
        <f ca="1"/>
        <v>#NAME?</v>
      </c>
      <c r="V116" s="1" t="e">
        <f t="shared" ca="1" si="20"/>
        <v>#NAME?</v>
      </c>
      <c r="W116" s="1" t="e">
        <f ca="1"/>
        <v>#NAME?</v>
      </c>
      <c r="X116" s="1" t="e">
        <f t="shared" ca="1" si="21"/>
        <v>#NAME?</v>
      </c>
      <c r="Y116" s="1" t="e">
        <f ca="1"/>
        <v>#NAME?</v>
      </c>
      <c r="Z116" s="1" t="e">
        <f t="shared" ca="1" si="22"/>
        <v>#NAME?</v>
      </c>
      <c r="AA116" s="1" t="e">
        <f ca="1"/>
        <v>#NAME?</v>
      </c>
      <c r="AB116" s="1" t="e">
        <f t="shared" ca="1" si="23"/>
        <v>#NAME?</v>
      </c>
      <c r="AC116" s="1" t="e">
        <f ca="1"/>
        <v>#NAME?</v>
      </c>
      <c r="AD116" s="1" t="e">
        <f t="shared" ca="1" si="24"/>
        <v>#NAME?</v>
      </c>
      <c r="AE116" s="1" t="e">
        <f ca="1"/>
        <v>#NAME?</v>
      </c>
      <c r="AF116" s="1" t="e">
        <f t="shared" ca="1" si="25"/>
        <v>#NAME?</v>
      </c>
      <c r="AG116" s="1" t="e">
        <f ca="1"/>
        <v>#NAME?</v>
      </c>
      <c r="AH116" s="1" t="e">
        <f t="shared" ca="1" si="26"/>
        <v>#NAME?</v>
      </c>
      <c r="AI116" s="1" t="e">
        <f ca="1"/>
        <v>#NAME?</v>
      </c>
      <c r="AJ116" s="1" t="e">
        <f t="shared" ca="1" si="35"/>
        <v>#NAME?</v>
      </c>
      <c r="AK116" s="1" t="e">
        <f ca="1"/>
        <v>#NAME?</v>
      </c>
      <c r="AL116" s="1" t="e">
        <f t="shared" ca="1" si="27"/>
        <v>#NAME?</v>
      </c>
      <c r="AN116" s="1">
        <f t="shared" si="36"/>
        <v>3.418164930507043</v>
      </c>
      <c r="AO116" s="1" t="e">
        <f ca="1"/>
        <v>#NAME?</v>
      </c>
      <c r="AP116" s="1" t="e">
        <f t="shared" ca="1" si="37"/>
        <v>#NAME?</v>
      </c>
    </row>
    <row r="117" spans="1:42" x14ac:dyDescent="0.25">
      <c r="A117" s="1" t="s">
        <v>132</v>
      </c>
      <c r="B117" s="1">
        <v>116</v>
      </c>
      <c r="C117" s="1">
        <v>9015.6610000000001</v>
      </c>
      <c r="D117" s="1">
        <f t="shared" si="28"/>
        <v>3.9549975733356026</v>
      </c>
      <c r="E117" s="1">
        <v>5822.5789999999997</v>
      </c>
      <c r="F117" s="1">
        <f t="shared" si="29"/>
        <v>3.7651153896981424</v>
      </c>
      <c r="G117" s="1">
        <v>1230.8610000000001</v>
      </c>
      <c r="H117" s="1">
        <f t="shared" si="30"/>
        <v>3.0902090112242107</v>
      </c>
      <c r="I117" s="1">
        <v>2273.404</v>
      </c>
      <c r="J117" s="1">
        <f t="shared" si="31"/>
        <v>0.25216165514652777</v>
      </c>
      <c r="K117" s="1">
        <f t="shared" si="32"/>
        <v>3.3566766197900697</v>
      </c>
      <c r="L117" s="1">
        <v>592.39499999999998</v>
      </c>
      <c r="M117" s="1">
        <f t="shared" si="33"/>
        <v>2.7726113842827065</v>
      </c>
      <c r="N117" s="1">
        <v>760.48400000000004</v>
      </c>
      <c r="O117" s="1">
        <f t="shared" si="34"/>
        <v>2.8810900812623799</v>
      </c>
      <c r="P117" s="1">
        <v>-168.089</v>
      </c>
      <c r="Q117" s="1" t="e">
        <f ca="1"/>
        <v>#NAME?</v>
      </c>
      <c r="R117" s="1" t="e">
        <f t="shared" ca="1" si="19"/>
        <v>#NAME?</v>
      </c>
      <c r="S117" s="4">
        <v>1640766000000</v>
      </c>
      <c r="T117" s="1">
        <v>106597</v>
      </c>
      <c r="U117" s="1" t="e">
        <f ca="1"/>
        <v>#NAME?</v>
      </c>
      <c r="V117" s="1" t="e">
        <f t="shared" ca="1" si="20"/>
        <v>#NAME?</v>
      </c>
      <c r="W117" s="1" t="e">
        <f ca="1"/>
        <v>#NAME?</v>
      </c>
      <c r="X117" s="1" t="e">
        <f t="shared" ca="1" si="21"/>
        <v>#NAME?</v>
      </c>
      <c r="Y117" s="1" t="e">
        <f ca="1"/>
        <v>#NAME?</v>
      </c>
      <c r="Z117" s="1" t="e">
        <f t="shared" ca="1" si="22"/>
        <v>#NAME?</v>
      </c>
      <c r="AA117" s="1" t="e">
        <f ca="1"/>
        <v>#NAME?</v>
      </c>
      <c r="AB117" s="1" t="e">
        <f t="shared" ca="1" si="23"/>
        <v>#NAME?</v>
      </c>
      <c r="AC117" s="1" t="e">
        <f ca="1"/>
        <v>#NAME?</v>
      </c>
      <c r="AD117" s="1" t="e">
        <f t="shared" ca="1" si="24"/>
        <v>#NAME?</v>
      </c>
      <c r="AE117" s="1" t="e">
        <f ca="1"/>
        <v>#NAME?</v>
      </c>
      <c r="AF117" s="1" t="e">
        <f t="shared" ca="1" si="25"/>
        <v>#NAME?</v>
      </c>
      <c r="AG117" s="1" t="e">
        <f ca="1"/>
        <v>#NAME?</v>
      </c>
      <c r="AH117" s="1" t="e">
        <f t="shared" ca="1" si="26"/>
        <v>#NAME?</v>
      </c>
      <c r="AI117" s="1" t="e">
        <f ca="1"/>
        <v>#NAME?</v>
      </c>
      <c r="AJ117" s="1" t="e">
        <f t="shared" ca="1" si="35"/>
        <v>#NAME?</v>
      </c>
      <c r="AK117" s="1" t="e">
        <f ca="1"/>
        <v>#NAME?</v>
      </c>
      <c r="AL117" s="1" t="e">
        <f t="shared" ca="1" si="27"/>
        <v>#NAME?</v>
      </c>
      <c r="AN117" s="1">
        <f t="shared" si="36"/>
        <v>3.419823991356548</v>
      </c>
      <c r="AO117" s="1" t="e">
        <f ca="1"/>
        <v>#NAME?</v>
      </c>
      <c r="AP117" s="1" t="e">
        <f t="shared" ca="1" si="37"/>
        <v>#NAME?</v>
      </c>
    </row>
    <row r="118" spans="1:42" x14ac:dyDescent="0.25">
      <c r="A118" s="1" t="s">
        <v>133</v>
      </c>
      <c r="B118" s="1">
        <v>117</v>
      </c>
      <c r="C118" s="1">
        <v>9107.3140000000003</v>
      </c>
      <c r="D118" s="1">
        <f t="shared" si="28"/>
        <v>3.9593903103450812</v>
      </c>
      <c r="E118" s="1">
        <v>5849.5919999999996</v>
      </c>
      <c r="F118" s="1">
        <f t="shared" si="29"/>
        <v>3.7671255757697168</v>
      </c>
      <c r="G118" s="1">
        <v>1272.6379999999999</v>
      </c>
      <c r="H118" s="1">
        <f t="shared" si="30"/>
        <v>3.1047048867957923</v>
      </c>
      <c r="I118" s="1">
        <v>2263.4110000000001</v>
      </c>
      <c r="J118" s="1">
        <f t="shared" si="31"/>
        <v>0.24852673356820681</v>
      </c>
      <c r="K118" s="1">
        <f t="shared" si="32"/>
        <v>3.3547634221938489</v>
      </c>
      <c r="L118" s="1">
        <v>610.08799999999997</v>
      </c>
      <c r="M118" s="1">
        <f t="shared" si="33"/>
        <v>2.7853924828107188</v>
      </c>
      <c r="N118" s="1">
        <v>764.02099999999996</v>
      </c>
      <c r="O118" s="1">
        <f t="shared" si="34"/>
        <v>2.8831052958254011</v>
      </c>
      <c r="P118" s="1">
        <v>-153.93299999999999</v>
      </c>
      <c r="Q118" s="1" t="e">
        <f ca="1"/>
        <v>#NAME?</v>
      </c>
      <c r="R118" s="1" t="e">
        <f t="shared" ca="1" si="19"/>
        <v>#NAME?</v>
      </c>
      <c r="S118" s="4">
        <v>1650856000000</v>
      </c>
      <c r="T118" s="1">
        <v>107403</v>
      </c>
      <c r="U118" s="1" t="e">
        <f ca="1"/>
        <v>#NAME?</v>
      </c>
      <c r="V118" s="1" t="e">
        <f t="shared" ca="1" si="20"/>
        <v>#NAME?</v>
      </c>
      <c r="W118" s="1" t="e">
        <f ca="1"/>
        <v>#NAME?</v>
      </c>
      <c r="X118" s="1" t="e">
        <f t="shared" ca="1" si="21"/>
        <v>#NAME?</v>
      </c>
      <c r="Y118" s="1" t="e">
        <f ca="1"/>
        <v>#NAME?</v>
      </c>
      <c r="Z118" s="1" t="e">
        <f t="shared" ca="1" si="22"/>
        <v>#NAME?</v>
      </c>
      <c r="AA118" s="1" t="e">
        <f ca="1"/>
        <v>#NAME?</v>
      </c>
      <c r="AB118" s="1" t="e">
        <f t="shared" ca="1" si="23"/>
        <v>#NAME?</v>
      </c>
      <c r="AC118" s="1" t="e">
        <f ca="1"/>
        <v>#NAME?</v>
      </c>
      <c r="AD118" s="1" t="e">
        <f t="shared" ca="1" si="24"/>
        <v>#NAME?</v>
      </c>
      <c r="AE118" s="1" t="e">
        <f ca="1"/>
        <v>#NAME?</v>
      </c>
      <c r="AF118" s="1" t="e">
        <f t="shared" ca="1" si="25"/>
        <v>#NAME?</v>
      </c>
      <c r="AG118" s="1" t="e">
        <f ca="1"/>
        <v>#NAME?</v>
      </c>
      <c r="AH118" s="1" t="e">
        <f t="shared" ca="1" si="26"/>
        <v>#NAME?</v>
      </c>
      <c r="AI118" s="1" t="e">
        <f ca="1"/>
        <v>#NAME?</v>
      </c>
      <c r="AJ118" s="1" t="e">
        <f t="shared" ca="1" si="35"/>
        <v>#NAME?</v>
      </c>
      <c r="AK118" s="1" t="e">
        <f ca="1"/>
        <v>#NAME?</v>
      </c>
      <c r="AL118" s="1" t="e">
        <f t="shared" ca="1" si="27"/>
        <v>#NAME?</v>
      </c>
      <c r="AN118" s="1">
        <f t="shared" si="36"/>
        <v>3.4211644971557273</v>
      </c>
      <c r="AO118" s="1" t="e">
        <f ca="1"/>
        <v>#NAME?</v>
      </c>
      <c r="AP118" s="1" t="e">
        <f t="shared" ca="1" si="37"/>
        <v>#NAME?</v>
      </c>
    </row>
    <row r="119" spans="1:42" x14ac:dyDescent="0.25">
      <c r="A119" s="1" t="s">
        <v>134</v>
      </c>
      <c r="B119" s="1">
        <v>118</v>
      </c>
      <c r="C119" s="1">
        <v>9176.8269999999993</v>
      </c>
      <c r="D119" s="1">
        <f t="shared" si="28"/>
        <v>3.9626925445349435</v>
      </c>
      <c r="E119" s="1">
        <v>5876.8959999999997</v>
      </c>
      <c r="F119" s="1">
        <f t="shared" si="29"/>
        <v>3.7691480053263167</v>
      </c>
      <c r="G119" s="1">
        <v>1260.328</v>
      </c>
      <c r="H119" s="1">
        <f t="shared" si="30"/>
        <v>3.100483584841653</v>
      </c>
      <c r="I119" s="1">
        <v>2298.2249999999999</v>
      </c>
      <c r="J119" s="1">
        <f t="shared" si="31"/>
        <v>0.25043786921122085</v>
      </c>
      <c r="K119" s="1">
        <f t="shared" si="32"/>
        <v>3.3613925445763662</v>
      </c>
      <c r="L119" s="1">
        <v>636.79999999999995</v>
      </c>
      <c r="M119" s="1">
        <f t="shared" si="33"/>
        <v>2.8040030547296126</v>
      </c>
      <c r="N119" s="1">
        <v>767.64300000000003</v>
      </c>
      <c r="O119" s="1">
        <f t="shared" si="34"/>
        <v>2.8851592940202808</v>
      </c>
      <c r="P119" s="1">
        <v>-130.84299999999999</v>
      </c>
      <c r="Q119" s="1" t="e">
        <f ca="1"/>
        <v>#NAME?</v>
      </c>
      <c r="R119" s="1" t="e">
        <f t="shared" ca="1" si="19"/>
        <v>#NAME?</v>
      </c>
      <c r="S119" s="4">
        <v>1654579000000</v>
      </c>
      <c r="T119" s="1">
        <v>107910.33333333299</v>
      </c>
      <c r="U119" s="1" t="e">
        <f ca="1"/>
        <v>#NAME?</v>
      </c>
      <c r="V119" s="1" t="e">
        <f t="shared" ca="1" si="20"/>
        <v>#NAME?</v>
      </c>
      <c r="W119" s="1" t="e">
        <f ca="1"/>
        <v>#NAME?</v>
      </c>
      <c r="X119" s="1" t="e">
        <f t="shared" ca="1" si="21"/>
        <v>#NAME?</v>
      </c>
      <c r="Y119" s="1" t="e">
        <f ca="1"/>
        <v>#NAME?</v>
      </c>
      <c r="Z119" s="1" t="e">
        <f t="shared" ca="1" si="22"/>
        <v>#NAME?</v>
      </c>
      <c r="AA119" s="1" t="e">
        <f ca="1"/>
        <v>#NAME?</v>
      </c>
      <c r="AB119" s="1" t="e">
        <f t="shared" ca="1" si="23"/>
        <v>#NAME?</v>
      </c>
      <c r="AC119" s="1" t="e">
        <f ca="1"/>
        <v>#NAME?</v>
      </c>
      <c r="AD119" s="1" t="e">
        <f t="shared" ca="1" si="24"/>
        <v>#NAME?</v>
      </c>
      <c r="AE119" s="1" t="e">
        <f ca="1"/>
        <v>#NAME?</v>
      </c>
      <c r="AF119" s="1" t="e">
        <f t="shared" ca="1" si="25"/>
        <v>#NAME?</v>
      </c>
      <c r="AG119" s="1" t="e">
        <f ca="1"/>
        <v>#NAME?</v>
      </c>
      <c r="AH119" s="1" t="e">
        <f t="shared" ca="1" si="26"/>
        <v>#NAME?</v>
      </c>
      <c r="AI119" s="1" t="e">
        <f ca="1"/>
        <v>#NAME?</v>
      </c>
      <c r="AJ119" s="1" t="e">
        <f t="shared" ca="1" si="35"/>
        <v>#NAME?</v>
      </c>
      <c r="AK119" s="1" t="e">
        <f ca="1"/>
        <v>#NAME?</v>
      </c>
      <c r="AL119" s="1" t="e">
        <f t="shared" ca="1" si="27"/>
        <v>#NAME?</v>
      </c>
      <c r="AN119" s="1">
        <f t="shared" si="36"/>
        <v>3.4228046998727084</v>
      </c>
      <c r="AO119" s="1" t="e">
        <f ca="1"/>
        <v>#NAME?</v>
      </c>
      <c r="AP119" s="1" t="e">
        <f t="shared" ca="1" si="37"/>
        <v>#NAME?</v>
      </c>
    </row>
    <row r="120" spans="1:42" x14ac:dyDescent="0.25">
      <c r="A120" s="1" t="s">
        <v>135</v>
      </c>
      <c r="B120" s="1">
        <v>119</v>
      </c>
      <c r="C120" s="1">
        <v>9244.8160000000007</v>
      </c>
      <c r="D120" s="1">
        <f t="shared" si="28"/>
        <v>3.96589827179807</v>
      </c>
      <c r="E120" s="1">
        <v>5933.79</v>
      </c>
      <c r="F120" s="1">
        <f t="shared" si="29"/>
        <v>3.7733321723389253</v>
      </c>
      <c r="G120" s="1">
        <v>1249.0119999999999</v>
      </c>
      <c r="H120" s="1">
        <f t="shared" si="30"/>
        <v>3.0965666109191696</v>
      </c>
      <c r="I120" s="1">
        <v>2318.902</v>
      </c>
      <c r="J120" s="1">
        <f t="shared" si="31"/>
        <v>0.25083268287870736</v>
      </c>
      <c r="K120" s="1">
        <f t="shared" si="32"/>
        <v>3.3652823951414139</v>
      </c>
      <c r="L120" s="1">
        <v>643.30499999999995</v>
      </c>
      <c r="M120" s="1">
        <f t="shared" si="33"/>
        <v>2.8084169269078618</v>
      </c>
      <c r="N120" s="1">
        <v>766.59900000000005</v>
      </c>
      <c r="O120" s="1">
        <f t="shared" si="34"/>
        <v>2.8845682483976378</v>
      </c>
      <c r="P120" s="1">
        <v>-123.294</v>
      </c>
      <c r="Q120" s="1" t="e">
        <f ca="1"/>
        <v>#NAME?</v>
      </c>
      <c r="R120" s="1" t="e">
        <f t="shared" ca="1" si="19"/>
        <v>#NAME?</v>
      </c>
      <c r="S120" s="4">
        <v>1684920000000</v>
      </c>
      <c r="T120" s="1">
        <v>108186</v>
      </c>
      <c r="U120" s="1" t="e">
        <f ca="1"/>
        <v>#NAME?</v>
      </c>
      <c r="V120" s="1" t="e">
        <f t="shared" ca="1" si="20"/>
        <v>#NAME?</v>
      </c>
      <c r="W120" s="1" t="e">
        <f ca="1"/>
        <v>#NAME?</v>
      </c>
      <c r="X120" s="1" t="e">
        <f t="shared" ca="1" si="21"/>
        <v>#NAME?</v>
      </c>
      <c r="Y120" s="1" t="e">
        <f ca="1"/>
        <v>#NAME?</v>
      </c>
      <c r="Z120" s="1" t="e">
        <f t="shared" ca="1" si="22"/>
        <v>#NAME?</v>
      </c>
      <c r="AA120" s="1" t="e">
        <f ca="1"/>
        <v>#NAME?</v>
      </c>
      <c r="AB120" s="1" t="e">
        <f t="shared" ca="1" si="23"/>
        <v>#NAME?</v>
      </c>
      <c r="AC120" s="1" t="e">
        <f ca="1"/>
        <v>#NAME?</v>
      </c>
      <c r="AD120" s="1" t="e">
        <f t="shared" ca="1" si="24"/>
        <v>#NAME?</v>
      </c>
      <c r="AE120" s="1" t="e">
        <f ca="1"/>
        <v>#NAME?</v>
      </c>
      <c r="AF120" s="1" t="e">
        <f t="shared" ca="1" si="25"/>
        <v>#NAME?</v>
      </c>
      <c r="AG120" s="1" t="e">
        <f ca="1"/>
        <v>#NAME?</v>
      </c>
      <c r="AH120" s="1" t="e">
        <f t="shared" ca="1" si="26"/>
        <v>#NAME?</v>
      </c>
      <c r="AI120" s="1" t="e">
        <f ca="1"/>
        <v>#NAME?</v>
      </c>
      <c r="AJ120" s="1" t="e">
        <f t="shared" ca="1" si="35"/>
        <v>#NAME?</v>
      </c>
      <c r="AK120" s="1" t="e">
        <f ca="1"/>
        <v>#NAME?</v>
      </c>
      <c r="AL120" s="1" t="e">
        <f t="shared" ca="1" si="27"/>
        <v>#NAME?</v>
      </c>
      <c r="AN120" s="1">
        <f t="shared" si="36"/>
        <v>3.4224602482469582</v>
      </c>
      <c r="AO120" s="1" t="e">
        <f ca="1"/>
        <v>#NAME?</v>
      </c>
      <c r="AP120" s="1" t="e">
        <f t="shared" ca="1" si="37"/>
        <v>#NAME?</v>
      </c>
    </row>
    <row r="121" spans="1:42" x14ac:dyDescent="0.25">
      <c r="A121" s="1" t="s">
        <v>136</v>
      </c>
      <c r="B121" s="1">
        <v>120</v>
      </c>
      <c r="C121" s="1">
        <v>9263.0329999999994</v>
      </c>
      <c r="D121" s="1">
        <f t="shared" si="28"/>
        <v>3.9667532112490864</v>
      </c>
      <c r="E121" s="1">
        <v>5959.58</v>
      </c>
      <c r="F121" s="1">
        <f t="shared" si="29"/>
        <v>3.7752156540171362</v>
      </c>
      <c r="G121" s="1">
        <v>1239.7470000000001</v>
      </c>
      <c r="H121" s="1">
        <f t="shared" si="30"/>
        <v>3.0933330660375398</v>
      </c>
      <c r="I121" s="1">
        <v>2330.5340000000001</v>
      </c>
      <c r="J121" s="1">
        <f t="shared" si="31"/>
        <v>0.25159513088207719</v>
      </c>
      <c r="K121" s="1">
        <f t="shared" si="32"/>
        <v>3.3674554432071044</v>
      </c>
      <c r="L121" s="1">
        <v>653.04300000000001</v>
      </c>
      <c r="M121" s="1">
        <f t="shared" si="33"/>
        <v>2.8149417785918982</v>
      </c>
      <c r="N121" s="1">
        <v>780.46900000000005</v>
      </c>
      <c r="O121" s="1">
        <f t="shared" si="34"/>
        <v>2.8923556576914393</v>
      </c>
      <c r="P121" s="1">
        <v>-127.426</v>
      </c>
      <c r="Q121" s="1" t="e">
        <f ca="1"/>
        <v>#NAME?</v>
      </c>
      <c r="R121" s="1" t="e">
        <f t="shared" ca="1" si="19"/>
        <v>#NAME?</v>
      </c>
      <c r="S121" s="4">
        <v>1667974000000</v>
      </c>
      <c r="T121" s="1">
        <v>108688</v>
      </c>
      <c r="U121" s="1" t="e">
        <f ca="1"/>
        <v>#NAME?</v>
      </c>
      <c r="V121" s="1" t="e">
        <f t="shared" ca="1" si="20"/>
        <v>#NAME?</v>
      </c>
      <c r="W121" s="1" t="e">
        <f ca="1"/>
        <v>#NAME?</v>
      </c>
      <c r="X121" s="1" t="e">
        <f t="shared" ca="1" si="21"/>
        <v>#NAME?</v>
      </c>
      <c r="Y121" s="1" t="e">
        <f ca="1"/>
        <v>#NAME?</v>
      </c>
      <c r="Z121" s="1" t="e">
        <f t="shared" ca="1" si="22"/>
        <v>#NAME?</v>
      </c>
      <c r="AA121" s="1" t="e">
        <f ca="1"/>
        <v>#NAME?</v>
      </c>
      <c r="AB121" s="1" t="e">
        <f t="shared" ca="1" si="23"/>
        <v>#NAME?</v>
      </c>
      <c r="AC121" s="1" t="e">
        <f ca="1"/>
        <v>#NAME?</v>
      </c>
      <c r="AD121" s="1" t="e">
        <f t="shared" ca="1" si="24"/>
        <v>#NAME?</v>
      </c>
      <c r="AE121" s="1" t="e">
        <f ca="1"/>
        <v>#NAME?</v>
      </c>
      <c r="AF121" s="1" t="e">
        <f t="shared" ca="1" si="25"/>
        <v>#NAME?</v>
      </c>
      <c r="AG121" s="1" t="e">
        <f ca="1"/>
        <v>#NAME?</v>
      </c>
      <c r="AH121" s="1" t="e">
        <f t="shared" ca="1" si="26"/>
        <v>#NAME?</v>
      </c>
      <c r="AI121" s="1" t="e">
        <f ca="1"/>
        <v>#NAME?</v>
      </c>
      <c r="AJ121" s="1" t="e">
        <f t="shared" ca="1" si="35"/>
        <v>#NAME?</v>
      </c>
      <c r="AK121" s="1" t="e">
        <f ca="1"/>
        <v>#NAME?</v>
      </c>
      <c r="AL121" s="1" t="e">
        <f t="shared" ca="1" si="27"/>
        <v>#NAME?</v>
      </c>
      <c r="AN121" s="1">
        <f t="shared" si="36"/>
        <v>3.4236088494097769</v>
      </c>
      <c r="AO121" s="1" t="e">
        <f ca="1"/>
        <v>#NAME?</v>
      </c>
      <c r="AP121" s="1" t="e">
        <f t="shared" ca="1" si="37"/>
        <v>#NAME?</v>
      </c>
    </row>
    <row r="122" spans="1:42" x14ac:dyDescent="0.25">
      <c r="A122" s="1" t="s">
        <v>137</v>
      </c>
      <c r="B122" s="1">
        <v>121</v>
      </c>
      <c r="C122" s="1">
        <v>9364.259</v>
      </c>
      <c r="D122" s="1">
        <f t="shared" si="28"/>
        <v>3.9714734170616715</v>
      </c>
      <c r="E122" s="1">
        <v>6009.7349999999997</v>
      </c>
      <c r="F122" s="1">
        <f t="shared" si="29"/>
        <v>3.7788553221566366</v>
      </c>
      <c r="G122" s="1">
        <v>1252.058</v>
      </c>
      <c r="H122" s="1">
        <f t="shared" si="30"/>
        <v>3.0976244474818513</v>
      </c>
      <c r="I122" s="1">
        <v>2367.8000000000002</v>
      </c>
      <c r="J122" s="1">
        <f t="shared" si="31"/>
        <v>0.25285503102808243</v>
      </c>
      <c r="K122" s="1">
        <f t="shared" si="32"/>
        <v>3.3743450162246091</v>
      </c>
      <c r="L122" s="1">
        <v>681.404</v>
      </c>
      <c r="M122" s="1">
        <f t="shared" si="33"/>
        <v>2.8334046786489835</v>
      </c>
      <c r="N122" s="1">
        <v>805.21900000000005</v>
      </c>
      <c r="O122" s="1">
        <f t="shared" si="34"/>
        <v>2.9059140139784185</v>
      </c>
      <c r="P122" s="1">
        <v>-123.815</v>
      </c>
      <c r="Q122" s="1" t="e">
        <f ca="1"/>
        <v>#NAME?</v>
      </c>
      <c r="R122" s="1" t="e">
        <f t="shared" ca="1" si="19"/>
        <v>#NAME?</v>
      </c>
      <c r="S122" s="4">
        <v>1695374000000</v>
      </c>
      <c r="T122" s="1">
        <v>109418.66666666701</v>
      </c>
      <c r="U122" s="1" t="e">
        <f ca="1"/>
        <v>#NAME?</v>
      </c>
      <c r="V122" s="1" t="e">
        <f t="shared" ca="1" si="20"/>
        <v>#NAME?</v>
      </c>
      <c r="W122" s="1" t="e">
        <f ca="1"/>
        <v>#NAME?</v>
      </c>
      <c r="X122" s="1" t="e">
        <f t="shared" ca="1" si="21"/>
        <v>#NAME?</v>
      </c>
      <c r="Y122" s="1" t="e">
        <f ca="1"/>
        <v>#NAME?</v>
      </c>
      <c r="Z122" s="1" t="e">
        <f t="shared" ca="1" si="22"/>
        <v>#NAME?</v>
      </c>
      <c r="AA122" s="1" t="e">
        <f ca="1"/>
        <v>#NAME?</v>
      </c>
      <c r="AB122" s="1" t="e">
        <f t="shared" ca="1" si="23"/>
        <v>#NAME?</v>
      </c>
      <c r="AC122" s="1" t="e">
        <f ca="1"/>
        <v>#NAME?</v>
      </c>
      <c r="AD122" s="1" t="e">
        <f t="shared" ca="1" si="24"/>
        <v>#NAME?</v>
      </c>
      <c r="AE122" s="1" t="e">
        <f ca="1"/>
        <v>#NAME?</v>
      </c>
      <c r="AF122" s="1" t="e">
        <f t="shared" ca="1" si="25"/>
        <v>#NAME?</v>
      </c>
      <c r="AG122" s="1" t="e">
        <f ca="1"/>
        <v>#NAME?</v>
      </c>
      <c r="AH122" s="1" t="e">
        <f t="shared" ca="1" si="26"/>
        <v>#NAME?</v>
      </c>
      <c r="AI122" s="1" t="e">
        <f ca="1"/>
        <v>#NAME?</v>
      </c>
      <c r="AJ122" s="1" t="e">
        <f t="shared" ca="1" si="35"/>
        <v>#NAME?</v>
      </c>
      <c r="AK122" s="1" t="e">
        <f ca="1"/>
        <v>#NAME?</v>
      </c>
      <c r="AL122" s="1" t="e">
        <f t="shared" ca="1" si="27"/>
        <v>#NAME?</v>
      </c>
      <c r="AN122" s="1">
        <f t="shared" si="36"/>
        <v>3.4239193226353208</v>
      </c>
      <c r="AO122" s="1" t="e">
        <f ca="1"/>
        <v>#NAME?</v>
      </c>
      <c r="AP122" s="1" t="e">
        <f t="shared" ca="1" si="37"/>
        <v>#NAME?</v>
      </c>
    </row>
    <row r="123" spans="1:42" x14ac:dyDescent="0.25">
      <c r="A123" s="1" t="s">
        <v>138</v>
      </c>
      <c r="B123" s="1">
        <v>122</v>
      </c>
      <c r="C123" s="1">
        <v>9398.2430000000004</v>
      </c>
      <c r="D123" s="1">
        <f t="shared" si="28"/>
        <v>3.9730466699053579</v>
      </c>
      <c r="E123" s="1">
        <v>6028.0410000000002</v>
      </c>
      <c r="F123" s="1">
        <f t="shared" si="29"/>
        <v>3.7801761975266692</v>
      </c>
      <c r="G123" s="1">
        <v>1252.4490000000001</v>
      </c>
      <c r="H123" s="1">
        <f t="shared" si="30"/>
        <v>3.0977600503320759</v>
      </c>
      <c r="I123" s="1">
        <v>2371.5329999999999</v>
      </c>
      <c r="J123" s="1">
        <f t="shared" si="31"/>
        <v>0.25233791039452796</v>
      </c>
      <c r="K123" s="1">
        <f t="shared" si="32"/>
        <v>3.3750291722593171</v>
      </c>
      <c r="L123" s="1">
        <v>689.87800000000004</v>
      </c>
      <c r="M123" s="1">
        <f t="shared" si="33"/>
        <v>2.8387722956482255</v>
      </c>
      <c r="N123" s="1">
        <v>803.86800000000005</v>
      </c>
      <c r="O123" s="1">
        <f t="shared" si="34"/>
        <v>2.9051847408155362</v>
      </c>
      <c r="P123" s="1">
        <v>-113.99</v>
      </c>
      <c r="Q123" s="1" t="e">
        <f ca="1"/>
        <v>#NAME?</v>
      </c>
      <c r="R123" s="1" t="e">
        <f t="shared" ca="1" si="19"/>
        <v>#NAME?</v>
      </c>
      <c r="S123" s="4">
        <v>1668437000000</v>
      </c>
      <c r="T123" s="1">
        <v>109786.66666666701</v>
      </c>
      <c r="U123" s="1" t="e">
        <f ca="1"/>
        <v>#NAME?</v>
      </c>
      <c r="V123" s="1" t="e">
        <f t="shared" ca="1" si="20"/>
        <v>#NAME?</v>
      </c>
      <c r="W123" s="1" t="e">
        <f ca="1"/>
        <v>#NAME?</v>
      </c>
      <c r="X123" s="1" t="e">
        <f t="shared" ca="1" si="21"/>
        <v>#NAME?</v>
      </c>
      <c r="Y123" s="1" t="e">
        <f ca="1"/>
        <v>#NAME?</v>
      </c>
      <c r="Z123" s="1" t="e">
        <f t="shared" ca="1" si="22"/>
        <v>#NAME?</v>
      </c>
      <c r="AA123" s="1" t="e">
        <f ca="1"/>
        <v>#NAME?</v>
      </c>
      <c r="AB123" s="1" t="e">
        <f t="shared" ca="1" si="23"/>
        <v>#NAME?</v>
      </c>
      <c r="AC123" s="1" t="e">
        <f ca="1"/>
        <v>#NAME?</v>
      </c>
      <c r="AD123" s="1" t="e">
        <f t="shared" ca="1" si="24"/>
        <v>#NAME?</v>
      </c>
      <c r="AE123" s="1" t="e">
        <f ca="1"/>
        <v>#NAME?</v>
      </c>
      <c r="AF123" s="1" t="e">
        <f t="shared" ca="1" si="25"/>
        <v>#NAME?</v>
      </c>
      <c r="AG123" s="1" t="e">
        <f ca="1"/>
        <v>#NAME?</v>
      </c>
      <c r="AH123" s="1" t="e">
        <f t="shared" ca="1" si="26"/>
        <v>#NAME?</v>
      </c>
      <c r="AI123" s="1" t="e">
        <f ca="1"/>
        <v>#NAME?</v>
      </c>
      <c r="AJ123" s="1" t="e">
        <f t="shared" ca="1" si="35"/>
        <v>#NAME?</v>
      </c>
      <c r="AK123" s="1" t="e">
        <f ca="1"/>
        <v>#NAME?</v>
      </c>
      <c r="AL123" s="1" t="e">
        <f t="shared" ca="1" si="27"/>
        <v>#NAME?</v>
      </c>
      <c r="AN123" s="1">
        <f t="shared" si="36"/>
        <v>3.4270633939130528</v>
      </c>
      <c r="AO123" s="1" t="e">
        <f ca="1"/>
        <v>#NAME?</v>
      </c>
      <c r="AP123" s="1" t="e">
        <f t="shared" ca="1" si="37"/>
        <v>#NAME?</v>
      </c>
    </row>
    <row r="124" spans="1:42" x14ac:dyDescent="0.25">
      <c r="A124" s="1" t="s">
        <v>139</v>
      </c>
      <c r="B124" s="1">
        <v>123</v>
      </c>
      <c r="C124" s="1">
        <v>9404.4940000000006</v>
      </c>
      <c r="D124" s="1">
        <f t="shared" si="28"/>
        <v>3.973335433706755</v>
      </c>
      <c r="E124" s="1">
        <v>6051.9219999999996</v>
      </c>
      <c r="F124" s="1">
        <f t="shared" si="29"/>
        <v>3.7818933219969049</v>
      </c>
      <c r="G124" s="1">
        <v>1228.17</v>
      </c>
      <c r="H124" s="1">
        <f t="shared" si="30"/>
        <v>3.0892584848442435</v>
      </c>
      <c r="I124" s="1">
        <v>2375.306</v>
      </c>
      <c r="J124" s="1">
        <f t="shared" si="31"/>
        <v>0.25257137704591015</v>
      </c>
      <c r="K124" s="1">
        <f t="shared" si="32"/>
        <v>3.3757195657718406</v>
      </c>
      <c r="L124" s="1">
        <v>695.09900000000005</v>
      </c>
      <c r="M124" s="1">
        <f t="shared" si="33"/>
        <v>2.8420466637149406</v>
      </c>
      <c r="N124" s="1">
        <v>800.62199999999996</v>
      </c>
      <c r="O124" s="1">
        <f t="shared" si="34"/>
        <v>2.9034275197527593</v>
      </c>
      <c r="P124" s="1">
        <v>-105.523</v>
      </c>
      <c r="Q124" s="1" t="e">
        <f ca="1"/>
        <v>#NAME?</v>
      </c>
      <c r="R124" s="1" t="e">
        <f t="shared" ca="1" si="19"/>
        <v>#NAME?</v>
      </c>
      <c r="S124" s="4">
        <v>1659143000000</v>
      </c>
      <c r="T124" s="1">
        <v>109651</v>
      </c>
      <c r="U124" s="1" t="e">
        <f ca="1"/>
        <v>#NAME?</v>
      </c>
      <c r="V124" s="1" t="e">
        <f t="shared" ca="1" si="20"/>
        <v>#NAME?</v>
      </c>
      <c r="W124" s="1" t="e">
        <f ca="1"/>
        <v>#NAME?</v>
      </c>
      <c r="X124" s="1" t="e">
        <f t="shared" ca="1" si="21"/>
        <v>#NAME?</v>
      </c>
      <c r="Y124" s="1" t="e">
        <f ca="1"/>
        <v>#NAME?</v>
      </c>
      <c r="Z124" s="1" t="e">
        <f t="shared" ca="1" si="22"/>
        <v>#NAME?</v>
      </c>
      <c r="AA124" s="1" t="e">
        <f ca="1"/>
        <v>#NAME?</v>
      </c>
      <c r="AB124" s="1" t="e">
        <f t="shared" ca="1" si="23"/>
        <v>#NAME?</v>
      </c>
      <c r="AC124" s="1" t="e">
        <f ca="1"/>
        <v>#NAME?</v>
      </c>
      <c r="AD124" s="1" t="e">
        <f t="shared" ca="1" si="24"/>
        <v>#NAME?</v>
      </c>
      <c r="AE124" s="1" t="e">
        <f ca="1"/>
        <v>#NAME?</v>
      </c>
      <c r="AF124" s="1" t="e">
        <f t="shared" ca="1" si="25"/>
        <v>#NAME?</v>
      </c>
      <c r="AG124" s="1" t="e">
        <f ca="1"/>
        <v>#NAME?</v>
      </c>
      <c r="AH124" s="1" t="e">
        <f t="shared" ca="1" si="26"/>
        <v>#NAME?</v>
      </c>
      <c r="AI124" s="1" t="e">
        <f ca="1"/>
        <v>#NAME?</v>
      </c>
      <c r="AJ124" s="1" t="e">
        <f t="shared" ca="1" si="35"/>
        <v>#NAME?</v>
      </c>
      <c r="AK124" s="1" t="e">
        <f ca="1"/>
        <v>#NAME?</v>
      </c>
      <c r="AL124" s="1" t="e">
        <f t="shared" ca="1" si="27"/>
        <v>#NAME?</v>
      </c>
      <c r="AN124" s="1">
        <f t="shared" si="36"/>
        <v>3.4285691969321395</v>
      </c>
      <c r="AO124" s="1" t="e">
        <f ca="1"/>
        <v>#NAME?</v>
      </c>
      <c r="AP124" s="1" t="e">
        <f t="shared" ca="1" si="37"/>
        <v>#NAME?</v>
      </c>
    </row>
    <row r="125" spans="1:42" x14ac:dyDescent="0.25">
      <c r="A125" s="1" t="s">
        <v>140</v>
      </c>
      <c r="B125" s="1">
        <v>124</v>
      </c>
      <c r="C125" s="1">
        <v>9318.8760000000002</v>
      </c>
      <c r="D125" s="1">
        <f t="shared" si="28"/>
        <v>3.9693635329081123</v>
      </c>
      <c r="E125" s="1">
        <v>6005.8819999999996</v>
      </c>
      <c r="F125" s="1">
        <f t="shared" si="29"/>
        <v>3.7785767951869227</v>
      </c>
      <c r="G125" s="1">
        <v>1159.4639999999999</v>
      </c>
      <c r="H125" s="1">
        <f t="shared" si="30"/>
        <v>3.0642572688480345</v>
      </c>
      <c r="I125" s="1">
        <v>2391.1880000000001</v>
      </c>
      <c r="J125" s="1">
        <f t="shared" si="31"/>
        <v>0.25659618177127802</v>
      </c>
      <c r="K125" s="1">
        <f t="shared" si="32"/>
        <v>3.3786137225619788</v>
      </c>
      <c r="L125" s="1">
        <v>701.21900000000005</v>
      </c>
      <c r="M125" s="1">
        <f t="shared" si="33"/>
        <v>2.8458536750820027</v>
      </c>
      <c r="N125" s="1">
        <v>779.15099999999995</v>
      </c>
      <c r="O125" s="1">
        <f t="shared" si="34"/>
        <v>2.8916216323988557</v>
      </c>
      <c r="P125" s="1">
        <v>-77.931999999999903</v>
      </c>
      <c r="Q125" s="1" t="e">
        <f ca="1"/>
        <v>#NAME?</v>
      </c>
      <c r="R125" s="1" t="e">
        <f t="shared" ca="1" si="19"/>
        <v>#NAME?</v>
      </c>
      <c r="S125" s="4">
        <v>1628395000000</v>
      </c>
      <c r="T125" s="1">
        <v>109255</v>
      </c>
      <c r="U125" s="1" t="e">
        <f ca="1"/>
        <v>#NAME?</v>
      </c>
      <c r="V125" s="1" t="e">
        <f t="shared" ca="1" si="20"/>
        <v>#NAME?</v>
      </c>
      <c r="W125" s="1" t="e">
        <f ca="1"/>
        <v>#NAME?</v>
      </c>
      <c r="X125" s="1" t="e">
        <f t="shared" ca="1" si="21"/>
        <v>#NAME?</v>
      </c>
      <c r="Y125" s="1" t="e">
        <f ca="1"/>
        <v>#NAME?</v>
      </c>
      <c r="Z125" s="1" t="e">
        <f t="shared" ca="1" si="22"/>
        <v>#NAME?</v>
      </c>
      <c r="AA125" s="1" t="e">
        <f ca="1"/>
        <v>#NAME?</v>
      </c>
      <c r="AB125" s="1" t="e">
        <f t="shared" ca="1" si="23"/>
        <v>#NAME?</v>
      </c>
      <c r="AC125" s="1" t="e">
        <f ca="1"/>
        <v>#NAME?</v>
      </c>
      <c r="AD125" s="1" t="e">
        <f t="shared" ca="1" si="24"/>
        <v>#NAME?</v>
      </c>
      <c r="AE125" s="1" t="e">
        <f ca="1"/>
        <v>#NAME?</v>
      </c>
      <c r="AF125" s="1" t="e">
        <f t="shared" ca="1" si="25"/>
        <v>#NAME?</v>
      </c>
      <c r="AG125" s="1" t="e">
        <f ca="1"/>
        <v>#NAME?</v>
      </c>
      <c r="AH125" s="1" t="e">
        <f t="shared" ca="1" si="26"/>
        <v>#NAME?</v>
      </c>
      <c r="AI125" s="1" t="e">
        <f ca="1"/>
        <v>#NAME?</v>
      </c>
      <c r="AJ125" s="1" t="e">
        <f t="shared" ca="1" si="35"/>
        <v>#NAME?</v>
      </c>
      <c r="AK125" s="1" t="e">
        <f ca="1"/>
        <v>#NAME?</v>
      </c>
      <c r="AL125" s="1" t="e">
        <f t="shared" ca="1" si="27"/>
        <v>#NAME?</v>
      </c>
      <c r="AN125" s="1">
        <f t="shared" si="36"/>
        <v>3.4285275735606291</v>
      </c>
      <c r="AO125" s="1" t="e">
        <f ca="1"/>
        <v>#NAME?</v>
      </c>
      <c r="AP125" s="1" t="e">
        <f t="shared" ca="1" si="37"/>
        <v>#NAME?</v>
      </c>
    </row>
    <row r="126" spans="1:42" x14ac:dyDescent="0.25">
      <c r="A126" s="1" t="s">
        <v>141</v>
      </c>
      <c r="B126" s="1">
        <v>125</v>
      </c>
      <c r="C126" s="1">
        <v>9275.2759999999998</v>
      </c>
      <c r="D126" s="1">
        <f t="shared" si="28"/>
        <v>3.9673268415748031</v>
      </c>
      <c r="E126" s="1">
        <v>5983.2979999999998</v>
      </c>
      <c r="F126" s="1">
        <f t="shared" si="29"/>
        <v>3.7769406335511655</v>
      </c>
      <c r="G126" s="1">
        <v>1120.884</v>
      </c>
      <c r="H126" s="1">
        <f t="shared" si="30"/>
        <v>3.0495606698950426</v>
      </c>
      <c r="I126" s="1">
        <v>2405.4470000000001</v>
      </c>
      <c r="J126" s="1">
        <f t="shared" si="31"/>
        <v>0.25933966816728687</v>
      </c>
      <c r="K126" s="1">
        <f t="shared" si="32"/>
        <v>3.3811957923917251</v>
      </c>
      <c r="L126" s="1">
        <v>705.50300000000004</v>
      </c>
      <c r="M126" s="1">
        <f t="shared" si="33"/>
        <v>2.8484988648383123</v>
      </c>
      <c r="N126" s="1">
        <v>770.27200000000005</v>
      </c>
      <c r="O126" s="1">
        <f t="shared" si="34"/>
        <v>2.886644111198204</v>
      </c>
      <c r="P126" s="1">
        <v>-64.769000000000005</v>
      </c>
      <c r="Q126" s="1" t="e">
        <f ca="1"/>
        <v>#NAME?</v>
      </c>
      <c r="R126" s="1" t="e">
        <f t="shared" ca="1" si="19"/>
        <v>#NAME?</v>
      </c>
      <c r="S126" s="4">
        <v>1587408000000</v>
      </c>
      <c r="T126" s="1">
        <v>108783</v>
      </c>
      <c r="U126" s="1" t="e">
        <f ca="1"/>
        <v>#NAME?</v>
      </c>
      <c r="V126" s="1" t="e">
        <f t="shared" ca="1" si="20"/>
        <v>#NAME?</v>
      </c>
      <c r="W126" s="1" t="e">
        <f ca="1"/>
        <v>#NAME?</v>
      </c>
      <c r="X126" s="1" t="e">
        <f t="shared" ca="1" si="21"/>
        <v>#NAME?</v>
      </c>
      <c r="Y126" s="1" t="e">
        <f ca="1"/>
        <v>#NAME?</v>
      </c>
      <c r="Z126" s="1" t="e">
        <f t="shared" ca="1" si="22"/>
        <v>#NAME?</v>
      </c>
      <c r="AA126" s="1" t="e">
        <f ca="1"/>
        <v>#NAME?</v>
      </c>
      <c r="AB126" s="1" t="e">
        <f t="shared" ca="1" si="23"/>
        <v>#NAME?</v>
      </c>
      <c r="AC126" s="1" t="e">
        <f ca="1"/>
        <v>#NAME?</v>
      </c>
      <c r="AD126" s="1" t="e">
        <f t="shared" ca="1" si="24"/>
        <v>#NAME?</v>
      </c>
      <c r="AE126" s="1" t="e">
        <f ca="1"/>
        <v>#NAME?</v>
      </c>
      <c r="AF126" s="1" t="e">
        <f t="shared" ca="1" si="25"/>
        <v>#NAME?</v>
      </c>
      <c r="AG126" s="1" t="e">
        <f ca="1"/>
        <v>#NAME?</v>
      </c>
      <c r="AH126" s="1" t="e">
        <f t="shared" ca="1" si="26"/>
        <v>#NAME?</v>
      </c>
      <c r="AI126" s="1" t="e">
        <f ca="1"/>
        <v>#NAME?</v>
      </c>
      <c r="AJ126" s="1" t="e">
        <f t="shared" ca="1" si="35"/>
        <v>#NAME?</v>
      </c>
      <c r="AK126" s="1" t="e">
        <f ca="1"/>
        <v>#NAME?</v>
      </c>
      <c r="AL126" s="1" t="e">
        <f t="shared" ca="1" si="27"/>
        <v>#NAME?</v>
      </c>
      <c r="AN126" s="1">
        <f t="shared" si="36"/>
        <v>3.4316798981023577</v>
      </c>
      <c r="AO126" s="1" t="e">
        <f ca="1"/>
        <v>#NAME?</v>
      </c>
      <c r="AP126" s="1" t="e">
        <f t="shared" ca="1" si="37"/>
        <v>#NAME?</v>
      </c>
    </row>
    <row r="127" spans="1:42" x14ac:dyDescent="0.25">
      <c r="A127" s="1" t="s">
        <v>142</v>
      </c>
      <c r="B127" s="1">
        <v>126</v>
      </c>
      <c r="C127" s="1">
        <v>9347.5969999999998</v>
      </c>
      <c r="D127" s="1">
        <f t="shared" si="28"/>
        <v>3.9706999805228254</v>
      </c>
      <c r="E127" s="1">
        <v>6032.8850000000002</v>
      </c>
      <c r="F127" s="1">
        <f t="shared" si="29"/>
        <v>3.7805250467913862</v>
      </c>
      <c r="G127" s="1">
        <v>1120.8800000000001</v>
      </c>
      <c r="H127" s="1">
        <f t="shared" si="30"/>
        <v>3.0495591200638135</v>
      </c>
      <c r="I127" s="1">
        <v>2415.232</v>
      </c>
      <c r="J127" s="1">
        <f t="shared" si="31"/>
        <v>0.25837998792630879</v>
      </c>
      <c r="K127" s="1">
        <f t="shared" si="32"/>
        <v>3.3829588541270632</v>
      </c>
      <c r="L127" s="1">
        <v>731.22500000000002</v>
      </c>
      <c r="M127" s="1">
        <f t="shared" si="33"/>
        <v>2.8640510311618299</v>
      </c>
      <c r="N127" s="1">
        <v>783.96299999999997</v>
      </c>
      <c r="O127" s="1">
        <f t="shared" si="34"/>
        <v>2.8942955661601792</v>
      </c>
      <c r="P127" s="1">
        <v>-52.7379999999999</v>
      </c>
      <c r="Q127" s="1" t="e">
        <f ca="1"/>
        <v>#NAME?</v>
      </c>
      <c r="R127" s="1" t="e">
        <f t="shared" ca="1" si="19"/>
        <v>#NAME?</v>
      </c>
      <c r="S127" s="4">
        <v>1596569000000</v>
      </c>
      <c r="T127" s="1">
        <v>108312.33333333299</v>
      </c>
      <c r="U127" s="1" t="e">
        <f ca="1"/>
        <v>#NAME?</v>
      </c>
      <c r="V127" s="1" t="e">
        <f t="shared" ca="1" si="20"/>
        <v>#NAME?</v>
      </c>
      <c r="W127" s="1" t="e">
        <f ca="1"/>
        <v>#NAME?</v>
      </c>
      <c r="X127" s="1" t="e">
        <f t="shared" ca="1" si="21"/>
        <v>#NAME?</v>
      </c>
      <c r="Y127" s="1" t="e">
        <f ca="1"/>
        <v>#NAME?</v>
      </c>
      <c r="Z127" s="1" t="e">
        <f t="shared" ca="1" si="22"/>
        <v>#NAME?</v>
      </c>
      <c r="AA127" s="1" t="e">
        <f ca="1"/>
        <v>#NAME?</v>
      </c>
      <c r="AB127" s="1" t="e">
        <f t="shared" ca="1" si="23"/>
        <v>#NAME?</v>
      </c>
      <c r="AC127" s="1" t="e">
        <f ca="1"/>
        <v>#NAME?</v>
      </c>
      <c r="AD127" s="1" t="e">
        <f t="shared" ca="1" si="24"/>
        <v>#NAME?</v>
      </c>
      <c r="AE127" s="1" t="e">
        <f ca="1"/>
        <v>#NAME?</v>
      </c>
      <c r="AF127" s="1" t="e">
        <f t="shared" ca="1" si="25"/>
        <v>#NAME?</v>
      </c>
      <c r="AG127" s="1" t="e">
        <f ca="1"/>
        <v>#NAME?</v>
      </c>
      <c r="AH127" s="1" t="e">
        <f t="shared" ca="1" si="26"/>
        <v>#NAME?</v>
      </c>
      <c r="AI127" s="1" t="e">
        <f ca="1"/>
        <v>#NAME?</v>
      </c>
      <c r="AJ127" s="1" t="e">
        <f t="shared" ca="1" si="35"/>
        <v>#NAME?</v>
      </c>
      <c r="AK127" s="1" t="e">
        <f ca="1"/>
        <v>#NAME?</v>
      </c>
      <c r="AL127" s="1" t="e">
        <f t="shared" ca="1" si="27"/>
        <v>#NAME?</v>
      </c>
      <c r="AN127" s="1">
        <f t="shared" si="36"/>
        <v>3.4353585476889545</v>
      </c>
      <c r="AO127" s="1" t="e">
        <f ca="1"/>
        <v>#NAME?</v>
      </c>
      <c r="AP127" s="1" t="e">
        <f t="shared" ca="1" si="37"/>
        <v>#NAME?</v>
      </c>
    </row>
    <row r="128" spans="1:42" x14ac:dyDescent="0.25">
      <c r="A128" s="1" t="s">
        <v>143</v>
      </c>
      <c r="B128" s="1">
        <v>127</v>
      </c>
      <c r="C128" s="1">
        <v>9394.8340000000007</v>
      </c>
      <c r="D128" s="1">
        <f t="shared" si="28"/>
        <v>3.9728891108313387</v>
      </c>
      <c r="E128" s="1">
        <v>6062.9639999999999</v>
      </c>
      <c r="F128" s="1">
        <f t="shared" si="29"/>
        <v>3.782684989536671</v>
      </c>
      <c r="G128" s="1">
        <v>1143.0730000000001</v>
      </c>
      <c r="H128" s="1">
        <f t="shared" si="30"/>
        <v>3.0580739666024717</v>
      </c>
      <c r="I128" s="1">
        <v>2408.4670000000001</v>
      </c>
      <c r="J128" s="1">
        <f t="shared" si="31"/>
        <v>0.25636078295795328</v>
      </c>
      <c r="K128" s="1">
        <f t="shared" si="32"/>
        <v>3.3817407001351585</v>
      </c>
      <c r="L128" s="1">
        <v>748.53599999999994</v>
      </c>
      <c r="M128" s="1">
        <f t="shared" si="33"/>
        <v>2.8742126920877258</v>
      </c>
      <c r="N128" s="1">
        <v>806.02499999999998</v>
      </c>
      <c r="O128" s="1">
        <f t="shared" si="34"/>
        <v>2.9063485122686981</v>
      </c>
      <c r="P128" s="1">
        <v>-57.488999999999997</v>
      </c>
      <c r="Q128" s="1" t="e">
        <f ca="1"/>
        <v>#NAME?</v>
      </c>
      <c r="R128" s="1" t="e">
        <f t="shared" ca="1" si="19"/>
        <v>#NAME?</v>
      </c>
      <c r="S128" s="4">
        <v>1596484000000</v>
      </c>
      <c r="T128" s="1">
        <v>108308.33333333299</v>
      </c>
      <c r="U128" s="1" t="e">
        <f ca="1"/>
        <v>#NAME?</v>
      </c>
      <c r="V128" s="1" t="e">
        <f t="shared" ca="1" si="20"/>
        <v>#NAME?</v>
      </c>
      <c r="W128" s="1" t="e">
        <f ca="1"/>
        <v>#NAME?</v>
      </c>
      <c r="X128" s="1" t="e">
        <f t="shared" ca="1" si="21"/>
        <v>#NAME?</v>
      </c>
      <c r="Y128" s="1" t="e">
        <f ca="1"/>
        <v>#NAME?</v>
      </c>
      <c r="Z128" s="1" t="e">
        <f t="shared" ca="1" si="22"/>
        <v>#NAME?</v>
      </c>
      <c r="AA128" s="1" t="e">
        <f ca="1"/>
        <v>#NAME?</v>
      </c>
      <c r="AB128" s="1" t="e">
        <f t="shared" ca="1" si="23"/>
        <v>#NAME?</v>
      </c>
      <c r="AC128" s="1" t="e">
        <f ca="1"/>
        <v>#NAME?</v>
      </c>
      <c r="AD128" s="1" t="e">
        <f t="shared" ca="1" si="24"/>
        <v>#NAME?</v>
      </c>
      <c r="AE128" s="1" t="e">
        <f ca="1"/>
        <v>#NAME?</v>
      </c>
      <c r="AF128" s="1" t="e">
        <f t="shared" ca="1" si="25"/>
        <v>#NAME?</v>
      </c>
      <c r="AG128" s="1" t="e">
        <f ca="1"/>
        <v>#NAME?</v>
      </c>
      <c r="AH128" s="1" t="e">
        <f t="shared" ca="1" si="26"/>
        <v>#NAME?</v>
      </c>
      <c r="AI128" s="1" t="e">
        <f ca="1"/>
        <v>#NAME?</v>
      </c>
      <c r="AJ128" s="1" t="e">
        <f t="shared" ca="1" si="35"/>
        <v>#NAME?</v>
      </c>
      <c r="AK128" s="1" t="e">
        <f ca="1"/>
        <v>#NAME?</v>
      </c>
      <c r="AL128" s="1" t="e">
        <f t="shared" ca="1" si="27"/>
        <v>#NAME?</v>
      </c>
      <c r="AN128" s="1">
        <f t="shared" si="36"/>
        <v>3.4375662668422127</v>
      </c>
      <c r="AO128" s="1" t="e">
        <f ca="1"/>
        <v>#NAME?</v>
      </c>
      <c r="AP128" s="1" t="e">
        <f t="shared" ca="1" si="37"/>
        <v>#NAME?</v>
      </c>
    </row>
    <row r="129" spans="1:42" x14ac:dyDescent="0.25">
      <c r="A129" s="1" t="s">
        <v>144</v>
      </c>
      <c r="B129" s="1">
        <v>128</v>
      </c>
      <c r="C129" s="1">
        <v>9427.5810000000001</v>
      </c>
      <c r="D129" s="1">
        <f t="shared" si="28"/>
        <v>3.9744002724700644</v>
      </c>
      <c r="E129" s="1">
        <v>6059.93</v>
      </c>
      <c r="F129" s="1">
        <f t="shared" si="29"/>
        <v>3.7824676075343859</v>
      </c>
      <c r="G129" s="1">
        <v>1183.605</v>
      </c>
      <c r="H129" s="1">
        <f t="shared" si="30"/>
        <v>3.0732067911183885</v>
      </c>
      <c r="I129" s="1">
        <v>2390.8440000000001</v>
      </c>
      <c r="J129" s="1">
        <f t="shared" si="31"/>
        <v>0.25360100326902524</v>
      </c>
      <c r="K129" s="1">
        <f t="shared" si="32"/>
        <v>3.3785512397922974</v>
      </c>
      <c r="L129" s="1">
        <v>765.39099999999996</v>
      </c>
      <c r="M129" s="1">
        <f t="shared" si="33"/>
        <v>2.8838833511817685</v>
      </c>
      <c r="N129" s="1">
        <v>823.83100000000002</v>
      </c>
      <c r="O129" s="1">
        <f t="shared" si="34"/>
        <v>2.9158381300283049</v>
      </c>
      <c r="P129" s="1">
        <v>-58.440000000000097</v>
      </c>
      <c r="Q129" s="1" t="e">
        <f ca="1"/>
        <v>#NAME?</v>
      </c>
      <c r="R129" s="1" t="e">
        <f t="shared" ca="1" si="19"/>
        <v>#NAME?</v>
      </c>
      <c r="S129" s="4">
        <v>1597712000000</v>
      </c>
      <c r="T129" s="1">
        <v>108331.66666666701</v>
      </c>
      <c r="U129" s="1" t="e">
        <f ca="1"/>
        <v>#NAME?</v>
      </c>
      <c r="V129" s="1" t="e">
        <f t="shared" ca="1" si="20"/>
        <v>#NAME?</v>
      </c>
      <c r="W129" s="1" t="e">
        <f ca="1"/>
        <v>#NAME?</v>
      </c>
      <c r="X129" s="1" t="e">
        <f t="shared" ca="1" si="21"/>
        <v>#NAME?</v>
      </c>
      <c r="Y129" s="1" t="e">
        <f ca="1"/>
        <v>#NAME?</v>
      </c>
      <c r="Z129" s="1" t="e">
        <f t="shared" ca="1" si="22"/>
        <v>#NAME?</v>
      </c>
      <c r="AA129" s="1" t="e">
        <f ca="1"/>
        <v>#NAME?</v>
      </c>
      <c r="AB129" s="1" t="e">
        <f t="shared" ca="1" si="23"/>
        <v>#NAME?</v>
      </c>
      <c r="AC129" s="1" t="e">
        <f ca="1"/>
        <v>#NAME?</v>
      </c>
      <c r="AD129" s="1" t="e">
        <f t="shared" ca="1" si="24"/>
        <v>#NAME?</v>
      </c>
      <c r="AE129" s="1" t="e">
        <f ca="1"/>
        <v>#NAME?</v>
      </c>
      <c r="AF129" s="1" t="e">
        <f t="shared" ca="1" si="25"/>
        <v>#NAME?</v>
      </c>
      <c r="AG129" s="1" t="e">
        <f ca="1"/>
        <v>#NAME?</v>
      </c>
      <c r="AH129" s="1" t="e">
        <f t="shared" ca="1" si="26"/>
        <v>#NAME?</v>
      </c>
      <c r="AI129" s="1" t="e">
        <f ca="1"/>
        <v>#NAME?</v>
      </c>
      <c r="AJ129" s="1" t="e">
        <f t="shared" ca="1" si="35"/>
        <v>#NAME?</v>
      </c>
      <c r="AK129" s="1" t="e">
        <f ca="1"/>
        <v>#NAME?</v>
      </c>
      <c r="AL129" s="1" t="e">
        <f t="shared" ca="1" si="27"/>
        <v>#NAME?</v>
      </c>
      <c r="AN129" s="1">
        <f t="shared" si="36"/>
        <v>3.438897341679036</v>
      </c>
      <c r="AO129" s="1" t="e">
        <f ca="1"/>
        <v>#NAME?</v>
      </c>
      <c r="AP129" s="1" t="e">
        <f t="shared" ca="1" si="37"/>
        <v>#NAME?</v>
      </c>
    </row>
    <row r="130" spans="1:42" x14ac:dyDescent="0.25">
      <c r="A130" s="1" t="s">
        <v>145</v>
      </c>
      <c r="B130" s="1">
        <v>129</v>
      </c>
      <c r="C130" s="1">
        <v>9540.4439999999995</v>
      </c>
      <c r="D130" s="1">
        <f t="shared" si="28"/>
        <v>3.9795685866813426</v>
      </c>
      <c r="E130" s="1">
        <v>6173.393</v>
      </c>
      <c r="F130" s="1">
        <f t="shared" si="29"/>
        <v>3.7905239251606258</v>
      </c>
      <c r="G130" s="1">
        <v>1161.74</v>
      </c>
      <c r="H130" s="1">
        <f t="shared" si="30"/>
        <v>3.0651089428565137</v>
      </c>
      <c r="I130" s="1">
        <v>2412.0329999999999</v>
      </c>
      <c r="J130" s="1">
        <f t="shared" si="31"/>
        <v>0.25282188124577848</v>
      </c>
      <c r="K130" s="1">
        <f t="shared" si="32"/>
        <v>3.3823832452673939</v>
      </c>
      <c r="L130" s="1">
        <v>779.22799999999995</v>
      </c>
      <c r="M130" s="1">
        <f t="shared" si="33"/>
        <v>2.8916645496547142</v>
      </c>
      <c r="N130" s="1">
        <v>829.81500000000005</v>
      </c>
      <c r="O130" s="1">
        <f t="shared" si="34"/>
        <v>2.9189812810091627</v>
      </c>
      <c r="P130" s="1">
        <v>-50.587000000000103</v>
      </c>
      <c r="Q130" s="1" t="e">
        <f ca="1"/>
        <v>#NAME?</v>
      </c>
      <c r="R130" s="1" t="e">
        <f t="shared" ref="R130:R193" ca="1" si="38">P130/Q130</f>
        <v>#NAME?</v>
      </c>
      <c r="S130" s="4">
        <v>1619962000000</v>
      </c>
      <c r="T130" s="1">
        <v>108346.66666666701</v>
      </c>
      <c r="U130" s="1" t="e">
        <f ca="1"/>
        <v>#NAME?</v>
      </c>
      <c r="V130" s="1" t="e">
        <f t="shared" ref="V130:V193" ca="1" si="39">100*(D130-U130)/U130</f>
        <v>#NAME?</v>
      </c>
      <c r="W130" s="1" t="e">
        <f ca="1"/>
        <v>#NAME?</v>
      </c>
      <c r="X130" s="1" t="e">
        <f t="shared" ref="X130:X193" ca="1" si="40">100*(F130-W130)/W130</f>
        <v>#NAME?</v>
      </c>
      <c r="Y130" s="1" t="e">
        <f ca="1"/>
        <v>#NAME?</v>
      </c>
      <c r="Z130" s="1" t="e">
        <f t="shared" ref="Z130:Z193" ca="1" si="41">100*(H130-Y130)/Y130</f>
        <v>#NAME?</v>
      </c>
      <c r="AA130" s="1" t="e">
        <f ca="1"/>
        <v>#NAME?</v>
      </c>
      <c r="AB130" s="1" t="e">
        <f t="shared" ref="AB130:AB193" ca="1" si="42">100*(K130-AA130)/AA130</f>
        <v>#NAME?</v>
      </c>
      <c r="AC130" s="1" t="e">
        <f ca="1"/>
        <v>#NAME?</v>
      </c>
      <c r="AD130" s="1" t="e">
        <f t="shared" ref="AD130:AD193" ca="1" si="43">100*(M130-AC130)/AC130</f>
        <v>#NAME?</v>
      </c>
      <c r="AE130" s="1" t="e">
        <f ca="1"/>
        <v>#NAME?</v>
      </c>
      <c r="AF130" s="1" t="e">
        <f t="shared" ref="AF130:AF193" ca="1" si="44">100*(O130-AE130)/AE130</f>
        <v>#NAME?</v>
      </c>
      <c r="AG130" s="1" t="e">
        <f ca="1"/>
        <v>#NAME?</v>
      </c>
      <c r="AH130" s="1" t="e">
        <f t="shared" ref="AH130:AH193" ca="1" si="45">100*(R130-AG130)</f>
        <v>#NAME?</v>
      </c>
      <c r="AI130" s="1" t="e">
        <f ca="1"/>
        <v>#NAME?</v>
      </c>
      <c r="AJ130" s="1" t="e">
        <f t="shared" ca="1" si="35"/>
        <v>#NAME?</v>
      </c>
      <c r="AK130" s="1" t="e">
        <f ca="1"/>
        <v>#NAME?</v>
      </c>
      <c r="AL130" s="1" t="e">
        <f t="shared" ref="AL130:AL193" ca="1" si="46">100*(J130-AK130)</f>
        <v>#NAME?</v>
      </c>
      <c r="AN130" s="1">
        <f t="shared" si="36"/>
        <v>3.44186489392147</v>
      </c>
      <c r="AO130" s="1" t="e">
        <f ca="1"/>
        <v>#NAME?</v>
      </c>
      <c r="AP130" s="1" t="e">
        <f t="shared" ca="1" si="37"/>
        <v>#NAME?</v>
      </c>
    </row>
    <row r="131" spans="1:42" x14ac:dyDescent="0.25">
      <c r="A131" s="1" t="s">
        <v>146</v>
      </c>
      <c r="B131" s="1">
        <v>130</v>
      </c>
      <c r="C131" s="1">
        <v>9643.893</v>
      </c>
      <c r="D131" s="1">
        <f t="shared" ref="D131:D194" si="47">LOG(C131)</f>
        <v>3.9842523831895145</v>
      </c>
      <c r="E131" s="1">
        <v>6215.3</v>
      </c>
      <c r="F131" s="1">
        <f t="shared" ref="F131:F194" si="48">LOG(E131)</f>
        <v>3.7934620960026262</v>
      </c>
      <c r="G131" s="1">
        <v>1227.44</v>
      </c>
      <c r="H131" s="1">
        <f t="shared" ref="H131:H194" si="49">LOG(G131)</f>
        <v>3.0890002720326581</v>
      </c>
      <c r="I131" s="1">
        <v>2407.3690000000001</v>
      </c>
      <c r="J131" s="1">
        <f t="shared" ref="J131:J194" si="50">I131/C131</f>
        <v>0.24962626607325486</v>
      </c>
      <c r="K131" s="1">
        <f t="shared" ref="K131:K194" si="51">LOG(I131)</f>
        <v>3.3815426637612487</v>
      </c>
      <c r="L131" s="1">
        <v>779.59900000000005</v>
      </c>
      <c r="M131" s="1">
        <f t="shared" ref="M131:M194" si="52">LOG(L131)</f>
        <v>2.8918712733717507</v>
      </c>
      <c r="N131" s="1">
        <v>843.45699999999999</v>
      </c>
      <c r="O131" s="1">
        <f t="shared" ref="O131:O194" si="53">LOG(N131)</f>
        <v>2.9260629468673645</v>
      </c>
      <c r="P131" s="1">
        <v>-63.857999999999997</v>
      </c>
      <c r="Q131" s="1" t="e">
        <f ca="1"/>
        <v>#NAME?</v>
      </c>
      <c r="R131" s="1" t="e">
        <f t="shared" ca="1" si="38"/>
        <v>#NAME?</v>
      </c>
      <c r="S131" s="4">
        <v>1655489000000</v>
      </c>
      <c r="T131" s="1">
        <v>108626.66666666701</v>
      </c>
      <c r="U131" s="1" t="e">
        <f ca="1"/>
        <v>#NAME?</v>
      </c>
      <c r="V131" s="1" t="e">
        <f t="shared" ca="1" si="39"/>
        <v>#NAME?</v>
      </c>
      <c r="W131" s="1" t="e">
        <f ca="1"/>
        <v>#NAME?</v>
      </c>
      <c r="X131" s="1" t="e">
        <f t="shared" ca="1" si="40"/>
        <v>#NAME?</v>
      </c>
      <c r="Y131" s="1" t="e">
        <f ca="1"/>
        <v>#NAME?</v>
      </c>
      <c r="Z131" s="1" t="e">
        <f t="shared" ca="1" si="41"/>
        <v>#NAME?</v>
      </c>
      <c r="AA131" s="1" t="e">
        <f ca="1"/>
        <v>#NAME?</v>
      </c>
      <c r="AB131" s="1" t="e">
        <f t="shared" ca="1" si="42"/>
        <v>#NAME?</v>
      </c>
      <c r="AC131" s="1" t="e">
        <f ca="1"/>
        <v>#NAME?</v>
      </c>
      <c r="AD131" s="1" t="e">
        <f t="shared" ca="1" si="43"/>
        <v>#NAME?</v>
      </c>
      <c r="AE131" s="1" t="e">
        <f ca="1"/>
        <v>#NAME?</v>
      </c>
      <c r="AF131" s="1" t="e">
        <f t="shared" ca="1" si="44"/>
        <v>#NAME?</v>
      </c>
      <c r="AG131" s="1" t="e">
        <f ca="1"/>
        <v>#NAME?</v>
      </c>
      <c r="AH131" s="1" t="e">
        <f t="shared" ca="1" si="45"/>
        <v>#NAME?</v>
      </c>
      <c r="AI131" s="1" t="e">
        <f ca="1"/>
        <v>#NAME?</v>
      </c>
      <c r="AJ131" s="1" t="e">
        <f t="shared" ref="AJ131:AJ194" ca="1" si="54">-100*(P131-AI131)/AI131</f>
        <v>#NAME?</v>
      </c>
      <c r="AK131" s="1" t="e">
        <f ca="1"/>
        <v>#NAME?</v>
      </c>
      <c r="AL131" s="1" t="e">
        <f t="shared" ca="1" si="46"/>
        <v>#NAME?</v>
      </c>
      <c r="AN131" s="1">
        <f t="shared" si="36"/>
        <v>3.4424395855370742</v>
      </c>
      <c r="AO131" s="1" t="e">
        <f ca="1"/>
        <v>#NAME?</v>
      </c>
      <c r="AP131" s="1" t="e">
        <f t="shared" ca="1" si="37"/>
        <v>#NAME?</v>
      </c>
    </row>
    <row r="132" spans="1:42" x14ac:dyDescent="0.25">
      <c r="A132" s="1" t="s">
        <v>147</v>
      </c>
      <c r="B132" s="1">
        <v>131</v>
      </c>
      <c r="C132" s="1">
        <v>9739.1849999999995</v>
      </c>
      <c r="D132" s="1">
        <f t="shared" si="47"/>
        <v>3.9885226155221409</v>
      </c>
      <c r="E132" s="1">
        <v>6281.9229999999998</v>
      </c>
      <c r="F132" s="1">
        <f t="shared" si="48"/>
        <v>3.7980926087768996</v>
      </c>
      <c r="G132" s="1">
        <v>1237.1969999999999</v>
      </c>
      <c r="H132" s="1">
        <f t="shared" si="49"/>
        <v>3.0924388582394622</v>
      </c>
      <c r="I132" s="1">
        <v>2422.703</v>
      </c>
      <c r="J132" s="1">
        <f t="shared" si="50"/>
        <v>0.24875828932297725</v>
      </c>
      <c r="K132" s="1">
        <f t="shared" si="51"/>
        <v>3.3843001770896364</v>
      </c>
      <c r="L132" s="1">
        <v>796.12</v>
      </c>
      <c r="M132" s="1">
        <f t="shared" si="52"/>
        <v>2.9009785343330603</v>
      </c>
      <c r="N132" s="1">
        <v>856.75300000000004</v>
      </c>
      <c r="O132" s="1">
        <f t="shared" si="53"/>
        <v>2.9328556338269287</v>
      </c>
      <c r="P132" s="1">
        <v>-60.633000000000003</v>
      </c>
      <c r="Q132" s="1" t="e">
        <f ca="1"/>
        <v>#NAME?</v>
      </c>
      <c r="R132" s="1" t="e">
        <f t="shared" ca="1" si="38"/>
        <v>#NAME?</v>
      </c>
      <c r="S132" s="4">
        <v>1664898000000</v>
      </c>
      <c r="T132" s="1">
        <v>108892</v>
      </c>
      <c r="U132" s="1" t="e">
        <f ca="1"/>
        <v>#NAME?</v>
      </c>
      <c r="V132" s="1" t="e">
        <f t="shared" ca="1" si="39"/>
        <v>#NAME?</v>
      </c>
      <c r="W132" s="1" t="e">
        <f ca="1"/>
        <v>#NAME?</v>
      </c>
      <c r="X132" s="1" t="e">
        <f t="shared" ca="1" si="40"/>
        <v>#NAME?</v>
      </c>
      <c r="Y132" s="1" t="e">
        <f ca="1"/>
        <v>#NAME?</v>
      </c>
      <c r="Z132" s="1" t="e">
        <f t="shared" ca="1" si="41"/>
        <v>#NAME?</v>
      </c>
      <c r="AA132" s="1" t="e">
        <f ca="1"/>
        <v>#NAME?</v>
      </c>
      <c r="AB132" s="1" t="e">
        <f t="shared" ca="1" si="42"/>
        <v>#NAME?</v>
      </c>
      <c r="AC132" s="1" t="e">
        <f ca="1"/>
        <v>#NAME?</v>
      </c>
      <c r="AD132" s="1" t="e">
        <f t="shared" ca="1" si="43"/>
        <v>#NAME?</v>
      </c>
      <c r="AE132" s="1" t="e">
        <f ca="1"/>
        <v>#NAME?</v>
      </c>
      <c r="AF132" s="1" t="e">
        <f t="shared" ca="1" si="44"/>
        <v>#NAME?</v>
      </c>
      <c r="AG132" s="1" t="e">
        <f ca="1"/>
        <v>#NAME?</v>
      </c>
      <c r="AH132" s="1" t="e">
        <f t="shared" ca="1" si="45"/>
        <v>#NAME?</v>
      </c>
      <c r="AI132" s="1" t="e">
        <f ca="1"/>
        <v>#NAME?</v>
      </c>
      <c r="AJ132" s="1" t="e">
        <f t="shared" ca="1" si="54"/>
        <v>#NAME?</v>
      </c>
      <c r="AK132" s="1" t="e">
        <f ca="1"/>
        <v>#NAME?</v>
      </c>
      <c r="AL132" s="1" t="e">
        <f t="shared" ca="1" si="46"/>
        <v>#NAME?</v>
      </c>
      <c r="AN132" s="1">
        <f t="shared" si="36"/>
        <v>3.4451456444728743</v>
      </c>
      <c r="AO132" s="1" t="e">
        <f ca="1"/>
        <v>#NAME?</v>
      </c>
      <c r="AP132" s="1" t="e">
        <f t="shared" ca="1" si="37"/>
        <v>#NAME?</v>
      </c>
    </row>
    <row r="133" spans="1:42" x14ac:dyDescent="0.25">
      <c r="A133" s="1" t="s">
        <v>148</v>
      </c>
      <c r="B133" s="1">
        <v>132</v>
      </c>
      <c r="C133" s="1">
        <v>9840.7530000000006</v>
      </c>
      <c r="D133" s="1">
        <f t="shared" si="47"/>
        <v>3.9930283312802097</v>
      </c>
      <c r="E133" s="1">
        <v>6356.7960000000003</v>
      </c>
      <c r="F133" s="1">
        <f t="shared" si="48"/>
        <v>3.8032382744325193</v>
      </c>
      <c r="G133" s="1">
        <v>1274.9449999999999</v>
      </c>
      <c r="H133" s="1">
        <f t="shared" si="49"/>
        <v>3.1054914500941213</v>
      </c>
      <c r="I133" s="1">
        <v>2422.424</v>
      </c>
      <c r="J133" s="1">
        <f t="shared" si="50"/>
        <v>0.24616246338059697</v>
      </c>
      <c r="K133" s="1">
        <f t="shared" si="51"/>
        <v>3.3842501605841515</v>
      </c>
      <c r="L133" s="1">
        <v>800.11</v>
      </c>
      <c r="M133" s="1">
        <f t="shared" si="52"/>
        <v>2.9031496983781415</v>
      </c>
      <c r="N133" s="1">
        <v>877.26300000000003</v>
      </c>
      <c r="O133" s="1">
        <f t="shared" si="53"/>
        <v>2.9431298126656511</v>
      </c>
      <c r="P133" s="1">
        <v>-77.153000000000006</v>
      </c>
      <c r="Q133" s="1" t="e">
        <f ca="1"/>
        <v>#NAME?</v>
      </c>
      <c r="R133" s="1" t="e">
        <f t="shared" ca="1" si="38"/>
        <v>#NAME?</v>
      </c>
      <c r="S133" s="4">
        <v>1699334000000</v>
      </c>
      <c r="T133" s="1">
        <v>109305.33333333299</v>
      </c>
      <c r="U133" s="1" t="e">
        <f ca="1"/>
        <v>#NAME?</v>
      </c>
      <c r="V133" s="1" t="e">
        <f t="shared" ca="1" si="39"/>
        <v>#NAME?</v>
      </c>
      <c r="W133" s="1" t="e">
        <f ca="1"/>
        <v>#NAME?</v>
      </c>
      <c r="X133" s="1" t="e">
        <f t="shared" ca="1" si="40"/>
        <v>#NAME?</v>
      </c>
      <c r="Y133" s="1" t="e">
        <f ca="1"/>
        <v>#NAME?</v>
      </c>
      <c r="Z133" s="1" t="e">
        <f t="shared" ca="1" si="41"/>
        <v>#NAME?</v>
      </c>
      <c r="AA133" s="1" t="e">
        <f ca="1"/>
        <v>#NAME?</v>
      </c>
      <c r="AB133" s="1" t="e">
        <f t="shared" ca="1" si="42"/>
        <v>#NAME?</v>
      </c>
      <c r="AC133" s="1" t="e">
        <f ca="1"/>
        <v>#NAME?</v>
      </c>
      <c r="AD133" s="1" t="e">
        <f t="shared" ca="1" si="43"/>
        <v>#NAME?</v>
      </c>
      <c r="AE133" s="1" t="e">
        <f ca="1"/>
        <v>#NAME?</v>
      </c>
      <c r="AF133" s="1" t="e">
        <f t="shared" ca="1" si="44"/>
        <v>#NAME?</v>
      </c>
      <c r="AG133" s="1" t="e">
        <f ca="1"/>
        <v>#NAME?</v>
      </c>
      <c r="AH133" s="1" t="e">
        <f t="shared" ca="1" si="45"/>
        <v>#NAME?</v>
      </c>
      <c r="AI133" s="1" t="e">
        <f ca="1"/>
        <v>#NAME?</v>
      </c>
      <c r="AJ133" s="1" t="e">
        <f t="shared" ca="1" si="54"/>
        <v>#NAME?</v>
      </c>
      <c r="AK133" s="1" t="e">
        <f ca="1"/>
        <v>#NAME?</v>
      </c>
      <c r="AL133" s="1" t="e">
        <f t="shared" ca="1" si="46"/>
        <v>#NAME?</v>
      </c>
      <c r="AN133" s="1">
        <f t="shared" si="36"/>
        <v>3.4453975165213784</v>
      </c>
      <c r="AO133" s="1" t="e">
        <f ca="1"/>
        <v>#NAME?</v>
      </c>
      <c r="AP133" s="1" t="e">
        <f t="shared" ca="1" si="37"/>
        <v>#NAME?</v>
      </c>
    </row>
    <row r="134" spans="1:42" x14ac:dyDescent="0.25">
      <c r="A134" s="1" t="s">
        <v>149</v>
      </c>
      <c r="B134" s="1">
        <v>133</v>
      </c>
      <c r="C134" s="1">
        <v>9857.1849999999995</v>
      </c>
      <c r="D134" s="1">
        <f t="shared" si="47"/>
        <v>3.9937529074852924</v>
      </c>
      <c r="E134" s="1">
        <v>6381.1679999999997</v>
      </c>
      <c r="F134" s="1">
        <f t="shared" si="48"/>
        <v>3.8049001786472316</v>
      </c>
      <c r="G134" s="1">
        <v>1305.0029999999999</v>
      </c>
      <c r="H134" s="1">
        <f t="shared" si="49"/>
        <v>3.1156115100512713</v>
      </c>
      <c r="I134" s="1">
        <v>2392.3710000000001</v>
      </c>
      <c r="J134" s="1">
        <f t="shared" si="50"/>
        <v>0.24270326670342499</v>
      </c>
      <c r="K134" s="1">
        <f t="shared" si="51"/>
        <v>3.3788285293125866</v>
      </c>
      <c r="L134" s="1">
        <v>801.89599999999996</v>
      </c>
      <c r="M134" s="1">
        <f t="shared" si="52"/>
        <v>2.9041180471434145</v>
      </c>
      <c r="N134" s="1">
        <v>896.25699999999995</v>
      </c>
      <c r="O134" s="1">
        <f t="shared" si="53"/>
        <v>2.9524325606418276</v>
      </c>
      <c r="P134" s="1">
        <v>-94.361000000000004</v>
      </c>
      <c r="Q134" s="1" t="e">
        <f ca="1"/>
        <v>#NAME?</v>
      </c>
      <c r="R134" s="1" t="e">
        <f t="shared" ca="1" si="38"/>
        <v>#NAME?</v>
      </c>
      <c r="S134" s="4">
        <v>1700163000000</v>
      </c>
      <c r="T134" s="1">
        <v>109943.33333333299</v>
      </c>
      <c r="U134" s="1" t="e">
        <f ca="1"/>
        <v>#NAME?</v>
      </c>
      <c r="V134" s="1" t="e">
        <f t="shared" ca="1" si="39"/>
        <v>#NAME?</v>
      </c>
      <c r="W134" s="1" t="e">
        <f ca="1"/>
        <v>#NAME?</v>
      </c>
      <c r="X134" s="1" t="e">
        <f t="shared" ca="1" si="40"/>
        <v>#NAME?</v>
      </c>
      <c r="Y134" s="1" t="e">
        <f ca="1"/>
        <v>#NAME?</v>
      </c>
      <c r="Z134" s="1" t="e">
        <f t="shared" ca="1" si="41"/>
        <v>#NAME?</v>
      </c>
      <c r="AA134" s="1" t="e">
        <f ca="1"/>
        <v>#NAME?</v>
      </c>
      <c r="AB134" s="1" t="e">
        <f t="shared" ca="1" si="42"/>
        <v>#NAME?</v>
      </c>
      <c r="AC134" s="1" t="e">
        <f ca="1"/>
        <v>#NAME?</v>
      </c>
      <c r="AD134" s="1" t="e">
        <f t="shared" ca="1" si="43"/>
        <v>#NAME?</v>
      </c>
      <c r="AE134" s="1" t="e">
        <f ca="1"/>
        <v>#NAME?</v>
      </c>
      <c r="AF134" s="1" t="e">
        <f t="shared" ca="1" si="44"/>
        <v>#NAME?</v>
      </c>
      <c r="AG134" s="1" t="e">
        <f ca="1"/>
        <v>#NAME?</v>
      </c>
      <c r="AH134" s="1" t="e">
        <f t="shared" ca="1" si="45"/>
        <v>#NAME?</v>
      </c>
      <c r="AI134" s="1" t="e">
        <f ca="1"/>
        <v>#NAME?</v>
      </c>
      <c r="AJ134" s="1" t="e">
        <f t="shared" ca="1" si="54"/>
        <v>#NAME?</v>
      </c>
      <c r="AK134" s="1" t="e">
        <f ca="1"/>
        <v>#NAME?</v>
      </c>
      <c r="AL134" s="1" t="e">
        <f t="shared" ca="1" si="46"/>
        <v>#NAME?</v>
      </c>
      <c r="AN134" s="1">
        <f t="shared" si="36"/>
        <v>3.4444282096512806</v>
      </c>
      <c r="AO134" s="1" t="e">
        <f ca="1"/>
        <v>#NAME?</v>
      </c>
      <c r="AP134" s="1" t="e">
        <f t="shared" ca="1" si="37"/>
        <v>#NAME?</v>
      </c>
    </row>
    <row r="135" spans="1:42" x14ac:dyDescent="0.25">
      <c r="A135" s="1" t="s">
        <v>150</v>
      </c>
      <c r="B135" s="1">
        <v>134</v>
      </c>
      <c r="C135" s="1">
        <v>9914.5650000000005</v>
      </c>
      <c r="D135" s="1">
        <f t="shared" si="47"/>
        <v>3.9962736643563548</v>
      </c>
      <c r="E135" s="1">
        <v>6439.2110000000002</v>
      </c>
      <c r="F135" s="1">
        <f t="shared" si="48"/>
        <v>3.8088326562824175</v>
      </c>
      <c r="G135" s="1">
        <v>1312.511</v>
      </c>
      <c r="H135" s="1">
        <f t="shared" si="49"/>
        <v>3.1181029518641141</v>
      </c>
      <c r="I135" s="1">
        <v>2392.585</v>
      </c>
      <c r="J135" s="1">
        <f t="shared" si="50"/>
        <v>0.24132021929353431</v>
      </c>
      <c r="K135" s="1">
        <f t="shared" si="51"/>
        <v>3.3788673756548264</v>
      </c>
      <c r="L135" s="1">
        <v>811.48</v>
      </c>
      <c r="M135" s="1">
        <f t="shared" si="52"/>
        <v>2.9092778205311047</v>
      </c>
      <c r="N135" s="1">
        <v>914.774</v>
      </c>
      <c r="O135" s="1">
        <f t="shared" si="53"/>
        <v>2.9613138124530805</v>
      </c>
      <c r="P135" s="1">
        <v>-103.294</v>
      </c>
      <c r="Q135" s="1" t="e">
        <f ca="1"/>
        <v>#NAME?</v>
      </c>
      <c r="R135" s="1" t="e">
        <f t="shared" ca="1" si="38"/>
        <v>#NAME?</v>
      </c>
      <c r="S135" s="4">
        <v>1728534000000</v>
      </c>
      <c r="T135" s="1">
        <v>110538.66666666701</v>
      </c>
      <c r="U135" s="1" t="e">
        <f ca="1"/>
        <v>#NAME?</v>
      </c>
      <c r="V135" s="1" t="e">
        <f t="shared" ca="1" si="39"/>
        <v>#NAME?</v>
      </c>
      <c r="W135" s="1" t="e">
        <f ca="1"/>
        <v>#NAME?</v>
      </c>
      <c r="X135" s="1" t="e">
        <f t="shared" ca="1" si="40"/>
        <v>#NAME?</v>
      </c>
      <c r="Y135" s="1" t="e">
        <f ca="1"/>
        <v>#NAME?</v>
      </c>
      <c r="Z135" s="1" t="e">
        <f t="shared" ca="1" si="41"/>
        <v>#NAME?</v>
      </c>
      <c r="AA135" s="1" t="e">
        <f ca="1"/>
        <v>#NAME?</v>
      </c>
      <c r="AB135" s="1" t="e">
        <f t="shared" ca="1" si="42"/>
        <v>#NAME?</v>
      </c>
      <c r="AC135" s="1" t="e">
        <f ca="1"/>
        <v>#NAME?</v>
      </c>
      <c r="AD135" s="1" t="e">
        <f t="shared" ca="1" si="43"/>
        <v>#NAME?</v>
      </c>
      <c r="AE135" s="1" t="e">
        <f ca="1"/>
        <v>#NAME?</v>
      </c>
      <c r="AF135" s="1" t="e">
        <f t="shared" ca="1" si="44"/>
        <v>#NAME?</v>
      </c>
      <c r="AG135" s="1" t="e">
        <f ca="1"/>
        <v>#NAME?</v>
      </c>
      <c r="AH135" s="1" t="e">
        <f t="shared" ca="1" si="45"/>
        <v>#NAME?</v>
      </c>
      <c r="AI135" s="1" t="e">
        <f ca="1"/>
        <v>#NAME?</v>
      </c>
      <c r="AJ135" s="1" t="e">
        <f t="shared" ca="1" si="54"/>
        <v>#NAME?</v>
      </c>
      <c r="AK135" s="1" t="e">
        <f ca="1"/>
        <v>#NAME?</v>
      </c>
      <c r="AL135" s="1" t="e">
        <f t="shared" ca="1" si="46"/>
        <v>#NAME?</v>
      </c>
      <c r="AN135" s="1">
        <f t="shared" si="36"/>
        <v>3.4428605089046425</v>
      </c>
      <c r="AO135" s="1" t="e">
        <f ca="1"/>
        <v>#NAME?</v>
      </c>
      <c r="AP135" s="1" t="e">
        <f t="shared" ca="1" si="37"/>
        <v>#NAME?</v>
      </c>
    </row>
    <row r="136" spans="1:42" x14ac:dyDescent="0.25">
      <c r="A136" s="1" t="s">
        <v>151</v>
      </c>
      <c r="B136" s="1">
        <v>135</v>
      </c>
      <c r="C136" s="1">
        <v>9961.8729999999996</v>
      </c>
      <c r="D136" s="1">
        <f t="shared" si="47"/>
        <v>3.9983410007821529</v>
      </c>
      <c r="E136" s="1">
        <v>6510.8739999999998</v>
      </c>
      <c r="F136" s="1">
        <f t="shared" si="48"/>
        <v>3.813639290856925</v>
      </c>
      <c r="G136" s="1">
        <v>1303.597</v>
      </c>
      <c r="H136" s="1">
        <f t="shared" si="49"/>
        <v>3.1151433523416299</v>
      </c>
      <c r="I136" s="1">
        <v>2395.9870000000001</v>
      </c>
      <c r="J136" s="1">
        <f t="shared" si="50"/>
        <v>0.24051571426377349</v>
      </c>
      <c r="K136" s="1">
        <f t="shared" si="51"/>
        <v>3.3794844573551783</v>
      </c>
      <c r="L136" s="1">
        <v>809.29899999999998</v>
      </c>
      <c r="M136" s="1">
        <f t="shared" si="52"/>
        <v>2.9081090037624393</v>
      </c>
      <c r="N136" s="1">
        <v>926.82100000000003</v>
      </c>
      <c r="O136" s="1">
        <f t="shared" si="53"/>
        <v>2.9669958655158624</v>
      </c>
      <c r="P136" s="1">
        <v>-117.52200000000001</v>
      </c>
      <c r="Q136" s="1" t="e">
        <f ca="1"/>
        <v>#NAME?</v>
      </c>
      <c r="R136" s="1" t="e">
        <f t="shared" ca="1" si="38"/>
        <v>#NAME?</v>
      </c>
      <c r="S136" s="4">
        <v>1745359000000</v>
      </c>
      <c r="T136" s="1">
        <v>111241.33333333299</v>
      </c>
      <c r="U136" s="1" t="e">
        <f ca="1"/>
        <v>#NAME?</v>
      </c>
      <c r="V136" s="1" t="e">
        <f t="shared" ca="1" si="39"/>
        <v>#NAME?</v>
      </c>
      <c r="W136" s="1" t="e">
        <f ca="1"/>
        <v>#NAME?</v>
      </c>
      <c r="X136" s="1" t="e">
        <f t="shared" ca="1" si="40"/>
        <v>#NAME?</v>
      </c>
      <c r="Y136" s="1" t="e">
        <f ca="1"/>
        <v>#NAME?</v>
      </c>
      <c r="Z136" s="1" t="e">
        <f t="shared" ca="1" si="41"/>
        <v>#NAME?</v>
      </c>
      <c r="AA136" s="1" t="e">
        <f ca="1"/>
        <v>#NAME?</v>
      </c>
      <c r="AB136" s="1" t="e">
        <f t="shared" ca="1" si="42"/>
        <v>#NAME?</v>
      </c>
      <c r="AC136" s="1" t="e">
        <f ca="1"/>
        <v>#NAME?</v>
      </c>
      <c r="AD136" s="1" t="e">
        <f t="shared" ca="1" si="43"/>
        <v>#NAME?</v>
      </c>
      <c r="AE136" s="1" t="e">
        <f ca="1"/>
        <v>#NAME?</v>
      </c>
      <c r="AF136" s="1" t="e">
        <f t="shared" ca="1" si="44"/>
        <v>#NAME?</v>
      </c>
      <c r="AG136" s="1" t="e">
        <f ca="1"/>
        <v>#NAME?</v>
      </c>
      <c r="AH136" s="1" t="e">
        <f t="shared" ca="1" si="45"/>
        <v>#NAME?</v>
      </c>
      <c r="AI136" s="1" t="e">
        <f ca="1"/>
        <v>#NAME?</v>
      </c>
      <c r="AJ136" s="1" t="e">
        <f t="shared" ca="1" si="54"/>
        <v>#NAME?</v>
      </c>
      <c r="AK136" s="1" t="e">
        <f ca="1"/>
        <v>#NAME?</v>
      </c>
      <c r="AL136" s="1" t="e">
        <f t="shared" ca="1" si="46"/>
        <v>#NAME?</v>
      </c>
      <c r="AN136" s="1">
        <f t="shared" si="36"/>
        <v>3.4416521248356657</v>
      </c>
      <c r="AO136" s="1" t="e">
        <f ca="1"/>
        <v>#NAME?</v>
      </c>
      <c r="AP136" s="1" t="e">
        <f t="shared" ca="1" si="37"/>
        <v>#NAME?</v>
      </c>
    </row>
    <row r="137" spans="1:42" x14ac:dyDescent="0.25">
      <c r="A137" s="1" t="s">
        <v>152</v>
      </c>
      <c r="B137" s="1">
        <v>136</v>
      </c>
      <c r="C137" s="1">
        <v>10097.361999999999</v>
      </c>
      <c r="D137" s="1">
        <f t="shared" si="47"/>
        <v>4.0042079264077053</v>
      </c>
      <c r="E137" s="1">
        <v>6568.0280000000002</v>
      </c>
      <c r="F137" s="1">
        <f t="shared" si="48"/>
        <v>3.817434995545546</v>
      </c>
      <c r="G137" s="1">
        <v>1372.097</v>
      </c>
      <c r="H137" s="1">
        <f t="shared" si="49"/>
        <v>3.1373848147786387</v>
      </c>
      <c r="I137" s="1">
        <v>2404.4470000000001</v>
      </c>
      <c r="J137" s="1">
        <f t="shared" si="50"/>
        <v>0.23812625515456418</v>
      </c>
      <c r="K137" s="1">
        <f t="shared" si="51"/>
        <v>3.3810152085833667</v>
      </c>
      <c r="L137" s="1">
        <v>835.38400000000001</v>
      </c>
      <c r="M137" s="1">
        <f t="shared" si="52"/>
        <v>2.9218861530236033</v>
      </c>
      <c r="N137" s="1">
        <v>964.05499999999995</v>
      </c>
      <c r="O137" s="1">
        <f t="shared" si="53"/>
        <v>2.9841018114081521</v>
      </c>
      <c r="P137" s="1">
        <v>-128.67099999999999</v>
      </c>
      <c r="Q137" s="1" t="e">
        <f ca="1"/>
        <v>#NAME?</v>
      </c>
      <c r="R137" s="1" t="e">
        <f t="shared" ca="1" si="38"/>
        <v>#NAME?</v>
      </c>
      <c r="S137" s="4">
        <v>1803922000000</v>
      </c>
      <c r="T137" s="1">
        <v>112015</v>
      </c>
      <c r="U137" s="1" t="e">
        <f ca="1"/>
        <v>#NAME?</v>
      </c>
      <c r="V137" s="1" t="e">
        <f t="shared" ca="1" si="39"/>
        <v>#NAME?</v>
      </c>
      <c r="W137" s="1" t="e">
        <f ca="1"/>
        <v>#NAME?</v>
      </c>
      <c r="X137" s="1" t="e">
        <f t="shared" ca="1" si="40"/>
        <v>#NAME?</v>
      </c>
      <c r="Y137" s="1" t="e">
        <f ca="1"/>
        <v>#NAME?</v>
      </c>
      <c r="Z137" s="1" t="e">
        <f t="shared" ca="1" si="41"/>
        <v>#NAME?</v>
      </c>
      <c r="AA137" s="1" t="e">
        <f ca="1"/>
        <v>#NAME?</v>
      </c>
      <c r="AB137" s="1" t="e">
        <f t="shared" ca="1" si="42"/>
        <v>#NAME?</v>
      </c>
      <c r="AC137" s="1" t="e">
        <f ca="1"/>
        <v>#NAME?</v>
      </c>
      <c r="AD137" s="1" t="e">
        <f t="shared" ca="1" si="43"/>
        <v>#NAME?</v>
      </c>
      <c r="AE137" s="1" t="e">
        <f ca="1"/>
        <v>#NAME?</v>
      </c>
      <c r="AF137" s="1" t="e">
        <f t="shared" ca="1" si="44"/>
        <v>#NAME?</v>
      </c>
      <c r="AG137" s="1" t="e">
        <f ca="1"/>
        <v>#NAME?</v>
      </c>
      <c r="AH137" s="1" t="e">
        <f t="shared" ca="1" si="45"/>
        <v>#NAME?</v>
      </c>
      <c r="AI137" s="1" t="e">
        <f ca="1"/>
        <v>#NAME?</v>
      </c>
      <c r="AJ137" s="1" t="e">
        <f t="shared" ca="1" si="54"/>
        <v>#NAME?</v>
      </c>
      <c r="AK137" s="1" t="e">
        <f ca="1"/>
        <v>#NAME?</v>
      </c>
      <c r="AL137" s="1" t="e">
        <f t="shared" ca="1" si="46"/>
        <v>#NAME?</v>
      </c>
      <c r="AN137" s="1">
        <f t="shared" si="36"/>
        <v>3.440432777313795</v>
      </c>
      <c r="AO137" s="1" t="e">
        <f ca="1"/>
        <v>#NAME?</v>
      </c>
      <c r="AP137" s="1" t="e">
        <f t="shared" ca="1" si="37"/>
        <v>#NAME?</v>
      </c>
    </row>
    <row r="138" spans="1:42" x14ac:dyDescent="0.25">
      <c r="A138" s="1" t="s">
        <v>153</v>
      </c>
      <c r="B138" s="1">
        <v>137</v>
      </c>
      <c r="C138" s="1">
        <v>10195.338</v>
      </c>
      <c r="D138" s="1">
        <f t="shared" si="47"/>
        <v>4.0084016282604669</v>
      </c>
      <c r="E138" s="1">
        <v>6643.1509999999998</v>
      </c>
      <c r="F138" s="1">
        <f t="shared" si="48"/>
        <v>3.822374124144313</v>
      </c>
      <c r="G138" s="1">
        <v>1424.36</v>
      </c>
      <c r="H138" s="1">
        <f t="shared" si="49"/>
        <v>3.1536197689735741</v>
      </c>
      <c r="I138" s="1">
        <v>2374.6979999999999</v>
      </c>
      <c r="J138" s="1">
        <f t="shared" si="50"/>
        <v>0.23291998754724952</v>
      </c>
      <c r="K138" s="1">
        <f t="shared" si="51"/>
        <v>3.3756083864774911</v>
      </c>
      <c r="L138" s="1">
        <v>843.58399999999995</v>
      </c>
      <c r="M138" s="1">
        <f t="shared" si="52"/>
        <v>2.926128334014809</v>
      </c>
      <c r="N138" s="1">
        <v>986.51400000000001</v>
      </c>
      <c r="O138" s="1">
        <f t="shared" si="53"/>
        <v>2.9941032528721467</v>
      </c>
      <c r="P138" s="1">
        <v>-142.93</v>
      </c>
      <c r="Q138" s="1" t="e">
        <f ca="1"/>
        <v>#NAME?</v>
      </c>
      <c r="R138" s="1" t="e">
        <f t="shared" ca="1" si="38"/>
        <v>#NAME?</v>
      </c>
      <c r="S138" s="4">
        <v>1804884000000</v>
      </c>
      <c r="T138" s="1">
        <v>112872.33333333299</v>
      </c>
      <c r="U138" s="1" t="e">
        <f ca="1"/>
        <v>#NAME?</v>
      </c>
      <c r="V138" s="1" t="e">
        <f t="shared" ca="1" si="39"/>
        <v>#NAME?</v>
      </c>
      <c r="W138" s="1" t="e">
        <f ca="1"/>
        <v>#NAME?</v>
      </c>
      <c r="X138" s="1" t="e">
        <f t="shared" ca="1" si="40"/>
        <v>#NAME?</v>
      </c>
      <c r="Y138" s="1" t="e">
        <f ca="1"/>
        <v>#NAME?</v>
      </c>
      <c r="Z138" s="1" t="e">
        <f t="shared" ca="1" si="41"/>
        <v>#NAME?</v>
      </c>
      <c r="AA138" s="1" t="e">
        <f ca="1"/>
        <v>#NAME?</v>
      </c>
      <c r="AB138" s="1" t="e">
        <f t="shared" ca="1" si="42"/>
        <v>#NAME?</v>
      </c>
      <c r="AC138" s="1" t="e">
        <f ca="1"/>
        <v>#NAME?</v>
      </c>
      <c r="AD138" s="1" t="e">
        <f t="shared" ca="1" si="43"/>
        <v>#NAME?</v>
      </c>
      <c r="AE138" s="1" t="e">
        <f ca="1"/>
        <v>#NAME?</v>
      </c>
      <c r="AF138" s="1" t="e">
        <f t="shared" ca="1" si="44"/>
        <v>#NAME?</v>
      </c>
      <c r="AG138" s="1" t="e">
        <f ca="1"/>
        <v>#NAME?</v>
      </c>
      <c r="AH138" s="1" t="e">
        <f t="shared" ca="1" si="45"/>
        <v>#NAME?</v>
      </c>
      <c r="AI138" s="1" t="e">
        <f ca="1"/>
        <v>#NAME?</v>
      </c>
      <c r="AJ138" s="1" t="e">
        <f t="shared" ca="1" si="54"/>
        <v>#NAME?</v>
      </c>
      <c r="AK138" s="1" t="e">
        <f ca="1"/>
        <v>#NAME?</v>
      </c>
      <c r="AL138" s="1" t="e">
        <f t="shared" ca="1" si="46"/>
        <v>#NAME?</v>
      </c>
      <c r="AN138" s="1">
        <f t="shared" si="36"/>
        <v>3.4424238801294917</v>
      </c>
      <c r="AO138" s="1" t="e">
        <f ca="1"/>
        <v>#NAME?</v>
      </c>
      <c r="AP138" s="1" t="e">
        <f t="shared" ca="1" si="37"/>
        <v>#NAME?</v>
      </c>
    </row>
    <row r="139" spans="1:42" x14ac:dyDescent="0.25">
      <c r="A139" s="1" t="s">
        <v>154</v>
      </c>
      <c r="B139" s="1">
        <v>138</v>
      </c>
      <c r="C139" s="1">
        <v>10333.495000000001</v>
      </c>
      <c r="D139" s="1">
        <f t="shared" si="47"/>
        <v>4.0142472336686765</v>
      </c>
      <c r="E139" s="1">
        <v>6694.8389999999999</v>
      </c>
      <c r="F139" s="1">
        <f t="shared" si="48"/>
        <v>3.8257401373969704</v>
      </c>
      <c r="G139" s="1">
        <v>1494.4110000000001</v>
      </c>
      <c r="H139" s="1">
        <f t="shared" si="49"/>
        <v>3.1744700556350272</v>
      </c>
      <c r="I139" s="1">
        <v>2386.451</v>
      </c>
      <c r="J139" s="1">
        <f t="shared" si="50"/>
        <v>0.23094325782322436</v>
      </c>
      <c r="K139" s="1">
        <f t="shared" si="51"/>
        <v>3.3777525216069</v>
      </c>
      <c r="L139" s="1">
        <v>872.06500000000005</v>
      </c>
      <c r="M139" s="1">
        <f t="shared" si="52"/>
        <v>2.9405488565945599</v>
      </c>
      <c r="N139" s="1">
        <v>1023.272</v>
      </c>
      <c r="O139" s="1">
        <f t="shared" si="53"/>
        <v>3.0099910906013454</v>
      </c>
      <c r="P139" s="1">
        <v>-151.20699999999999</v>
      </c>
      <c r="Q139" s="1" t="e">
        <f ca="1"/>
        <v>#NAME?</v>
      </c>
      <c r="R139" s="1" t="e">
        <f t="shared" ca="1" si="38"/>
        <v>#NAME?</v>
      </c>
      <c r="S139" s="4">
        <v>1839627000000</v>
      </c>
      <c r="T139" s="1">
        <v>113915.66666666701</v>
      </c>
      <c r="U139" s="1" t="e">
        <f ca="1"/>
        <v>#NAME?</v>
      </c>
      <c r="V139" s="1" t="e">
        <f t="shared" ca="1" si="39"/>
        <v>#NAME?</v>
      </c>
      <c r="W139" s="1" t="e">
        <f ca="1"/>
        <v>#NAME?</v>
      </c>
      <c r="X139" s="1" t="e">
        <f t="shared" ca="1" si="40"/>
        <v>#NAME?</v>
      </c>
      <c r="Y139" s="1" t="e">
        <f ca="1"/>
        <v>#NAME?</v>
      </c>
      <c r="Z139" s="1" t="e">
        <f t="shared" ca="1" si="41"/>
        <v>#NAME?</v>
      </c>
      <c r="AA139" s="1" t="e">
        <f ca="1"/>
        <v>#NAME?</v>
      </c>
      <c r="AB139" s="1" t="e">
        <f t="shared" ca="1" si="42"/>
        <v>#NAME?</v>
      </c>
      <c r="AC139" s="1" t="e">
        <f ca="1"/>
        <v>#NAME?</v>
      </c>
      <c r="AD139" s="1" t="e">
        <f t="shared" ca="1" si="43"/>
        <v>#NAME?</v>
      </c>
      <c r="AE139" s="1" t="e">
        <f ca="1"/>
        <v>#NAME?</v>
      </c>
      <c r="AF139" s="1" t="e">
        <f t="shared" ca="1" si="44"/>
        <v>#NAME?</v>
      </c>
      <c r="AG139" s="1" t="e">
        <f ca="1"/>
        <v>#NAME?</v>
      </c>
      <c r="AH139" s="1" t="e">
        <f t="shared" ca="1" si="45"/>
        <v>#NAME?</v>
      </c>
      <c r="AI139" s="1" t="e">
        <f ca="1"/>
        <v>#NAME?</v>
      </c>
      <c r="AJ139" s="1" t="e">
        <f t="shared" ca="1" si="54"/>
        <v>#NAME?</v>
      </c>
      <c r="AK139" s="1" t="e">
        <f ca="1"/>
        <v>#NAME?</v>
      </c>
      <c r="AL139" s="1" t="e">
        <f t="shared" ca="1" si="46"/>
        <v>#NAME?</v>
      </c>
      <c r="AN139" s="1">
        <f t="shared" si="36"/>
        <v>3.4427311027399554</v>
      </c>
      <c r="AO139" s="1" t="e">
        <f ca="1"/>
        <v>#NAME?</v>
      </c>
      <c r="AP139" s="1" t="e">
        <f t="shared" ca="1" si="37"/>
        <v>#NAME?</v>
      </c>
    </row>
    <row r="140" spans="1:42" x14ac:dyDescent="0.25">
      <c r="A140" s="1" t="s">
        <v>155</v>
      </c>
      <c r="B140" s="1">
        <v>139</v>
      </c>
      <c r="C140" s="1">
        <v>10393.897999999999</v>
      </c>
      <c r="D140" s="1">
        <f t="shared" si="47"/>
        <v>4.0167784505804995</v>
      </c>
      <c r="E140" s="1">
        <v>6745.8869999999997</v>
      </c>
      <c r="F140" s="1">
        <f t="shared" si="48"/>
        <v>3.8290390620699806</v>
      </c>
      <c r="G140" s="1">
        <v>1469.999</v>
      </c>
      <c r="H140" s="1">
        <f t="shared" si="49"/>
        <v>3.1673170393096526</v>
      </c>
      <c r="I140" s="1">
        <v>2426.6790000000001</v>
      </c>
      <c r="J140" s="1">
        <f t="shared" si="50"/>
        <v>0.2334715041459903</v>
      </c>
      <c r="K140" s="1">
        <f t="shared" si="51"/>
        <v>3.3850123318536762</v>
      </c>
      <c r="L140" s="1">
        <v>904.70500000000004</v>
      </c>
      <c r="M140" s="1">
        <f t="shared" si="52"/>
        <v>2.9565069905227426</v>
      </c>
      <c r="N140" s="1">
        <v>1052.047</v>
      </c>
      <c r="O140" s="1">
        <f t="shared" si="53"/>
        <v>3.022035142274655</v>
      </c>
      <c r="P140" s="1">
        <v>-147.34200000000001</v>
      </c>
      <c r="Q140" s="1" t="e">
        <f ca="1"/>
        <v>#NAME?</v>
      </c>
      <c r="R140" s="1" t="e">
        <f t="shared" ca="1" si="38"/>
        <v>#NAME?</v>
      </c>
      <c r="S140" s="4">
        <v>1864201000000</v>
      </c>
      <c r="T140" s="1">
        <v>114920</v>
      </c>
      <c r="U140" s="1" t="e">
        <f ca="1"/>
        <v>#NAME?</v>
      </c>
      <c r="V140" s="1" t="e">
        <f t="shared" ca="1" si="39"/>
        <v>#NAME?</v>
      </c>
      <c r="W140" s="1" t="e">
        <f ca="1"/>
        <v>#NAME?</v>
      </c>
      <c r="X140" s="1" t="e">
        <f t="shared" ca="1" si="40"/>
        <v>#NAME?</v>
      </c>
      <c r="Y140" s="1" t="e">
        <f ca="1"/>
        <v>#NAME?</v>
      </c>
      <c r="Z140" s="1" t="e">
        <f t="shared" ca="1" si="41"/>
        <v>#NAME?</v>
      </c>
      <c r="AA140" s="1" t="e">
        <f ca="1"/>
        <v>#NAME?</v>
      </c>
      <c r="AB140" s="1" t="e">
        <f t="shared" ca="1" si="42"/>
        <v>#NAME?</v>
      </c>
      <c r="AC140" s="1" t="e">
        <f ca="1"/>
        <v>#NAME?</v>
      </c>
      <c r="AD140" s="1" t="e">
        <f t="shared" ca="1" si="43"/>
        <v>#NAME?</v>
      </c>
      <c r="AE140" s="1" t="e">
        <f ca="1"/>
        <v>#NAME?</v>
      </c>
      <c r="AF140" s="1" t="e">
        <f t="shared" ca="1" si="44"/>
        <v>#NAME?</v>
      </c>
      <c r="AG140" s="1" t="e">
        <f ca="1"/>
        <v>#NAME?</v>
      </c>
      <c r="AH140" s="1" t="e">
        <f t="shared" ca="1" si="45"/>
        <v>#NAME?</v>
      </c>
      <c r="AI140" s="1" t="e">
        <f ca="1"/>
        <v>#NAME?</v>
      </c>
      <c r="AJ140" s="1" t="e">
        <f t="shared" ca="1" si="54"/>
        <v>#NAME?</v>
      </c>
      <c r="AK140" s="1" t="e">
        <f ca="1"/>
        <v>#NAME?</v>
      </c>
      <c r="AL140" s="1" t="e">
        <f t="shared" ca="1" si="46"/>
        <v>#NAME?</v>
      </c>
      <c r="AN140" s="1">
        <f t="shared" si="36"/>
        <v>3.4407478703182575</v>
      </c>
      <c r="AO140" s="1" t="e">
        <f ca="1"/>
        <v>#NAME?</v>
      </c>
      <c r="AP140" s="1" t="e">
        <f t="shared" ca="1" si="37"/>
        <v>#NAME?</v>
      </c>
    </row>
    <row r="141" spans="1:42" x14ac:dyDescent="0.25">
      <c r="A141" s="1" t="s">
        <v>156</v>
      </c>
      <c r="B141" s="1">
        <v>140</v>
      </c>
      <c r="C141" s="1">
        <v>10512.962</v>
      </c>
      <c r="D141" s="1">
        <f t="shared" si="47"/>
        <v>4.0217250946220782</v>
      </c>
      <c r="E141" s="1">
        <v>6818.8190000000004</v>
      </c>
      <c r="F141" s="1">
        <f t="shared" si="48"/>
        <v>3.8337091626041144</v>
      </c>
      <c r="G141" s="1">
        <v>1530.4760000000001</v>
      </c>
      <c r="H141" s="1">
        <f t="shared" si="49"/>
        <v>3.1848265236430633</v>
      </c>
      <c r="I141" s="1">
        <v>2405.5650000000001</v>
      </c>
      <c r="J141" s="1">
        <f t="shared" si="50"/>
        <v>0.22881895701706143</v>
      </c>
      <c r="K141" s="1">
        <f t="shared" si="51"/>
        <v>3.3812170963289736</v>
      </c>
      <c r="L141" s="1">
        <v>925.58900000000006</v>
      </c>
      <c r="M141" s="1">
        <f t="shared" si="52"/>
        <v>2.9664181846778246</v>
      </c>
      <c r="N141" s="1">
        <v>1081.6469999999999</v>
      </c>
      <c r="O141" s="1">
        <f t="shared" si="53"/>
        <v>3.0340855500816333</v>
      </c>
      <c r="P141" s="1">
        <v>-156.05799999999999</v>
      </c>
      <c r="Q141" s="1" t="e">
        <f ca="1"/>
        <v>#NAME?</v>
      </c>
      <c r="R141" s="1" t="e">
        <f t="shared" ca="1" si="38"/>
        <v>#NAME?</v>
      </c>
      <c r="S141" s="4">
        <v>1895254000000</v>
      </c>
      <c r="T141" s="1">
        <v>115834.33333333299</v>
      </c>
      <c r="U141" s="1" t="e">
        <f ca="1"/>
        <v>#NAME?</v>
      </c>
      <c r="V141" s="1" t="e">
        <f t="shared" ca="1" si="39"/>
        <v>#NAME?</v>
      </c>
      <c r="W141" s="1" t="e">
        <f ca="1"/>
        <v>#NAME?</v>
      </c>
      <c r="X141" s="1" t="e">
        <f t="shared" ca="1" si="40"/>
        <v>#NAME?</v>
      </c>
      <c r="Y141" s="1" t="e">
        <f ca="1"/>
        <v>#NAME?</v>
      </c>
      <c r="Z141" s="1" t="e">
        <f t="shared" ca="1" si="41"/>
        <v>#NAME?</v>
      </c>
      <c r="AA141" s="1" t="e">
        <f ca="1"/>
        <v>#NAME?</v>
      </c>
      <c r="AB141" s="1" t="e">
        <f t="shared" ca="1" si="42"/>
        <v>#NAME?</v>
      </c>
      <c r="AC141" s="1" t="e">
        <f ca="1"/>
        <v>#NAME?</v>
      </c>
      <c r="AD141" s="1" t="e">
        <f t="shared" ca="1" si="43"/>
        <v>#NAME?</v>
      </c>
      <c r="AE141" s="1" t="e">
        <f ca="1"/>
        <v>#NAME?</v>
      </c>
      <c r="AF141" s="1" t="e">
        <f t="shared" ca="1" si="44"/>
        <v>#NAME?</v>
      </c>
      <c r="AG141" s="1" t="e">
        <f ca="1"/>
        <v>#NAME?</v>
      </c>
      <c r="AH141" s="1" t="e">
        <f t="shared" ca="1" si="45"/>
        <v>#NAME?</v>
      </c>
      <c r="AI141" s="1" t="e">
        <f ca="1"/>
        <v>#NAME?</v>
      </c>
      <c r="AJ141" s="1" t="e">
        <f t="shared" ca="1" si="54"/>
        <v>#NAME?</v>
      </c>
      <c r="AK141" s="1" t="e">
        <f ca="1"/>
        <v>#NAME?</v>
      </c>
      <c r="AL141" s="1" t="e">
        <f t="shared" ca="1" si="46"/>
        <v>#NAME?</v>
      </c>
      <c r="AN141" s="1">
        <f t="shared" si="36"/>
        <v>3.4409089484989002</v>
      </c>
      <c r="AO141" s="1" t="e">
        <f ca="1"/>
        <v>#NAME?</v>
      </c>
      <c r="AP141" s="1" t="e">
        <f t="shared" ca="1" si="37"/>
        <v>#NAME?</v>
      </c>
    </row>
    <row r="142" spans="1:42" x14ac:dyDescent="0.25">
      <c r="A142" s="1" t="s">
        <v>157</v>
      </c>
      <c r="B142" s="1">
        <v>141</v>
      </c>
      <c r="C142" s="1">
        <v>10550.251</v>
      </c>
      <c r="D142" s="1">
        <f t="shared" si="47"/>
        <v>4.023262792014588</v>
      </c>
      <c r="E142" s="1">
        <v>6835.7910000000002</v>
      </c>
      <c r="F142" s="1">
        <f t="shared" si="48"/>
        <v>3.8347887759717123</v>
      </c>
      <c r="G142" s="1">
        <v>1546.548</v>
      </c>
      <c r="H142" s="1">
        <f t="shared" si="49"/>
        <v>3.1893634036871634</v>
      </c>
      <c r="I142" s="1">
        <v>2413.98</v>
      </c>
      <c r="J142" s="1">
        <f t="shared" si="50"/>
        <v>0.22880782646782527</v>
      </c>
      <c r="K142" s="1">
        <f t="shared" si="51"/>
        <v>3.3827336676148434</v>
      </c>
      <c r="L142" s="1">
        <v>943.41800000000001</v>
      </c>
      <c r="M142" s="1">
        <f t="shared" si="52"/>
        <v>2.9747041581362024</v>
      </c>
      <c r="N142" s="1">
        <v>1105.3800000000001</v>
      </c>
      <c r="O142" s="1">
        <f t="shared" si="53"/>
        <v>3.043511602485474</v>
      </c>
      <c r="P142" s="1">
        <v>-161.96199999999999</v>
      </c>
      <c r="Q142" s="1" t="e">
        <f ca="1"/>
        <v>#NAME?</v>
      </c>
      <c r="R142" s="1" t="e">
        <f t="shared" ca="1" si="38"/>
        <v>#NAME?</v>
      </c>
      <c r="S142" s="4">
        <v>1931397000000</v>
      </c>
      <c r="T142" s="1">
        <v>116701</v>
      </c>
      <c r="U142" s="1" t="e">
        <f ca="1"/>
        <v>#NAME?</v>
      </c>
      <c r="V142" s="1" t="e">
        <f t="shared" ca="1" si="39"/>
        <v>#NAME?</v>
      </c>
      <c r="W142" s="1" t="e">
        <f ca="1"/>
        <v>#NAME?</v>
      </c>
      <c r="X142" s="1" t="e">
        <f t="shared" ca="1" si="40"/>
        <v>#NAME?</v>
      </c>
      <c r="Y142" s="1" t="e">
        <f ca="1"/>
        <v>#NAME?</v>
      </c>
      <c r="Z142" s="1" t="e">
        <f t="shared" ca="1" si="41"/>
        <v>#NAME?</v>
      </c>
      <c r="AA142" s="1" t="e">
        <f ca="1"/>
        <v>#NAME?</v>
      </c>
      <c r="AB142" s="1" t="e">
        <f t="shared" ca="1" si="42"/>
        <v>#NAME?</v>
      </c>
      <c r="AC142" s="1" t="e">
        <f ca="1"/>
        <v>#NAME?</v>
      </c>
      <c r="AD142" s="1" t="e">
        <f t="shared" ca="1" si="43"/>
        <v>#NAME?</v>
      </c>
      <c r="AE142" s="1" t="e">
        <f ca="1"/>
        <v>#NAME?</v>
      </c>
      <c r="AF142" s="1" t="e">
        <f t="shared" ca="1" si="44"/>
        <v>#NAME?</v>
      </c>
      <c r="AG142" s="1" t="e">
        <f ca="1"/>
        <v>#NAME?</v>
      </c>
      <c r="AH142" s="1" t="e">
        <f t="shared" ca="1" si="45"/>
        <v>#NAME?</v>
      </c>
      <c r="AI142" s="1" t="e">
        <f ca="1"/>
        <v>#NAME?</v>
      </c>
      <c r="AJ142" s="1" t="e">
        <f t="shared" ca="1" si="54"/>
        <v>#NAME?</v>
      </c>
      <c r="AK142" s="1" t="e">
        <f ca="1"/>
        <v>#NAME?</v>
      </c>
      <c r="AL142" s="1" t="e">
        <f t="shared" ca="1" si="46"/>
        <v>#NAME?</v>
      </c>
      <c r="AN142" s="1">
        <f t="shared" si="36"/>
        <v>3.437421303524796</v>
      </c>
      <c r="AO142" s="1" t="e">
        <f ca="1"/>
        <v>#NAME?</v>
      </c>
      <c r="AP142" s="1" t="e">
        <f t="shared" ca="1" si="37"/>
        <v>#NAME?</v>
      </c>
    </row>
    <row r="143" spans="1:42" x14ac:dyDescent="0.25">
      <c r="A143" s="1" t="s">
        <v>158</v>
      </c>
      <c r="B143" s="1">
        <v>142</v>
      </c>
      <c r="C143" s="1">
        <v>10581.723</v>
      </c>
      <c r="D143" s="1">
        <f t="shared" si="47"/>
        <v>4.0245563887263698</v>
      </c>
      <c r="E143" s="1">
        <v>6895.7179999999998</v>
      </c>
      <c r="F143" s="1">
        <f t="shared" si="48"/>
        <v>3.8385794927313772</v>
      </c>
      <c r="G143" s="1">
        <v>1514.4259999999999</v>
      </c>
      <c r="H143" s="1">
        <f t="shared" si="49"/>
        <v>3.1802480570833156</v>
      </c>
      <c r="I143" s="1">
        <v>2422.0909999999999</v>
      </c>
      <c r="J143" s="1">
        <f t="shared" si="50"/>
        <v>0.22889382003290012</v>
      </c>
      <c r="K143" s="1">
        <f t="shared" si="51"/>
        <v>3.3841904559232305</v>
      </c>
      <c r="L143" s="1">
        <v>956.64700000000005</v>
      </c>
      <c r="M143" s="1">
        <f t="shared" si="52"/>
        <v>2.9807517139175315</v>
      </c>
      <c r="N143" s="1">
        <v>1115.8779999999999</v>
      </c>
      <c r="O143" s="1">
        <f t="shared" si="53"/>
        <v>3.0476167153694109</v>
      </c>
      <c r="P143" s="1">
        <v>-159.23099999999999</v>
      </c>
      <c r="Q143" s="1" t="e">
        <f ca="1"/>
        <v>#NAME?</v>
      </c>
      <c r="R143" s="1" t="e">
        <f t="shared" ca="1" si="38"/>
        <v>#NAME?</v>
      </c>
      <c r="S143" s="4">
        <v>1931786000000</v>
      </c>
      <c r="T143" s="1">
        <v>117133.33333333299</v>
      </c>
      <c r="U143" s="1" t="e">
        <f ca="1"/>
        <v>#NAME?</v>
      </c>
      <c r="V143" s="1" t="e">
        <f t="shared" ca="1" si="39"/>
        <v>#NAME?</v>
      </c>
      <c r="W143" s="1" t="e">
        <f ca="1"/>
        <v>#NAME?</v>
      </c>
      <c r="X143" s="1" t="e">
        <f t="shared" ca="1" si="40"/>
        <v>#NAME?</v>
      </c>
      <c r="Y143" s="1" t="e">
        <f ca="1"/>
        <v>#NAME?</v>
      </c>
      <c r="Z143" s="1" t="e">
        <f t="shared" ca="1" si="41"/>
        <v>#NAME?</v>
      </c>
      <c r="AA143" s="1" t="e">
        <f ca="1"/>
        <v>#NAME?</v>
      </c>
      <c r="AB143" s="1" t="e">
        <f t="shared" ca="1" si="42"/>
        <v>#NAME?</v>
      </c>
      <c r="AC143" s="1" t="e">
        <f ca="1"/>
        <v>#NAME?</v>
      </c>
      <c r="AD143" s="1" t="e">
        <f t="shared" ca="1" si="43"/>
        <v>#NAME?</v>
      </c>
      <c r="AE143" s="1" t="e">
        <f ca="1"/>
        <v>#NAME?</v>
      </c>
      <c r="AF143" s="1" t="e">
        <f t="shared" ca="1" si="44"/>
        <v>#NAME?</v>
      </c>
      <c r="AG143" s="1" t="e">
        <f ca="1"/>
        <v>#NAME?</v>
      </c>
      <c r="AH143" s="1" t="e">
        <f t="shared" ca="1" si="45"/>
        <v>#NAME?</v>
      </c>
      <c r="AI143" s="1" t="e">
        <f ca="1"/>
        <v>#NAME?</v>
      </c>
      <c r="AJ143" s="1" t="e">
        <f t="shared" ca="1" si="54"/>
        <v>#NAME?</v>
      </c>
      <c r="AK143" s="1" t="e">
        <f ca="1"/>
        <v>#NAME?</v>
      </c>
      <c r="AL143" s="1" t="e">
        <f t="shared" ca="1" si="46"/>
        <v>#NAME?</v>
      </c>
      <c r="AN143" s="1">
        <f t="shared" si="36"/>
        <v>3.4376556220052432</v>
      </c>
      <c r="AO143" s="1" t="e">
        <f ca="1"/>
        <v>#NAME?</v>
      </c>
      <c r="AP143" s="1" t="e">
        <f t="shared" ca="1" si="37"/>
        <v>#NAME?</v>
      </c>
    </row>
    <row r="144" spans="1:42" x14ac:dyDescent="0.25">
      <c r="A144" s="1" t="s">
        <v>159</v>
      </c>
      <c r="B144" s="1">
        <v>143</v>
      </c>
      <c r="C144" s="1">
        <v>10671.737999999999</v>
      </c>
      <c r="D144" s="1">
        <f t="shared" si="47"/>
        <v>4.0282351544143955</v>
      </c>
      <c r="E144" s="1">
        <v>6958.21</v>
      </c>
      <c r="F144" s="1">
        <f t="shared" si="48"/>
        <v>3.842497531693108</v>
      </c>
      <c r="G144" s="1">
        <v>1505.3989999999999</v>
      </c>
      <c r="H144" s="1">
        <f t="shared" si="49"/>
        <v>3.1776516232070717</v>
      </c>
      <c r="I144" s="1">
        <v>2415.7359999999999</v>
      </c>
      <c r="J144" s="1">
        <f t="shared" si="50"/>
        <v>0.2263676263416512</v>
      </c>
      <c r="K144" s="1">
        <f t="shared" si="51"/>
        <v>3.3830494713365638</v>
      </c>
      <c r="L144" s="1">
        <v>998.04600000000005</v>
      </c>
      <c r="M144" s="1">
        <f t="shared" si="52"/>
        <v>2.9991505584073885</v>
      </c>
      <c r="N144" s="1">
        <v>1119.712</v>
      </c>
      <c r="O144" s="1">
        <f t="shared" si="53"/>
        <v>3.0491063325854943</v>
      </c>
      <c r="P144" s="1">
        <v>-121.666</v>
      </c>
      <c r="Q144" s="1" t="e">
        <f ca="1"/>
        <v>#NAME?</v>
      </c>
      <c r="R144" s="1" t="e">
        <f t="shared" ca="1" si="38"/>
        <v>#NAME?</v>
      </c>
      <c r="S144" s="4">
        <v>1947323000000</v>
      </c>
      <c r="T144" s="1">
        <v>117632</v>
      </c>
      <c r="U144" s="1" t="e">
        <f ca="1"/>
        <v>#NAME?</v>
      </c>
      <c r="V144" s="1" t="e">
        <f t="shared" ca="1" si="39"/>
        <v>#NAME?</v>
      </c>
      <c r="W144" s="1" t="e">
        <f ca="1"/>
        <v>#NAME?</v>
      </c>
      <c r="X144" s="1" t="e">
        <f t="shared" ca="1" si="40"/>
        <v>#NAME?</v>
      </c>
      <c r="Y144" s="1" t="e">
        <f ca="1"/>
        <v>#NAME?</v>
      </c>
      <c r="Z144" s="1" t="e">
        <f t="shared" ca="1" si="41"/>
        <v>#NAME?</v>
      </c>
      <c r="AA144" s="1" t="e">
        <f ca="1"/>
        <v>#NAME?</v>
      </c>
      <c r="AB144" s="1" t="e">
        <f t="shared" ca="1" si="42"/>
        <v>#NAME?</v>
      </c>
      <c r="AC144" s="1" t="e">
        <f ca="1"/>
        <v>#NAME?</v>
      </c>
      <c r="AD144" s="1" t="e">
        <f t="shared" ca="1" si="43"/>
        <v>#NAME?</v>
      </c>
      <c r="AE144" s="1" t="e">
        <f ca="1"/>
        <v>#NAME?</v>
      </c>
      <c r="AF144" s="1" t="e">
        <f t="shared" ca="1" si="44"/>
        <v>#NAME?</v>
      </c>
      <c r="AG144" s="1" t="e">
        <f ca="1"/>
        <v>#NAME?</v>
      </c>
      <c r="AH144" s="1" t="e">
        <f t="shared" ca="1" si="45"/>
        <v>#NAME?</v>
      </c>
      <c r="AI144" s="1" t="e">
        <f ca="1"/>
        <v>#NAME?</v>
      </c>
      <c r="AJ144" s="1" t="e">
        <f t="shared" ca="1" si="54"/>
        <v>#NAME?</v>
      </c>
      <c r="AK144" s="1" t="e">
        <f ca="1"/>
        <v>#NAME?</v>
      </c>
      <c r="AL144" s="1" t="e">
        <f t="shared" ca="1" si="46"/>
        <v>#NAME?</v>
      </c>
      <c r="AN144" s="1">
        <f t="shared" si="36"/>
        <v>3.4389011689392044</v>
      </c>
      <c r="AO144" s="1" t="e">
        <f ca="1"/>
        <v>#NAME?</v>
      </c>
      <c r="AP144" s="1" t="e">
        <f t="shared" ca="1" si="37"/>
        <v>#NAME?</v>
      </c>
    </row>
    <row r="145" spans="1:42" x14ac:dyDescent="0.25">
      <c r="A145" s="1" t="s">
        <v>160</v>
      </c>
      <c r="B145" s="1">
        <v>144</v>
      </c>
      <c r="C145" s="1">
        <v>10744.203</v>
      </c>
      <c r="D145" s="1">
        <f t="shared" si="47"/>
        <v>4.03117420525885</v>
      </c>
      <c r="E145" s="1">
        <v>7006.7470000000003</v>
      </c>
      <c r="F145" s="1">
        <f t="shared" si="48"/>
        <v>3.8455164362480194</v>
      </c>
      <c r="G145" s="1">
        <v>1542.7850000000001</v>
      </c>
      <c r="H145" s="1">
        <f t="shared" si="49"/>
        <v>3.1883054077096271</v>
      </c>
      <c r="I145" s="1">
        <v>2390.46</v>
      </c>
      <c r="J145" s="1">
        <f t="shared" si="50"/>
        <v>0.2224883502294214</v>
      </c>
      <c r="K145" s="1">
        <f t="shared" si="51"/>
        <v>3.378481480964409</v>
      </c>
      <c r="L145" s="1">
        <v>1012.295</v>
      </c>
      <c r="M145" s="1">
        <f t="shared" si="52"/>
        <v>3.0053070917553897</v>
      </c>
      <c r="N145" s="1">
        <v>1134.0239999999999</v>
      </c>
      <c r="O145" s="1">
        <f t="shared" si="53"/>
        <v>3.0546222458772316</v>
      </c>
      <c r="P145" s="1">
        <v>-121.729</v>
      </c>
      <c r="Q145" s="1" t="e">
        <f ca="1"/>
        <v>#NAME?</v>
      </c>
      <c r="R145" s="1" t="e">
        <f t="shared" ca="1" si="38"/>
        <v>#NAME?</v>
      </c>
      <c r="S145" s="4">
        <v>1975189000000</v>
      </c>
      <c r="T145" s="1">
        <v>118174</v>
      </c>
      <c r="U145" s="1" t="e">
        <f ca="1"/>
        <v>#NAME?</v>
      </c>
      <c r="V145" s="1" t="e">
        <f t="shared" ca="1" si="39"/>
        <v>#NAME?</v>
      </c>
      <c r="W145" s="1" t="e">
        <f ca="1"/>
        <v>#NAME?</v>
      </c>
      <c r="X145" s="1" t="e">
        <f t="shared" ca="1" si="40"/>
        <v>#NAME?</v>
      </c>
      <c r="Y145" s="1" t="e">
        <f ca="1"/>
        <v>#NAME?</v>
      </c>
      <c r="Z145" s="1" t="e">
        <f t="shared" ca="1" si="41"/>
        <v>#NAME?</v>
      </c>
      <c r="AA145" s="1" t="e">
        <f ca="1"/>
        <v>#NAME?</v>
      </c>
      <c r="AB145" s="1" t="e">
        <f t="shared" ca="1" si="42"/>
        <v>#NAME?</v>
      </c>
      <c r="AC145" s="1" t="e">
        <f ca="1"/>
        <v>#NAME?</v>
      </c>
      <c r="AD145" s="1" t="e">
        <f t="shared" ca="1" si="43"/>
        <v>#NAME?</v>
      </c>
      <c r="AE145" s="1" t="e">
        <f ca="1"/>
        <v>#NAME?</v>
      </c>
      <c r="AF145" s="1" t="e">
        <f t="shared" ca="1" si="44"/>
        <v>#NAME?</v>
      </c>
      <c r="AG145" s="1" t="e">
        <f ca="1"/>
        <v>#NAME?</v>
      </c>
      <c r="AH145" s="1" t="e">
        <f t="shared" ca="1" si="45"/>
        <v>#NAME?</v>
      </c>
      <c r="AI145" s="1" t="e">
        <f ca="1"/>
        <v>#NAME?</v>
      </c>
      <c r="AJ145" s="1" t="e">
        <f t="shared" ca="1" si="54"/>
        <v>#NAME?</v>
      </c>
      <c r="AK145" s="1" t="e">
        <f ca="1"/>
        <v>#NAME?</v>
      </c>
      <c r="AL145" s="1" t="e">
        <f t="shared" ca="1" si="46"/>
        <v>#NAME?</v>
      </c>
      <c r="AN145" s="1">
        <f t="shared" si="36"/>
        <v>3.4383410492617612</v>
      </c>
      <c r="AO145" s="1" t="e">
        <f ca="1"/>
        <v>#NAME?</v>
      </c>
      <c r="AP145" s="1" t="e">
        <f t="shared" ca="1" si="37"/>
        <v>#NAME?</v>
      </c>
    </row>
    <row r="146" spans="1:42" x14ac:dyDescent="0.25">
      <c r="A146" s="1" t="s">
        <v>161</v>
      </c>
      <c r="B146" s="1">
        <v>145</v>
      </c>
      <c r="C146" s="1">
        <v>10824.674000000001</v>
      </c>
      <c r="D146" s="1">
        <f t="shared" si="47"/>
        <v>4.0344148258445243</v>
      </c>
      <c r="E146" s="1">
        <v>7071.3689999999997</v>
      </c>
      <c r="F146" s="1">
        <f t="shared" si="48"/>
        <v>3.849503500301902</v>
      </c>
      <c r="G146" s="1">
        <v>1567.56</v>
      </c>
      <c r="H146" s="1">
        <f t="shared" si="49"/>
        <v>3.1952241728968311</v>
      </c>
      <c r="I146" s="1">
        <v>2406.2280000000001</v>
      </c>
      <c r="J146" s="1">
        <f t="shared" si="50"/>
        <v>0.2222910362011826</v>
      </c>
      <c r="K146" s="1">
        <f t="shared" si="51"/>
        <v>3.3813367761420179</v>
      </c>
      <c r="L146" s="1">
        <v>1024.482</v>
      </c>
      <c r="M146" s="1">
        <f t="shared" si="52"/>
        <v>3.0105043323132525</v>
      </c>
      <c r="N146" s="1">
        <v>1170.8879999999999</v>
      </c>
      <c r="O146" s="1">
        <f t="shared" si="53"/>
        <v>3.0685153550994779</v>
      </c>
      <c r="P146" s="1">
        <v>-146.40600000000001</v>
      </c>
      <c r="Q146" s="1" t="e">
        <f ca="1"/>
        <v>#NAME?</v>
      </c>
      <c r="R146" s="1" t="e">
        <f t="shared" ca="1" si="38"/>
        <v>#NAME?</v>
      </c>
      <c r="S146" s="4">
        <v>2025784000000</v>
      </c>
      <c r="T146" s="1">
        <v>118680.66666666701</v>
      </c>
      <c r="U146" s="1" t="e">
        <f ca="1"/>
        <v>#NAME?</v>
      </c>
      <c r="V146" s="1" t="e">
        <f t="shared" ca="1" si="39"/>
        <v>#NAME?</v>
      </c>
      <c r="W146" s="1" t="e">
        <f ca="1"/>
        <v>#NAME?</v>
      </c>
      <c r="X146" s="1" t="e">
        <f t="shared" ca="1" si="40"/>
        <v>#NAME?</v>
      </c>
      <c r="Y146" s="1" t="e">
        <f ca="1"/>
        <v>#NAME?</v>
      </c>
      <c r="Z146" s="1" t="e">
        <f t="shared" ca="1" si="41"/>
        <v>#NAME?</v>
      </c>
      <c r="AA146" s="1" t="e">
        <f ca="1"/>
        <v>#NAME?</v>
      </c>
      <c r="AB146" s="1" t="e">
        <f t="shared" ca="1" si="42"/>
        <v>#NAME?</v>
      </c>
      <c r="AC146" s="1" t="e">
        <f ca="1"/>
        <v>#NAME?</v>
      </c>
      <c r="AD146" s="1" t="e">
        <f t="shared" ca="1" si="43"/>
        <v>#NAME?</v>
      </c>
      <c r="AE146" s="1" t="e">
        <f ca="1"/>
        <v>#NAME?</v>
      </c>
      <c r="AF146" s="1" t="e">
        <f t="shared" ca="1" si="44"/>
        <v>#NAME?</v>
      </c>
      <c r="AG146" s="1" t="e">
        <f ca="1"/>
        <v>#NAME?</v>
      </c>
      <c r="AH146" s="1" t="e">
        <f t="shared" ca="1" si="45"/>
        <v>#NAME?</v>
      </c>
      <c r="AI146" s="1" t="e">
        <f ca="1"/>
        <v>#NAME?</v>
      </c>
      <c r="AJ146" s="1" t="e">
        <f t="shared" ca="1" si="54"/>
        <v>#NAME?</v>
      </c>
      <c r="AK146" s="1" t="e">
        <f ca="1"/>
        <v>#NAME?</v>
      </c>
      <c r="AL146" s="1" t="e">
        <f t="shared" ca="1" si="46"/>
        <v>#NAME?</v>
      </c>
      <c r="AN146" s="1">
        <f t="shared" si="36"/>
        <v>3.4364381112199602</v>
      </c>
      <c r="AO146" s="1" t="e">
        <f ca="1"/>
        <v>#NAME?</v>
      </c>
      <c r="AP146" s="1" t="e">
        <f t="shared" ca="1" si="37"/>
        <v>#NAME?</v>
      </c>
    </row>
    <row r="147" spans="1:42" x14ac:dyDescent="0.25">
      <c r="A147" s="1" t="s">
        <v>162</v>
      </c>
      <c r="B147" s="1">
        <v>146</v>
      </c>
      <c r="C147" s="1">
        <v>11005.217000000001</v>
      </c>
      <c r="D147" s="1">
        <f t="shared" si="47"/>
        <v>4.0415986103581032</v>
      </c>
      <c r="E147" s="1">
        <v>7147.4409999999998</v>
      </c>
      <c r="F147" s="1">
        <f t="shared" si="48"/>
        <v>3.8541505790730222</v>
      </c>
      <c r="G147" s="1">
        <v>1642.8820000000001</v>
      </c>
      <c r="H147" s="1">
        <f t="shared" si="49"/>
        <v>3.2156063713539789</v>
      </c>
      <c r="I147" s="1">
        <v>2436.1979999999999</v>
      </c>
      <c r="J147" s="1">
        <f t="shared" si="50"/>
        <v>0.22136755685962392</v>
      </c>
      <c r="K147" s="1">
        <f t="shared" si="51"/>
        <v>3.3867125823241078</v>
      </c>
      <c r="L147" s="1">
        <v>1041.134</v>
      </c>
      <c r="M147" s="1">
        <f t="shared" si="52"/>
        <v>3.0175066293331754</v>
      </c>
      <c r="N147" s="1">
        <v>1197.0920000000001</v>
      </c>
      <c r="O147" s="1">
        <f t="shared" si="53"/>
        <v>3.0781275284824035</v>
      </c>
      <c r="P147" s="1">
        <v>-155.958</v>
      </c>
      <c r="Q147" s="1" t="e">
        <f ca="1"/>
        <v>#NAME?</v>
      </c>
      <c r="R147" s="1" t="e">
        <f t="shared" ca="1" si="38"/>
        <v>#NAME?</v>
      </c>
      <c r="S147" s="4">
        <v>2080619000000</v>
      </c>
      <c r="T147" s="1">
        <v>119471.66666666701</v>
      </c>
      <c r="U147" s="1" t="e">
        <f ca="1"/>
        <v>#NAME?</v>
      </c>
      <c r="V147" s="1" t="e">
        <f t="shared" ca="1" si="39"/>
        <v>#NAME?</v>
      </c>
      <c r="W147" s="1" t="e">
        <f ca="1"/>
        <v>#NAME?</v>
      </c>
      <c r="X147" s="1" t="e">
        <f t="shared" ca="1" si="40"/>
        <v>#NAME?</v>
      </c>
      <c r="Y147" s="1" t="e">
        <f ca="1"/>
        <v>#NAME?</v>
      </c>
      <c r="Z147" s="1" t="e">
        <f t="shared" ca="1" si="41"/>
        <v>#NAME?</v>
      </c>
      <c r="AA147" s="1" t="e">
        <f ca="1"/>
        <v>#NAME?</v>
      </c>
      <c r="AB147" s="1" t="e">
        <f t="shared" ca="1" si="42"/>
        <v>#NAME?</v>
      </c>
      <c r="AC147" s="1" t="e">
        <f ca="1"/>
        <v>#NAME?</v>
      </c>
      <c r="AD147" s="1" t="e">
        <f t="shared" ca="1" si="43"/>
        <v>#NAME?</v>
      </c>
      <c r="AE147" s="1" t="e">
        <f ca="1"/>
        <v>#NAME?</v>
      </c>
      <c r="AF147" s="1" t="e">
        <f t="shared" ca="1" si="44"/>
        <v>#NAME?</v>
      </c>
      <c r="AG147" s="1" t="e">
        <f ca="1"/>
        <v>#NAME?</v>
      </c>
      <c r="AH147" s="1" t="e">
        <f t="shared" ca="1" si="45"/>
        <v>#NAME?</v>
      </c>
      <c r="AI147" s="1" t="e">
        <f ca="1"/>
        <v>#NAME?</v>
      </c>
      <c r="AJ147" s="1" t="e">
        <f t="shared" ca="1" si="54"/>
        <v>#NAME?</v>
      </c>
      <c r="AK147" s="1" t="e">
        <f ca="1"/>
        <v>#NAME?</v>
      </c>
      <c r="AL147" s="1" t="e">
        <f t="shared" ca="1" si="46"/>
        <v>#NAME?</v>
      </c>
      <c r="AN147" s="1">
        <f t="shared" si="36"/>
        <v>3.4375997384635717</v>
      </c>
      <c r="AO147" s="1" t="e">
        <f ca="1"/>
        <v>#NAME?</v>
      </c>
      <c r="AP147" s="1" t="e">
        <f t="shared" ca="1" si="37"/>
        <v>#NAME?</v>
      </c>
    </row>
    <row r="148" spans="1:42" x14ac:dyDescent="0.25">
      <c r="A148" s="1" t="s">
        <v>163</v>
      </c>
      <c r="B148" s="1">
        <v>147</v>
      </c>
      <c r="C148" s="1">
        <v>11103.934999999999</v>
      </c>
      <c r="D148" s="1">
        <f t="shared" si="47"/>
        <v>4.04547691085358</v>
      </c>
      <c r="E148" s="1">
        <v>7190.7129999999997</v>
      </c>
      <c r="F148" s="1">
        <f t="shared" si="48"/>
        <v>3.8567719552804092</v>
      </c>
      <c r="G148" s="1">
        <v>1717.51</v>
      </c>
      <c r="H148" s="1">
        <f t="shared" si="49"/>
        <v>3.2348992743674985</v>
      </c>
      <c r="I148" s="1">
        <v>2436.1819999999998</v>
      </c>
      <c r="J148" s="1">
        <f t="shared" si="50"/>
        <v>0.219398078248837</v>
      </c>
      <c r="K148" s="1">
        <f t="shared" si="51"/>
        <v>3.3867097300376647</v>
      </c>
      <c r="L148" s="1">
        <v>1049.548</v>
      </c>
      <c r="M148" s="1">
        <f t="shared" si="52"/>
        <v>3.0210023053847705</v>
      </c>
      <c r="N148" s="1">
        <v>1235.904</v>
      </c>
      <c r="O148" s="1">
        <f t="shared" si="53"/>
        <v>3.0919847378325187</v>
      </c>
      <c r="P148" s="1">
        <v>-186.35599999999999</v>
      </c>
      <c r="Q148" s="1" t="e">
        <f ca="1"/>
        <v>#NAME?</v>
      </c>
      <c r="R148" s="1" t="e">
        <f t="shared" ca="1" si="38"/>
        <v>#NAME?</v>
      </c>
      <c r="S148" s="4">
        <v>2122155000000</v>
      </c>
      <c r="T148" s="1">
        <v>120206</v>
      </c>
      <c r="U148" s="1" t="e">
        <f ca="1"/>
        <v>#NAME?</v>
      </c>
      <c r="V148" s="1" t="e">
        <f t="shared" ca="1" si="39"/>
        <v>#NAME?</v>
      </c>
      <c r="W148" s="1" t="e">
        <f ca="1"/>
        <v>#NAME?</v>
      </c>
      <c r="X148" s="1" t="e">
        <f t="shared" ca="1" si="40"/>
        <v>#NAME?</v>
      </c>
      <c r="Y148" s="1" t="e">
        <f ca="1"/>
        <v>#NAME?</v>
      </c>
      <c r="Z148" s="1" t="e">
        <f t="shared" ca="1" si="41"/>
        <v>#NAME?</v>
      </c>
      <c r="AA148" s="1" t="e">
        <f ca="1"/>
        <v>#NAME?</v>
      </c>
      <c r="AB148" s="1" t="e">
        <f t="shared" ca="1" si="42"/>
        <v>#NAME?</v>
      </c>
      <c r="AC148" s="1" t="e">
        <f ca="1"/>
        <v>#NAME?</v>
      </c>
      <c r="AD148" s="1" t="e">
        <f t="shared" ca="1" si="43"/>
        <v>#NAME?</v>
      </c>
      <c r="AE148" s="1" t="e">
        <f ca="1"/>
        <v>#NAME?</v>
      </c>
      <c r="AF148" s="1" t="e">
        <f t="shared" ca="1" si="44"/>
        <v>#NAME?</v>
      </c>
      <c r="AG148" s="1" t="e">
        <f ca="1"/>
        <v>#NAME?</v>
      </c>
      <c r="AH148" s="1" t="e">
        <f t="shared" ca="1" si="45"/>
        <v>#NAME?</v>
      </c>
      <c r="AI148" s="1" t="e">
        <f ca="1"/>
        <v>#NAME?</v>
      </c>
      <c r="AJ148" s="1" t="e">
        <f t="shared" ca="1" si="54"/>
        <v>#NAME?</v>
      </c>
      <c r="AK148" s="1" t="e">
        <f ca="1"/>
        <v>#NAME?</v>
      </c>
      <c r="AL148" s="1" t="e">
        <f t="shared" ca="1" si="46"/>
        <v>#NAME?</v>
      </c>
      <c r="AN148" s="1">
        <f t="shared" si="36"/>
        <v>3.4366844211823393</v>
      </c>
      <c r="AO148" s="1" t="e">
        <f ca="1"/>
        <v>#NAME?</v>
      </c>
      <c r="AP148" s="1" t="e">
        <f t="shared" ca="1" si="37"/>
        <v>#NAME?</v>
      </c>
    </row>
    <row r="149" spans="1:42" x14ac:dyDescent="0.25">
      <c r="A149" s="1" t="s">
        <v>164</v>
      </c>
      <c r="B149" s="1">
        <v>148</v>
      </c>
      <c r="C149" s="1">
        <v>11219.237999999999</v>
      </c>
      <c r="D149" s="1">
        <f t="shared" si="47"/>
        <v>4.04996336105265</v>
      </c>
      <c r="E149" s="1">
        <v>7247.9870000000001</v>
      </c>
      <c r="F149" s="1">
        <f t="shared" si="48"/>
        <v>3.8602174057182421</v>
      </c>
      <c r="G149" s="1">
        <v>1715.2449999999999</v>
      </c>
      <c r="H149" s="1">
        <f t="shared" si="49"/>
        <v>3.2343261620164783</v>
      </c>
      <c r="I149" s="1">
        <v>2452.9940000000001</v>
      </c>
      <c r="J149" s="1">
        <f t="shared" si="50"/>
        <v>0.21864176515374753</v>
      </c>
      <c r="K149" s="1">
        <f t="shared" si="51"/>
        <v>3.3896964859275114</v>
      </c>
      <c r="L149" s="1">
        <v>1114.9749999999999</v>
      </c>
      <c r="M149" s="1">
        <f t="shared" si="52"/>
        <v>3.0472651297305751</v>
      </c>
      <c r="N149" s="1">
        <v>1260.278</v>
      </c>
      <c r="O149" s="1">
        <f t="shared" si="53"/>
        <v>3.1004663550769869</v>
      </c>
      <c r="P149" s="1">
        <v>-145.303</v>
      </c>
      <c r="Q149" s="1" t="e">
        <f ca="1"/>
        <v>#NAME?</v>
      </c>
      <c r="R149" s="1" t="e">
        <f t="shared" ca="1" si="38"/>
        <v>#NAME?</v>
      </c>
      <c r="S149" s="4">
        <v>2153073000000</v>
      </c>
      <c r="T149" s="1">
        <v>120919</v>
      </c>
      <c r="U149" s="1" t="e">
        <f ca="1"/>
        <v>#NAME?</v>
      </c>
      <c r="V149" s="1" t="e">
        <f t="shared" ca="1" si="39"/>
        <v>#NAME?</v>
      </c>
      <c r="W149" s="1" t="e">
        <f ca="1"/>
        <v>#NAME?</v>
      </c>
      <c r="X149" s="1" t="e">
        <f t="shared" ca="1" si="40"/>
        <v>#NAME?</v>
      </c>
      <c r="Y149" s="1" t="e">
        <f ca="1"/>
        <v>#NAME?</v>
      </c>
      <c r="Z149" s="1" t="e">
        <f t="shared" ca="1" si="41"/>
        <v>#NAME?</v>
      </c>
      <c r="AA149" s="1" t="e">
        <f ca="1"/>
        <v>#NAME?</v>
      </c>
      <c r="AB149" s="1" t="e">
        <f t="shared" ca="1" si="42"/>
        <v>#NAME?</v>
      </c>
      <c r="AC149" s="1" t="e">
        <f ca="1"/>
        <v>#NAME?</v>
      </c>
      <c r="AD149" s="1" t="e">
        <f t="shared" ca="1" si="43"/>
        <v>#NAME?</v>
      </c>
      <c r="AE149" s="1" t="e">
        <f ca="1"/>
        <v>#NAME?</v>
      </c>
      <c r="AF149" s="1" t="e">
        <f t="shared" ca="1" si="44"/>
        <v>#NAME?</v>
      </c>
      <c r="AG149" s="1" t="e">
        <f ca="1"/>
        <v>#NAME?</v>
      </c>
      <c r="AH149" s="1" t="e">
        <f t="shared" ca="1" si="45"/>
        <v>#NAME?</v>
      </c>
      <c r="AI149" s="1" t="e">
        <f ca="1"/>
        <v>#NAME?</v>
      </c>
      <c r="AJ149" s="1" t="e">
        <f t="shared" ca="1" si="54"/>
        <v>#NAME?</v>
      </c>
      <c r="AK149" s="1" t="e">
        <f ca="1"/>
        <v>#NAME?</v>
      </c>
      <c r="AL149" s="1" t="e">
        <f t="shared" ca="1" si="46"/>
        <v>#NAME?</v>
      </c>
      <c r="AN149" s="1">
        <f t="shared" si="36"/>
        <v>3.4372656992907222</v>
      </c>
      <c r="AO149" s="1" t="e">
        <f ca="1"/>
        <v>#NAME?</v>
      </c>
      <c r="AP149" s="1" t="e">
        <f t="shared" ca="1" si="37"/>
        <v>#NAME?</v>
      </c>
    </row>
    <row r="150" spans="1:42" x14ac:dyDescent="0.25">
      <c r="A150" s="1" t="s">
        <v>165</v>
      </c>
      <c r="B150" s="1">
        <v>149</v>
      </c>
      <c r="C150" s="1">
        <v>11291.665000000001</v>
      </c>
      <c r="D150" s="1">
        <f t="shared" si="47"/>
        <v>4.0527579850602882</v>
      </c>
      <c r="E150" s="1">
        <v>7324.3879999999999</v>
      </c>
      <c r="F150" s="1">
        <f t="shared" si="48"/>
        <v>3.8647713424286345</v>
      </c>
      <c r="G150" s="1">
        <v>1749.8789999999999</v>
      </c>
      <c r="H150" s="1">
        <f t="shared" si="49"/>
        <v>3.2430080192868029</v>
      </c>
      <c r="I150" s="1">
        <v>2440.2449999999999</v>
      </c>
      <c r="J150" s="1">
        <f t="shared" si="50"/>
        <v>0.21611029020078082</v>
      </c>
      <c r="K150" s="1">
        <f t="shared" si="51"/>
        <v>3.3874334315873003</v>
      </c>
      <c r="L150" s="1">
        <v>1136.155</v>
      </c>
      <c r="M150" s="1">
        <f t="shared" si="52"/>
        <v>3.0554375840622501</v>
      </c>
      <c r="N150" s="1">
        <v>1314.106</v>
      </c>
      <c r="O150" s="1">
        <f t="shared" si="53"/>
        <v>3.11863039822099</v>
      </c>
      <c r="P150" s="1">
        <v>-177.95099999999999</v>
      </c>
      <c r="Q150" s="1" t="e">
        <f ca="1"/>
        <v>#NAME?</v>
      </c>
      <c r="R150" s="1" t="e">
        <f t="shared" ca="1" si="38"/>
        <v>#NAME?</v>
      </c>
      <c r="S150" s="4">
        <v>2178106000000</v>
      </c>
      <c r="T150" s="1">
        <v>121675.66666666701</v>
      </c>
      <c r="U150" s="1" t="e">
        <f ca="1"/>
        <v>#NAME?</v>
      </c>
      <c r="V150" s="1" t="e">
        <f t="shared" ca="1" si="39"/>
        <v>#NAME?</v>
      </c>
      <c r="W150" s="1" t="e">
        <f ca="1"/>
        <v>#NAME?</v>
      </c>
      <c r="X150" s="1" t="e">
        <f t="shared" ca="1" si="40"/>
        <v>#NAME?</v>
      </c>
      <c r="Y150" s="1" t="e">
        <f ca="1"/>
        <v>#NAME?</v>
      </c>
      <c r="Z150" s="1" t="e">
        <f t="shared" ca="1" si="41"/>
        <v>#NAME?</v>
      </c>
      <c r="AA150" s="1" t="e">
        <f ca="1"/>
        <v>#NAME?</v>
      </c>
      <c r="AB150" s="1" t="e">
        <f t="shared" ca="1" si="42"/>
        <v>#NAME?</v>
      </c>
      <c r="AC150" s="1" t="e">
        <f ca="1"/>
        <v>#NAME?</v>
      </c>
      <c r="AD150" s="1" t="e">
        <f t="shared" ca="1" si="43"/>
        <v>#NAME?</v>
      </c>
      <c r="AE150" s="1" t="e">
        <f ca="1"/>
        <v>#NAME?</v>
      </c>
      <c r="AF150" s="1" t="e">
        <f t="shared" ca="1" si="44"/>
        <v>#NAME?</v>
      </c>
      <c r="AG150" s="1" t="e">
        <f ca="1"/>
        <v>#NAME?</v>
      </c>
      <c r="AH150" s="1" t="e">
        <f t="shared" ca="1" si="45"/>
        <v>#NAME?</v>
      </c>
      <c r="AI150" s="1" t="e">
        <f ca="1"/>
        <v>#NAME?</v>
      </c>
      <c r="AJ150" s="1" t="e">
        <f t="shared" ca="1" si="54"/>
        <v>#NAME?</v>
      </c>
      <c r="AK150" s="1" t="e">
        <f ca="1"/>
        <v>#NAME?</v>
      </c>
      <c r="AL150" s="1" t="e">
        <f t="shared" ca="1" si="46"/>
        <v>#NAME?</v>
      </c>
      <c r="AN150" s="1">
        <f t="shared" si="36"/>
        <v>3.4365191509250979</v>
      </c>
      <c r="AO150" s="1" t="e">
        <f ca="1"/>
        <v>#NAME?</v>
      </c>
      <c r="AP150" s="1" t="e">
        <f t="shared" ca="1" si="37"/>
        <v>#NAME?</v>
      </c>
    </row>
    <row r="151" spans="1:42" x14ac:dyDescent="0.25">
      <c r="A151" s="1" t="s">
        <v>166</v>
      </c>
      <c r="B151" s="1">
        <v>150</v>
      </c>
      <c r="C151" s="1">
        <v>11479.33</v>
      </c>
      <c r="D151" s="1">
        <f t="shared" si="47"/>
        <v>4.0599165408673317</v>
      </c>
      <c r="E151" s="1">
        <v>7357.3620000000001</v>
      </c>
      <c r="F151" s="1">
        <f t="shared" si="48"/>
        <v>3.8667221249068073</v>
      </c>
      <c r="G151" s="1">
        <v>1856.9559999999999</v>
      </c>
      <c r="H151" s="1">
        <f t="shared" si="49"/>
        <v>3.268801613387819</v>
      </c>
      <c r="I151" s="1">
        <v>2471.8670000000002</v>
      </c>
      <c r="J151" s="1">
        <f t="shared" si="50"/>
        <v>0.21533199237237716</v>
      </c>
      <c r="K151" s="1">
        <f t="shared" si="51"/>
        <v>3.3930250996206621</v>
      </c>
      <c r="L151" s="1">
        <v>1181.5740000000001</v>
      </c>
      <c r="M151" s="1">
        <f t="shared" si="52"/>
        <v>3.0724609259559221</v>
      </c>
      <c r="N151" s="1">
        <v>1358.212</v>
      </c>
      <c r="O151" s="1">
        <f t="shared" si="53"/>
        <v>3.1329675632024099</v>
      </c>
      <c r="P151" s="1">
        <v>-176.63800000000001</v>
      </c>
      <c r="Q151" s="1" t="e">
        <f ca="1"/>
        <v>#NAME?</v>
      </c>
      <c r="R151" s="1" t="e">
        <f t="shared" ca="1" si="38"/>
        <v>#NAME?</v>
      </c>
      <c r="S151" s="4">
        <v>2215554000000</v>
      </c>
      <c r="T151" s="1">
        <v>122550.33333333299</v>
      </c>
      <c r="U151" s="1" t="e">
        <f ca="1"/>
        <v>#NAME?</v>
      </c>
      <c r="V151" s="1" t="e">
        <f t="shared" ca="1" si="39"/>
        <v>#NAME?</v>
      </c>
      <c r="W151" s="1" t="e">
        <f ca="1"/>
        <v>#NAME?</v>
      </c>
      <c r="X151" s="1" t="e">
        <f t="shared" ca="1" si="40"/>
        <v>#NAME?</v>
      </c>
      <c r="Y151" s="1" t="e">
        <f ca="1"/>
        <v>#NAME?</v>
      </c>
      <c r="Z151" s="1" t="e">
        <f t="shared" ca="1" si="41"/>
        <v>#NAME?</v>
      </c>
      <c r="AA151" s="1" t="e">
        <f ca="1"/>
        <v>#NAME?</v>
      </c>
      <c r="AB151" s="1" t="e">
        <f t="shared" ca="1" si="42"/>
        <v>#NAME?</v>
      </c>
      <c r="AC151" s="1" t="e">
        <f ca="1"/>
        <v>#NAME?</v>
      </c>
      <c r="AD151" s="1" t="e">
        <f t="shared" ca="1" si="43"/>
        <v>#NAME?</v>
      </c>
      <c r="AE151" s="1" t="e">
        <f ca="1"/>
        <v>#NAME?</v>
      </c>
      <c r="AF151" s="1" t="e">
        <f t="shared" ca="1" si="44"/>
        <v>#NAME?</v>
      </c>
      <c r="AG151" s="1" t="e">
        <f ca="1"/>
        <v>#NAME?</v>
      </c>
      <c r="AH151" s="1" t="e">
        <f t="shared" ca="1" si="45"/>
        <v>#NAME?</v>
      </c>
      <c r="AI151" s="1" t="e">
        <f ca="1"/>
        <v>#NAME?</v>
      </c>
      <c r="AJ151" s="1" t="e">
        <f t="shared" ca="1" si="54"/>
        <v>#NAME?</v>
      </c>
      <c r="AK151" s="1" t="e">
        <f ca="1"/>
        <v>#NAME?</v>
      </c>
      <c r="AL151" s="1" t="e">
        <f t="shared" ca="1" si="46"/>
        <v>#NAME?</v>
      </c>
      <c r="AN151" s="1">
        <f t="shared" si="36"/>
        <v>3.4390216206166855</v>
      </c>
      <c r="AO151" s="1" t="e">
        <f ca="1"/>
        <v>#NAME?</v>
      </c>
      <c r="AP151" s="1" t="e">
        <f t="shared" ca="1" si="37"/>
        <v>#NAME?</v>
      </c>
    </row>
    <row r="152" spans="1:42" x14ac:dyDescent="0.25">
      <c r="A152" s="1" t="s">
        <v>167</v>
      </c>
      <c r="B152" s="1">
        <v>151</v>
      </c>
      <c r="C152" s="1">
        <v>11622.911</v>
      </c>
      <c r="D152" s="1">
        <f t="shared" si="47"/>
        <v>4.0653149122976826</v>
      </c>
      <c r="E152" s="1">
        <v>7482.7129999999997</v>
      </c>
      <c r="F152" s="1">
        <f t="shared" si="48"/>
        <v>3.8740590881461121</v>
      </c>
      <c r="G152" s="1">
        <v>1882.9549999999999</v>
      </c>
      <c r="H152" s="1">
        <f t="shared" si="49"/>
        <v>3.2748399411078957</v>
      </c>
      <c r="I152" s="1">
        <v>2483.31</v>
      </c>
      <c r="J152" s="1">
        <f t="shared" si="50"/>
        <v>0.21365645835195674</v>
      </c>
      <c r="K152" s="1">
        <f t="shared" si="51"/>
        <v>3.3950309373901666</v>
      </c>
      <c r="L152" s="1">
        <v>1208.942</v>
      </c>
      <c r="M152" s="1">
        <f t="shared" si="52"/>
        <v>3.0824054657208428</v>
      </c>
      <c r="N152" s="1">
        <v>1408.2639999999999</v>
      </c>
      <c r="O152" s="1">
        <f t="shared" si="53"/>
        <v>3.1486840773883218</v>
      </c>
      <c r="P152" s="1">
        <v>-199.322</v>
      </c>
      <c r="Q152" s="1" t="e">
        <f ca="1"/>
        <v>#NAME?</v>
      </c>
      <c r="R152" s="1" t="e">
        <f t="shared" ca="1" si="38"/>
        <v>#NAME?</v>
      </c>
      <c r="S152" s="4">
        <v>2288454000000</v>
      </c>
      <c r="T152" s="1">
        <v>123260.33333333299</v>
      </c>
      <c r="U152" s="1" t="e">
        <f ca="1"/>
        <v>#NAME?</v>
      </c>
      <c r="V152" s="1" t="e">
        <f t="shared" ca="1" si="39"/>
        <v>#NAME?</v>
      </c>
      <c r="W152" s="1" t="e">
        <f ca="1"/>
        <v>#NAME?</v>
      </c>
      <c r="X152" s="1" t="e">
        <f t="shared" ca="1" si="40"/>
        <v>#NAME?</v>
      </c>
      <c r="Y152" s="1" t="e">
        <f ca="1"/>
        <v>#NAME?</v>
      </c>
      <c r="Z152" s="1" t="e">
        <f t="shared" ca="1" si="41"/>
        <v>#NAME?</v>
      </c>
      <c r="AA152" s="1" t="e">
        <f ca="1"/>
        <v>#NAME?</v>
      </c>
      <c r="AB152" s="1" t="e">
        <f t="shared" ca="1" si="42"/>
        <v>#NAME?</v>
      </c>
      <c r="AC152" s="1" t="e">
        <f ca="1"/>
        <v>#NAME?</v>
      </c>
      <c r="AD152" s="1" t="e">
        <f t="shared" ca="1" si="43"/>
        <v>#NAME?</v>
      </c>
      <c r="AE152" s="1" t="e">
        <f ca="1"/>
        <v>#NAME?</v>
      </c>
      <c r="AF152" s="1" t="e">
        <f t="shared" ca="1" si="44"/>
        <v>#NAME?</v>
      </c>
      <c r="AG152" s="1" t="e">
        <f ca="1"/>
        <v>#NAME?</v>
      </c>
      <c r="AH152" s="1" t="e">
        <f t="shared" ca="1" si="45"/>
        <v>#NAME?</v>
      </c>
      <c r="AI152" s="1" t="e">
        <f ca="1"/>
        <v>#NAME?</v>
      </c>
      <c r="AJ152" s="1" t="e">
        <f t="shared" ca="1" si="54"/>
        <v>#NAME?</v>
      </c>
      <c r="AK152" s="1" t="e">
        <f ca="1"/>
        <v>#NAME?</v>
      </c>
      <c r="AL152" s="1" t="e">
        <f t="shared" ca="1" si="46"/>
        <v>#NAME?</v>
      </c>
      <c r="AN152" s="1">
        <f t="shared" si="36"/>
        <v>3.4377527886973365</v>
      </c>
      <c r="AO152" s="1" t="e">
        <f ca="1"/>
        <v>#NAME?</v>
      </c>
      <c r="AP152" s="1" t="e">
        <f t="shared" ca="1" si="37"/>
        <v>#NAME?</v>
      </c>
    </row>
    <row r="153" spans="1:42" x14ac:dyDescent="0.25">
      <c r="A153" s="1" t="s">
        <v>168</v>
      </c>
      <c r="B153" s="1">
        <v>152</v>
      </c>
      <c r="C153" s="1">
        <v>11722.722</v>
      </c>
      <c r="D153" s="1">
        <f t="shared" si="47"/>
        <v>4.0690284659757889</v>
      </c>
      <c r="E153" s="1">
        <v>7572.1469999999999</v>
      </c>
      <c r="F153" s="1">
        <f t="shared" si="48"/>
        <v>3.8792190364419379</v>
      </c>
      <c r="G153" s="1">
        <v>1911.048</v>
      </c>
      <c r="H153" s="1">
        <f t="shared" si="49"/>
        <v>3.2812715954136378</v>
      </c>
      <c r="I153" s="1">
        <v>2495.7719999999999</v>
      </c>
      <c r="J153" s="1">
        <f t="shared" si="50"/>
        <v>0.2129003826926886</v>
      </c>
      <c r="K153" s="1">
        <f t="shared" si="51"/>
        <v>3.3972049080678151</v>
      </c>
      <c r="L153" s="1">
        <v>1207.259</v>
      </c>
      <c r="M153" s="1">
        <f t="shared" si="52"/>
        <v>3.081800451708141</v>
      </c>
      <c r="N153" s="1">
        <v>1438.655</v>
      </c>
      <c r="O153" s="1">
        <f t="shared" si="53"/>
        <v>3.1579566594264055</v>
      </c>
      <c r="P153" s="1">
        <v>-231.39599999999999</v>
      </c>
      <c r="Q153" s="1" t="e">
        <f ca="1"/>
        <v>#NAME?</v>
      </c>
      <c r="R153" s="1" t="e">
        <f t="shared" ca="1" si="38"/>
        <v>#NAME?</v>
      </c>
      <c r="S153" s="4">
        <v>2301413000000</v>
      </c>
      <c r="T153" s="1">
        <v>124234.66666666701</v>
      </c>
      <c r="U153" s="1" t="e">
        <f ca="1"/>
        <v>#NAME?</v>
      </c>
      <c r="V153" s="1" t="e">
        <f t="shared" ca="1" si="39"/>
        <v>#NAME?</v>
      </c>
      <c r="W153" s="1" t="e">
        <f ca="1"/>
        <v>#NAME?</v>
      </c>
      <c r="X153" s="1" t="e">
        <f t="shared" ca="1" si="40"/>
        <v>#NAME?</v>
      </c>
      <c r="Y153" s="1" t="e">
        <f ca="1"/>
        <v>#NAME?</v>
      </c>
      <c r="Z153" s="1" t="e">
        <f t="shared" ca="1" si="41"/>
        <v>#NAME?</v>
      </c>
      <c r="AA153" s="1" t="e">
        <f ca="1"/>
        <v>#NAME?</v>
      </c>
      <c r="AB153" s="1" t="e">
        <f t="shared" ca="1" si="42"/>
        <v>#NAME?</v>
      </c>
      <c r="AC153" s="1" t="e">
        <f ca="1"/>
        <v>#NAME?</v>
      </c>
      <c r="AD153" s="1" t="e">
        <f t="shared" ca="1" si="43"/>
        <v>#NAME?</v>
      </c>
      <c r="AE153" s="1" t="e">
        <f ca="1"/>
        <v>#NAME?</v>
      </c>
      <c r="AF153" s="1" t="e">
        <f t="shared" ca="1" si="44"/>
        <v>#NAME?</v>
      </c>
      <c r="AG153" s="1" t="e">
        <f ca="1"/>
        <v>#NAME?</v>
      </c>
      <c r="AH153" s="1" t="e">
        <f t="shared" ca="1" si="45"/>
        <v>#NAME?</v>
      </c>
      <c r="AI153" s="1" t="e">
        <f ca="1"/>
        <v>#NAME?</v>
      </c>
      <c r="AJ153" s="1" t="e">
        <f t="shared" ca="1" si="54"/>
        <v>#NAME?</v>
      </c>
      <c r="AK153" s="1" t="e">
        <f ca="1"/>
        <v>#NAME?</v>
      </c>
      <c r="AL153" s="1" t="e">
        <f t="shared" ca="1" si="46"/>
        <v>#NAME?</v>
      </c>
      <c r="AN153" s="1">
        <f t="shared" si="36"/>
        <v>3.4383950322624335</v>
      </c>
      <c r="AO153" s="1" t="e">
        <f ca="1"/>
        <v>#NAME?</v>
      </c>
      <c r="AP153" s="1" t="e">
        <f t="shared" ca="1" si="37"/>
        <v>#NAME?</v>
      </c>
    </row>
    <row r="154" spans="1:42" x14ac:dyDescent="0.25">
      <c r="A154" s="1" t="s">
        <v>169</v>
      </c>
      <c r="B154" s="1">
        <v>153</v>
      </c>
      <c r="C154" s="1">
        <v>11839.876</v>
      </c>
      <c r="D154" s="1">
        <f t="shared" si="47"/>
        <v>4.0733471540087125</v>
      </c>
      <c r="E154" s="1">
        <v>7648.741</v>
      </c>
      <c r="F154" s="1">
        <f t="shared" si="48"/>
        <v>3.8835899551862201</v>
      </c>
      <c r="G154" s="1">
        <v>1994.375</v>
      </c>
      <c r="H154" s="1">
        <f t="shared" si="49"/>
        <v>3.2998068215375858</v>
      </c>
      <c r="I154" s="1">
        <v>2486.8409999999999</v>
      </c>
      <c r="J154" s="1">
        <f t="shared" si="50"/>
        <v>0.21003944635906657</v>
      </c>
      <c r="K154" s="1">
        <f t="shared" si="51"/>
        <v>3.3956480188726403</v>
      </c>
      <c r="L154" s="1">
        <v>1212.914</v>
      </c>
      <c r="M154" s="1">
        <f t="shared" si="52"/>
        <v>3.0838300089048962</v>
      </c>
      <c r="N154" s="1">
        <v>1492.6130000000001</v>
      </c>
      <c r="O154" s="1">
        <f t="shared" si="53"/>
        <v>3.1739472198139747</v>
      </c>
      <c r="P154" s="1">
        <v>-279.69900000000001</v>
      </c>
      <c r="Q154" s="1" t="e">
        <f ca="1"/>
        <v>#NAME?</v>
      </c>
      <c r="R154" s="1" t="e">
        <f t="shared" ca="1" si="38"/>
        <v>#NAME?</v>
      </c>
      <c r="S154" s="4">
        <v>2357550000000</v>
      </c>
      <c r="T154" s="1">
        <v>124998.66666666701</v>
      </c>
      <c r="U154" s="1" t="e">
        <f ca="1"/>
        <v>#NAME?</v>
      </c>
      <c r="V154" s="1" t="e">
        <f t="shared" ca="1" si="39"/>
        <v>#NAME?</v>
      </c>
      <c r="W154" s="1" t="e">
        <f ca="1"/>
        <v>#NAME?</v>
      </c>
      <c r="X154" s="1" t="e">
        <f t="shared" ca="1" si="40"/>
        <v>#NAME?</v>
      </c>
      <c r="Y154" s="1" t="e">
        <f ca="1"/>
        <v>#NAME?</v>
      </c>
      <c r="Z154" s="1" t="e">
        <f t="shared" ca="1" si="41"/>
        <v>#NAME?</v>
      </c>
      <c r="AA154" s="1" t="e">
        <f ca="1"/>
        <v>#NAME?</v>
      </c>
      <c r="AB154" s="1" t="e">
        <f t="shared" ca="1" si="42"/>
        <v>#NAME?</v>
      </c>
      <c r="AC154" s="1" t="e">
        <f ca="1"/>
        <v>#NAME?</v>
      </c>
      <c r="AD154" s="1" t="e">
        <f t="shared" ca="1" si="43"/>
        <v>#NAME?</v>
      </c>
      <c r="AE154" s="1" t="e">
        <f ca="1"/>
        <v>#NAME?</v>
      </c>
      <c r="AF154" s="1" t="e">
        <f t="shared" ca="1" si="44"/>
        <v>#NAME?</v>
      </c>
      <c r="AG154" s="1" t="e">
        <f ca="1"/>
        <v>#NAME?</v>
      </c>
      <c r="AH154" s="1" t="e">
        <f t="shared" ca="1" si="45"/>
        <v>#NAME?</v>
      </c>
      <c r="AI154" s="1" t="e">
        <f ca="1"/>
        <v>#NAME?</v>
      </c>
      <c r="AJ154" s="1" t="e">
        <f t="shared" ca="1" si="54"/>
        <v>#NAME?</v>
      </c>
      <c r="AK154" s="1" t="e">
        <f ca="1"/>
        <v>#NAME?</v>
      </c>
      <c r="AL154" s="1" t="e">
        <f t="shared" ca="1" si="46"/>
        <v>#NAME?</v>
      </c>
      <c r="AN154" s="1">
        <f t="shared" si="36"/>
        <v>3.4372417820826451</v>
      </c>
      <c r="AO154" s="1" t="e">
        <f ca="1"/>
        <v>#NAME?</v>
      </c>
      <c r="AP154" s="1" t="e">
        <f t="shared" ca="1" si="37"/>
        <v>#NAME?</v>
      </c>
    </row>
    <row r="155" spans="1:42" x14ac:dyDescent="0.25">
      <c r="A155" s="1" t="s">
        <v>170</v>
      </c>
      <c r="B155" s="1">
        <v>154</v>
      </c>
      <c r="C155" s="1">
        <v>11949.492</v>
      </c>
      <c r="D155" s="1">
        <f t="shared" si="47"/>
        <v>4.0773494428334196</v>
      </c>
      <c r="E155" s="1">
        <v>7783.43</v>
      </c>
      <c r="F155" s="1">
        <f t="shared" si="48"/>
        <v>3.891171023956244</v>
      </c>
      <c r="G155" s="1">
        <v>1982.058</v>
      </c>
      <c r="H155" s="1">
        <f t="shared" si="49"/>
        <v>3.2971163588835646</v>
      </c>
      <c r="I155" s="1">
        <v>2530.3649999999998</v>
      </c>
      <c r="J155" s="1">
        <f t="shared" si="50"/>
        <v>0.21175502690825684</v>
      </c>
      <c r="K155" s="1">
        <f t="shared" si="51"/>
        <v>3.4031831717894274</v>
      </c>
      <c r="L155" s="1">
        <v>1199.5250000000001</v>
      </c>
      <c r="M155" s="1">
        <f t="shared" si="52"/>
        <v>3.0790093037827195</v>
      </c>
      <c r="N155" s="1">
        <v>1526.8219999999999</v>
      </c>
      <c r="O155" s="1">
        <f t="shared" si="53"/>
        <v>3.1837884090775366</v>
      </c>
      <c r="P155" s="1">
        <v>-327.29700000000003</v>
      </c>
      <c r="Q155" s="1" t="e">
        <f ca="1"/>
        <v>#NAME?</v>
      </c>
      <c r="R155" s="1" t="e">
        <f t="shared" ca="1" si="38"/>
        <v>#NAME?</v>
      </c>
      <c r="S155" s="4">
        <v>2435276000000</v>
      </c>
      <c r="T155" s="1">
        <v>125790.66666666701</v>
      </c>
      <c r="U155" s="1" t="e">
        <f ca="1"/>
        <v>#NAME?</v>
      </c>
      <c r="V155" s="1" t="e">
        <f t="shared" ca="1" si="39"/>
        <v>#NAME?</v>
      </c>
      <c r="W155" s="1" t="e">
        <f ca="1"/>
        <v>#NAME?</v>
      </c>
      <c r="X155" s="1" t="e">
        <f t="shared" ca="1" si="40"/>
        <v>#NAME?</v>
      </c>
      <c r="Y155" s="1" t="e">
        <f ca="1"/>
        <v>#NAME?</v>
      </c>
      <c r="Z155" s="1" t="e">
        <f t="shared" ca="1" si="41"/>
        <v>#NAME?</v>
      </c>
      <c r="AA155" s="1" t="e">
        <f ca="1"/>
        <v>#NAME?</v>
      </c>
      <c r="AB155" s="1" t="e">
        <f t="shared" ca="1" si="42"/>
        <v>#NAME?</v>
      </c>
      <c r="AC155" s="1" t="e">
        <f ca="1"/>
        <v>#NAME?</v>
      </c>
      <c r="AD155" s="1" t="e">
        <f t="shared" ca="1" si="43"/>
        <v>#NAME?</v>
      </c>
      <c r="AE155" s="1" t="e">
        <f ca="1"/>
        <v>#NAME?</v>
      </c>
      <c r="AF155" s="1" t="e">
        <f t="shared" ca="1" si="44"/>
        <v>#NAME?</v>
      </c>
      <c r="AG155" s="1" t="e">
        <f ca="1"/>
        <v>#NAME?</v>
      </c>
      <c r="AH155" s="1" t="e">
        <f t="shared" ca="1" si="45"/>
        <v>#NAME?</v>
      </c>
      <c r="AI155" s="1" t="e">
        <f ca="1"/>
        <v>#NAME?</v>
      </c>
      <c r="AJ155" s="1" t="e">
        <f t="shared" ca="1" si="54"/>
        <v>#NAME?</v>
      </c>
      <c r="AK155" s="1" t="e">
        <f ca="1"/>
        <v>#NAME?</v>
      </c>
      <c r="AL155" s="1" t="e">
        <f t="shared" ca="1" si="46"/>
        <v>#NAME?</v>
      </c>
      <c r="AN155" s="1">
        <f t="shared" si="36"/>
        <v>3.4344171068473992</v>
      </c>
      <c r="AO155" s="1" t="e">
        <f ca="1"/>
        <v>#NAME?</v>
      </c>
      <c r="AP155" s="1" t="e">
        <f t="shared" ca="1" si="37"/>
        <v>#NAME?</v>
      </c>
    </row>
    <row r="156" spans="1:42" x14ac:dyDescent="0.25">
      <c r="A156" s="1" t="s">
        <v>171</v>
      </c>
      <c r="B156" s="1">
        <v>155</v>
      </c>
      <c r="C156" s="1">
        <v>12099.191000000001</v>
      </c>
      <c r="D156" s="1">
        <f t="shared" si="47"/>
        <v>4.0827563326320089</v>
      </c>
      <c r="E156" s="1">
        <v>7884.9290000000001</v>
      </c>
      <c r="F156" s="1">
        <f t="shared" si="48"/>
        <v>3.8967977870692283</v>
      </c>
      <c r="G156" s="1">
        <v>2033.0150000000001</v>
      </c>
      <c r="H156" s="1">
        <f t="shared" si="49"/>
        <v>3.3081405829632704</v>
      </c>
      <c r="I156" s="1">
        <v>2549.4259999999999</v>
      </c>
      <c r="J156" s="1">
        <f t="shared" si="50"/>
        <v>0.21071045163267527</v>
      </c>
      <c r="K156" s="1">
        <f t="shared" si="51"/>
        <v>3.406442410593324</v>
      </c>
      <c r="L156" s="1">
        <v>1193.9449999999999</v>
      </c>
      <c r="M156" s="1">
        <f t="shared" si="52"/>
        <v>3.0769843211428776</v>
      </c>
      <c r="N156" s="1">
        <v>1547.423</v>
      </c>
      <c r="O156" s="1">
        <f t="shared" si="53"/>
        <v>3.189609047671413</v>
      </c>
      <c r="P156" s="1">
        <v>-353.47800000000001</v>
      </c>
      <c r="Q156" s="1" t="e">
        <f ca="1"/>
        <v>#NAME?</v>
      </c>
      <c r="R156" s="1" t="e">
        <f t="shared" ca="1" si="38"/>
        <v>#NAME?</v>
      </c>
      <c r="S156" s="4">
        <v>2488294000000</v>
      </c>
      <c r="T156" s="1">
        <v>126500</v>
      </c>
      <c r="U156" s="1" t="e">
        <f ca="1"/>
        <v>#NAME?</v>
      </c>
      <c r="V156" s="1" t="e">
        <f t="shared" ca="1" si="39"/>
        <v>#NAME?</v>
      </c>
      <c r="W156" s="1" t="e">
        <f ca="1"/>
        <v>#NAME?</v>
      </c>
      <c r="X156" s="1" t="e">
        <f t="shared" ca="1" si="40"/>
        <v>#NAME?</v>
      </c>
      <c r="Y156" s="1" t="e">
        <f ca="1"/>
        <v>#NAME?</v>
      </c>
      <c r="Z156" s="1" t="e">
        <f t="shared" ca="1" si="41"/>
        <v>#NAME?</v>
      </c>
      <c r="AA156" s="1" t="e">
        <f ca="1"/>
        <v>#NAME?</v>
      </c>
      <c r="AB156" s="1" t="e">
        <f t="shared" ca="1" si="42"/>
        <v>#NAME?</v>
      </c>
      <c r="AC156" s="1" t="e">
        <f ca="1"/>
        <v>#NAME?</v>
      </c>
      <c r="AD156" s="1" t="e">
        <f t="shared" ca="1" si="43"/>
        <v>#NAME?</v>
      </c>
      <c r="AE156" s="1" t="e">
        <f ca="1"/>
        <v>#NAME?</v>
      </c>
      <c r="AF156" s="1" t="e">
        <f t="shared" ca="1" si="44"/>
        <v>#NAME?</v>
      </c>
      <c r="AG156" s="1" t="e">
        <f ca="1"/>
        <v>#NAME?</v>
      </c>
      <c r="AH156" s="1" t="e">
        <f t="shared" ca="1" si="45"/>
        <v>#NAME?</v>
      </c>
      <c r="AI156" s="1" t="e">
        <f ca="1"/>
        <v>#NAME?</v>
      </c>
      <c r="AJ156" s="1" t="e">
        <f t="shared" ca="1" si="54"/>
        <v>#NAME?</v>
      </c>
      <c r="AK156" s="1" t="e">
        <f ca="1"/>
        <v>#NAME?</v>
      </c>
      <c r="AL156" s="1" t="e">
        <f t="shared" ca="1" si="46"/>
        <v>#NAME?</v>
      </c>
      <c r="AN156" s="1">
        <f t="shared" si="36"/>
        <v>3.4348937870581064</v>
      </c>
      <c r="AO156" s="1" t="e">
        <f ca="1"/>
        <v>#NAME?</v>
      </c>
      <c r="AP156" s="1" t="e">
        <f t="shared" ca="1" si="37"/>
        <v>#NAME?</v>
      </c>
    </row>
    <row r="157" spans="1:42" x14ac:dyDescent="0.25">
      <c r="A157" s="1" t="s">
        <v>172</v>
      </c>
      <c r="B157" s="1">
        <v>156</v>
      </c>
      <c r="C157" s="1">
        <v>12294.736999999999</v>
      </c>
      <c r="D157" s="1">
        <f t="shared" si="47"/>
        <v>4.0897192430649447</v>
      </c>
      <c r="E157" s="1">
        <v>7998.8419999999996</v>
      </c>
      <c r="F157" s="1">
        <f t="shared" si="48"/>
        <v>3.9030271183154577</v>
      </c>
      <c r="G157" s="1">
        <v>2095.7600000000002</v>
      </c>
      <c r="H157" s="1">
        <f t="shared" si="49"/>
        <v>3.3213415470886369</v>
      </c>
      <c r="I157" s="1">
        <v>2564.473</v>
      </c>
      <c r="J157" s="1">
        <f t="shared" si="50"/>
        <v>0.20858298961580066</v>
      </c>
      <c r="K157" s="1">
        <f t="shared" si="51"/>
        <v>3.4089981309655317</v>
      </c>
      <c r="L157" s="1">
        <v>1238.1189999999999</v>
      </c>
      <c r="M157" s="1">
        <f t="shared" si="52"/>
        <v>3.0927623882702404</v>
      </c>
      <c r="N157" s="1">
        <v>1597.5070000000001</v>
      </c>
      <c r="O157" s="1">
        <f t="shared" si="53"/>
        <v>3.2034427698380825</v>
      </c>
      <c r="P157" s="1">
        <v>-359.38799999999998</v>
      </c>
      <c r="Q157" s="1" t="e">
        <f ca="1"/>
        <v>#NAME?</v>
      </c>
      <c r="R157" s="1" t="e">
        <f t="shared" ca="1" si="38"/>
        <v>#NAME?</v>
      </c>
      <c r="S157" s="4">
        <v>2537311000000</v>
      </c>
      <c r="T157" s="1">
        <v>127257.66666666701</v>
      </c>
      <c r="U157" s="1" t="e">
        <f ca="1"/>
        <v>#NAME?</v>
      </c>
      <c r="V157" s="1" t="e">
        <f t="shared" ca="1" si="39"/>
        <v>#NAME?</v>
      </c>
      <c r="W157" s="1" t="e">
        <f ca="1"/>
        <v>#NAME?</v>
      </c>
      <c r="X157" s="1" t="e">
        <f t="shared" ca="1" si="40"/>
        <v>#NAME?</v>
      </c>
      <c r="Y157" s="1" t="e">
        <f ca="1"/>
        <v>#NAME?</v>
      </c>
      <c r="Z157" s="1" t="e">
        <f t="shared" ca="1" si="41"/>
        <v>#NAME?</v>
      </c>
      <c r="AA157" s="1" t="e">
        <f ca="1"/>
        <v>#NAME?</v>
      </c>
      <c r="AB157" s="1" t="e">
        <f t="shared" ca="1" si="42"/>
        <v>#NAME?</v>
      </c>
      <c r="AC157" s="1" t="e">
        <f ca="1"/>
        <v>#NAME?</v>
      </c>
      <c r="AD157" s="1" t="e">
        <f t="shared" ca="1" si="43"/>
        <v>#NAME?</v>
      </c>
      <c r="AE157" s="1" t="e">
        <f ca="1"/>
        <v>#NAME?</v>
      </c>
      <c r="AF157" s="1" t="e">
        <f t="shared" ca="1" si="44"/>
        <v>#NAME?</v>
      </c>
      <c r="AG157" s="1" t="e">
        <f ca="1"/>
        <v>#NAME?</v>
      </c>
      <c r="AH157" s="1" t="e">
        <f t="shared" ca="1" si="45"/>
        <v>#NAME?</v>
      </c>
      <c r="AI157" s="1" t="e">
        <f ca="1"/>
        <v>#NAME?</v>
      </c>
      <c r="AJ157" s="1" t="e">
        <f t="shared" ca="1" si="54"/>
        <v>#NAME?</v>
      </c>
      <c r="AK157" s="1" t="e">
        <f ca="1"/>
        <v>#NAME?</v>
      </c>
      <c r="AL157" s="1" t="e">
        <f t="shared" ca="1" si="46"/>
        <v>#NAME?</v>
      </c>
      <c r="AN157" s="1">
        <f t="shared" si="36"/>
        <v>3.4371469784315041</v>
      </c>
      <c r="AO157" s="1" t="e">
        <f ca="1"/>
        <v>#NAME?</v>
      </c>
      <c r="AP157" s="1" t="e">
        <f t="shared" ca="1" si="37"/>
        <v>#NAME?</v>
      </c>
    </row>
    <row r="158" spans="1:42" x14ac:dyDescent="0.25">
      <c r="A158" s="1" t="s">
        <v>173</v>
      </c>
      <c r="B158" s="1">
        <v>157</v>
      </c>
      <c r="C158" s="1">
        <v>12410.778</v>
      </c>
      <c r="D158" s="1">
        <f t="shared" si="47"/>
        <v>4.0937990071648258</v>
      </c>
      <c r="E158" s="1">
        <v>8080.9960000000001</v>
      </c>
      <c r="F158" s="1">
        <f t="shared" si="48"/>
        <v>3.90746489179514</v>
      </c>
      <c r="G158" s="1">
        <v>2153.308</v>
      </c>
      <c r="H158" s="1">
        <f t="shared" si="49"/>
        <v>3.3331061538985205</v>
      </c>
      <c r="I158" s="1">
        <v>2582.8870000000002</v>
      </c>
      <c r="J158" s="1">
        <f t="shared" si="50"/>
        <v>0.20811644523816317</v>
      </c>
      <c r="K158" s="1">
        <f t="shared" si="51"/>
        <v>3.4121054064249825</v>
      </c>
      <c r="L158" s="1">
        <v>1234.528</v>
      </c>
      <c r="M158" s="1">
        <f t="shared" si="52"/>
        <v>3.091500944496862</v>
      </c>
      <c r="N158" s="1">
        <v>1642.6469999999999</v>
      </c>
      <c r="O158" s="1">
        <f t="shared" si="53"/>
        <v>3.2155442448571976</v>
      </c>
      <c r="P158" s="1">
        <v>-408.11900000000003</v>
      </c>
      <c r="Q158" s="1" t="e">
        <f ca="1"/>
        <v>#NAME?</v>
      </c>
      <c r="R158" s="1" t="e">
        <f t="shared" ca="1" si="38"/>
        <v>#NAME?</v>
      </c>
      <c r="S158" s="4">
        <v>2581660000000</v>
      </c>
      <c r="T158" s="1">
        <v>128018.66666666701</v>
      </c>
      <c r="U158" s="1" t="e">
        <f ca="1"/>
        <v>#NAME?</v>
      </c>
      <c r="V158" s="1" t="e">
        <f t="shared" ca="1" si="39"/>
        <v>#NAME?</v>
      </c>
      <c r="W158" s="1" t="e">
        <f ca="1"/>
        <v>#NAME?</v>
      </c>
      <c r="X158" s="1" t="e">
        <f t="shared" ca="1" si="40"/>
        <v>#NAME?</v>
      </c>
      <c r="Y158" s="1" t="e">
        <f ca="1"/>
        <v>#NAME?</v>
      </c>
      <c r="Z158" s="1" t="e">
        <f t="shared" ca="1" si="41"/>
        <v>#NAME?</v>
      </c>
      <c r="AA158" s="1" t="e">
        <f ca="1"/>
        <v>#NAME?</v>
      </c>
      <c r="AB158" s="1" t="e">
        <f t="shared" ca="1" si="42"/>
        <v>#NAME?</v>
      </c>
      <c r="AC158" s="1" t="e">
        <f ca="1"/>
        <v>#NAME?</v>
      </c>
      <c r="AD158" s="1" t="e">
        <f t="shared" ca="1" si="43"/>
        <v>#NAME?</v>
      </c>
      <c r="AE158" s="1" t="e">
        <f ca="1"/>
        <v>#NAME?</v>
      </c>
      <c r="AF158" s="1" t="e">
        <f t="shared" ca="1" si="44"/>
        <v>#NAME?</v>
      </c>
      <c r="AG158" s="1" t="e">
        <f ca="1"/>
        <v>#NAME?</v>
      </c>
      <c r="AH158" s="1" t="e">
        <f t="shared" ca="1" si="45"/>
        <v>#NAME?</v>
      </c>
      <c r="AI158" s="1" t="e">
        <f ca="1"/>
        <v>#NAME?</v>
      </c>
      <c r="AJ158" s="1" t="e">
        <f t="shared" ca="1" si="54"/>
        <v>#NAME?</v>
      </c>
      <c r="AK158" s="1" t="e">
        <f ca="1"/>
        <v>#NAME?</v>
      </c>
      <c r="AL158" s="1" t="e">
        <f t="shared" ca="1" si="46"/>
        <v>#NAME?</v>
      </c>
      <c r="AN158" s="1">
        <f t="shared" si="36"/>
        <v>3.4368604388732491</v>
      </c>
      <c r="AO158" s="1" t="e">
        <f ca="1"/>
        <v>#NAME?</v>
      </c>
      <c r="AP158" s="1" t="e">
        <f t="shared" ca="1" si="37"/>
        <v>#NAME?</v>
      </c>
    </row>
    <row r="159" spans="1:42" x14ac:dyDescent="0.25">
      <c r="A159" s="1" t="s">
        <v>174</v>
      </c>
      <c r="B159" s="1">
        <v>158</v>
      </c>
      <c r="C159" s="1">
        <v>12514.407999999999</v>
      </c>
      <c r="D159" s="1">
        <f t="shared" si="47"/>
        <v>4.0974103099239176</v>
      </c>
      <c r="E159" s="1">
        <v>8204.75</v>
      </c>
      <c r="F159" s="1">
        <f t="shared" si="48"/>
        <v>3.9140653525707592</v>
      </c>
      <c r="G159" s="1">
        <v>2154.652</v>
      </c>
      <c r="H159" s="1">
        <f t="shared" si="49"/>
        <v>3.3333771368243674</v>
      </c>
      <c r="I159" s="1">
        <v>2592.2179999999998</v>
      </c>
      <c r="J159" s="1">
        <f t="shared" si="50"/>
        <v>0.20713868366765731</v>
      </c>
      <c r="K159" s="1">
        <f t="shared" si="51"/>
        <v>3.4136715219732126</v>
      </c>
      <c r="L159" s="1">
        <v>1249.6110000000001</v>
      </c>
      <c r="M159" s="1">
        <f t="shared" si="52"/>
        <v>3.096774839531204</v>
      </c>
      <c r="N159" s="1">
        <v>1689.8230000000001</v>
      </c>
      <c r="O159" s="1">
        <f t="shared" si="53"/>
        <v>3.2278412169515285</v>
      </c>
      <c r="P159" s="1">
        <v>-440.21199999999999</v>
      </c>
      <c r="Q159" s="1" t="e">
        <f ca="1"/>
        <v>#NAME?</v>
      </c>
      <c r="R159" s="1" t="e">
        <f t="shared" ca="1" si="38"/>
        <v>#NAME?</v>
      </c>
      <c r="S159" s="4">
        <v>2636841000000</v>
      </c>
      <c r="T159" s="1">
        <v>128832</v>
      </c>
      <c r="U159" s="1" t="e">
        <f ca="1"/>
        <v>#NAME?</v>
      </c>
      <c r="V159" s="1" t="e">
        <f t="shared" ca="1" si="39"/>
        <v>#NAME?</v>
      </c>
      <c r="W159" s="1" t="e">
        <f ca="1"/>
        <v>#NAME?</v>
      </c>
      <c r="X159" s="1" t="e">
        <f t="shared" ca="1" si="40"/>
        <v>#NAME?</v>
      </c>
      <c r="Y159" s="1" t="e">
        <f ca="1"/>
        <v>#NAME?</v>
      </c>
      <c r="Z159" s="1" t="e">
        <f t="shared" ca="1" si="41"/>
        <v>#NAME?</v>
      </c>
      <c r="AA159" s="1" t="e">
        <f ca="1"/>
        <v>#NAME?</v>
      </c>
      <c r="AB159" s="1" t="e">
        <f t="shared" ca="1" si="42"/>
        <v>#NAME?</v>
      </c>
      <c r="AC159" s="1" t="e">
        <f ca="1"/>
        <v>#NAME?</v>
      </c>
      <c r="AD159" s="1" t="e">
        <f t="shared" ca="1" si="43"/>
        <v>#NAME?</v>
      </c>
      <c r="AE159" s="1" t="e">
        <f ca="1"/>
        <v>#NAME?</v>
      </c>
      <c r="AF159" s="1" t="e">
        <f t="shared" ca="1" si="44"/>
        <v>#NAME?</v>
      </c>
      <c r="AG159" s="1" t="e">
        <f ca="1"/>
        <v>#NAME?</v>
      </c>
      <c r="AH159" s="1" t="e">
        <f t="shared" ca="1" si="45"/>
        <v>#NAME?</v>
      </c>
      <c r="AI159" s="1" t="e">
        <f ca="1"/>
        <v>#NAME?</v>
      </c>
      <c r="AJ159" s="1" t="e">
        <f t="shared" ca="1" si="54"/>
        <v>#NAME?</v>
      </c>
      <c r="AK159" s="1" t="e">
        <f ca="1"/>
        <v>#NAME?</v>
      </c>
      <c r="AL159" s="1" t="e">
        <f t="shared" ca="1" si="46"/>
        <v>#NAME?</v>
      </c>
      <c r="AN159" s="1">
        <f t="shared" si="36"/>
        <v>3.4354048912105721</v>
      </c>
      <c r="AO159" s="1" t="e">
        <f ca="1"/>
        <v>#NAME?</v>
      </c>
      <c r="AP159" s="1" t="e">
        <f t="shared" ca="1" si="37"/>
        <v>#NAME?</v>
      </c>
    </row>
    <row r="160" spans="1:42" x14ac:dyDescent="0.25">
      <c r="A160" s="1" t="s">
        <v>175</v>
      </c>
      <c r="B160" s="1">
        <v>159</v>
      </c>
      <c r="C160" s="1">
        <v>12679.977000000001</v>
      </c>
      <c r="D160" s="1">
        <f t="shared" si="47"/>
        <v>4.1031184657868698</v>
      </c>
      <c r="E160" s="1">
        <v>8296.9879999999994</v>
      </c>
      <c r="F160" s="1">
        <f t="shared" si="48"/>
        <v>3.9189204619682125</v>
      </c>
      <c r="G160" s="1">
        <v>2213.7730000000001</v>
      </c>
      <c r="H160" s="1">
        <f t="shared" si="49"/>
        <v>3.3451330863251529</v>
      </c>
      <c r="I160" s="1">
        <v>2623.4229999999998</v>
      </c>
      <c r="J160" s="1">
        <f t="shared" si="50"/>
        <v>0.20689493364222977</v>
      </c>
      <c r="K160" s="1">
        <f t="shared" si="51"/>
        <v>3.4188683217587297</v>
      </c>
      <c r="L160" s="1">
        <v>1287.1600000000001</v>
      </c>
      <c r="M160" s="1">
        <f t="shared" si="52"/>
        <v>3.1096325350925289</v>
      </c>
      <c r="N160" s="1">
        <v>1750.9110000000001</v>
      </c>
      <c r="O160" s="1">
        <f t="shared" si="53"/>
        <v>3.2432640711598415</v>
      </c>
      <c r="P160" s="1">
        <v>-463.75099999999998</v>
      </c>
      <c r="Q160" s="1" t="e">
        <f ca="1"/>
        <v>#NAME?</v>
      </c>
      <c r="R160" s="1" t="e">
        <f t="shared" ca="1" si="38"/>
        <v>#NAME?</v>
      </c>
      <c r="S160" s="4">
        <v>2696032000000</v>
      </c>
      <c r="T160" s="1">
        <v>129590.66666666701</v>
      </c>
      <c r="U160" s="1" t="e">
        <f ca="1"/>
        <v>#NAME?</v>
      </c>
      <c r="V160" s="1" t="e">
        <f t="shared" ca="1" si="39"/>
        <v>#NAME?</v>
      </c>
      <c r="W160" s="1" t="e">
        <f ca="1"/>
        <v>#NAME?</v>
      </c>
      <c r="X160" s="1" t="e">
        <f t="shared" ca="1" si="40"/>
        <v>#NAME?</v>
      </c>
      <c r="Y160" s="1" t="e">
        <f ca="1"/>
        <v>#NAME?</v>
      </c>
      <c r="Z160" s="1" t="e">
        <f t="shared" ca="1" si="41"/>
        <v>#NAME?</v>
      </c>
      <c r="AA160" s="1" t="e">
        <f ca="1"/>
        <v>#NAME?</v>
      </c>
      <c r="AB160" s="1" t="e">
        <f t="shared" ca="1" si="42"/>
        <v>#NAME?</v>
      </c>
      <c r="AC160" s="1" t="e">
        <f ca="1"/>
        <v>#NAME?</v>
      </c>
      <c r="AD160" s="1" t="e">
        <f t="shared" ca="1" si="43"/>
        <v>#NAME?</v>
      </c>
      <c r="AE160" s="1" t="e">
        <f ca="1"/>
        <v>#NAME?</v>
      </c>
      <c r="AF160" s="1" t="e">
        <f t="shared" ca="1" si="44"/>
        <v>#NAME?</v>
      </c>
      <c r="AG160" s="1" t="e">
        <f ca="1"/>
        <v>#NAME?</v>
      </c>
      <c r="AH160" s="1" t="e">
        <f t="shared" ca="1" si="45"/>
        <v>#NAME?</v>
      </c>
      <c r="AI160" s="1" t="e">
        <f ca="1"/>
        <v>#NAME?</v>
      </c>
      <c r="AJ160" s="1" t="e">
        <f t="shared" ca="1" si="54"/>
        <v>#NAME?</v>
      </c>
      <c r="AK160" s="1" t="e">
        <f ca="1"/>
        <v>#NAME?</v>
      </c>
      <c r="AL160" s="1" t="e">
        <f t="shared" ca="1" si="46"/>
        <v>#NAME?</v>
      </c>
      <c r="AN160" s="1">
        <f t="shared" si="36"/>
        <v>3.436010267031758</v>
      </c>
      <c r="AO160" s="1" t="e">
        <f ca="1"/>
        <v>#NAME?</v>
      </c>
      <c r="AP160" s="1" t="e">
        <f t="shared" ca="1" si="37"/>
        <v>#NAME?</v>
      </c>
    </row>
    <row r="161" spans="1:42" x14ac:dyDescent="0.25">
      <c r="A161" s="1" t="s">
        <v>176</v>
      </c>
      <c r="B161" s="1">
        <v>160</v>
      </c>
      <c r="C161" s="1">
        <v>12888.281000000001</v>
      </c>
      <c r="D161" s="1">
        <f t="shared" si="47"/>
        <v>4.1101949963294606</v>
      </c>
      <c r="E161" s="1">
        <v>8418.3490000000002</v>
      </c>
      <c r="F161" s="1">
        <f t="shared" si="48"/>
        <v>3.9252269263576371</v>
      </c>
      <c r="G161" s="1">
        <v>2273.0949999999998</v>
      </c>
      <c r="H161" s="1">
        <f t="shared" si="49"/>
        <v>3.356617586676848</v>
      </c>
      <c r="I161" s="1">
        <v>2664.2359999999999</v>
      </c>
      <c r="J161" s="1">
        <f t="shared" si="50"/>
        <v>0.20671771510878756</v>
      </c>
      <c r="K161" s="1">
        <f t="shared" si="51"/>
        <v>3.4255726923293897</v>
      </c>
      <c r="L161" s="1">
        <v>1314.6369999999999</v>
      </c>
      <c r="M161" s="1">
        <f t="shared" si="52"/>
        <v>3.1188058511831298</v>
      </c>
      <c r="N161" s="1">
        <v>1795.6969999999999</v>
      </c>
      <c r="O161" s="1">
        <f t="shared" si="53"/>
        <v>3.2542330570921276</v>
      </c>
      <c r="P161" s="1">
        <v>-481.06</v>
      </c>
      <c r="Q161" s="1" t="e">
        <f ca="1"/>
        <v>#NAME?</v>
      </c>
      <c r="R161" s="1" t="e">
        <f t="shared" ca="1" si="38"/>
        <v>#NAME?</v>
      </c>
      <c r="S161" s="4">
        <v>2721230000000</v>
      </c>
      <c r="T161" s="1">
        <v>130475</v>
      </c>
      <c r="U161" s="1" t="e">
        <f ca="1"/>
        <v>#NAME?</v>
      </c>
      <c r="V161" s="1" t="e">
        <f t="shared" ca="1" si="39"/>
        <v>#NAME?</v>
      </c>
      <c r="W161" s="1" t="e">
        <f ca="1"/>
        <v>#NAME?</v>
      </c>
      <c r="X161" s="1" t="e">
        <f t="shared" ca="1" si="40"/>
        <v>#NAME?</v>
      </c>
      <c r="Y161" s="1" t="e">
        <f ca="1"/>
        <v>#NAME?</v>
      </c>
      <c r="Z161" s="1" t="e">
        <f t="shared" ca="1" si="41"/>
        <v>#NAME?</v>
      </c>
      <c r="AA161" s="1" t="e">
        <f ca="1"/>
        <v>#NAME?</v>
      </c>
      <c r="AB161" s="1" t="e">
        <f t="shared" ca="1" si="42"/>
        <v>#NAME?</v>
      </c>
      <c r="AC161" s="1" t="e">
        <f ca="1"/>
        <v>#NAME?</v>
      </c>
      <c r="AD161" s="1" t="e">
        <f t="shared" ca="1" si="43"/>
        <v>#NAME?</v>
      </c>
      <c r="AE161" s="1" t="e">
        <f ca="1"/>
        <v>#NAME?</v>
      </c>
      <c r="AF161" s="1" t="e">
        <f t="shared" ca="1" si="44"/>
        <v>#NAME?</v>
      </c>
      <c r="AG161" s="1" t="e">
        <f ca="1"/>
        <v>#NAME?</v>
      </c>
      <c r="AH161" s="1" t="e">
        <f t="shared" ca="1" si="45"/>
        <v>#NAME?</v>
      </c>
      <c r="AI161" s="1" t="e">
        <f ca="1"/>
        <v>#NAME?</v>
      </c>
      <c r="AJ161" s="1" t="e">
        <f t="shared" ca="1" si="54"/>
        <v>#NAME?</v>
      </c>
      <c r="AK161" s="1" t="e">
        <f ca="1"/>
        <v>#NAME?</v>
      </c>
      <c r="AL161" s="1" t="e">
        <f t="shared" ca="1" si="46"/>
        <v>#NAME?</v>
      </c>
      <c r="AN161" s="1">
        <f t="shared" si="36"/>
        <v>3.4397420307333624</v>
      </c>
      <c r="AO161" s="1" t="e">
        <f ca="1"/>
        <v>#NAME?</v>
      </c>
      <c r="AP161" s="1" t="e">
        <f t="shared" ca="1" si="37"/>
        <v>#NAME?</v>
      </c>
    </row>
    <row r="162" spans="1:42" x14ac:dyDescent="0.25">
      <c r="A162" s="1" t="s">
        <v>177</v>
      </c>
      <c r="B162" s="1">
        <v>161</v>
      </c>
      <c r="C162" s="1">
        <v>12935.252</v>
      </c>
      <c r="D162" s="1">
        <f t="shared" si="47"/>
        <v>4.1117748939063219</v>
      </c>
      <c r="E162" s="1">
        <v>8545.6389999999992</v>
      </c>
      <c r="F162" s="1">
        <f t="shared" si="48"/>
        <v>3.9317445426328961</v>
      </c>
      <c r="G162" s="1">
        <v>2257.1089999999999</v>
      </c>
      <c r="H162" s="1">
        <f t="shared" si="49"/>
        <v>3.3535525324740787</v>
      </c>
      <c r="I162" s="1">
        <v>2645.3229999999999</v>
      </c>
      <c r="J162" s="1">
        <f t="shared" si="50"/>
        <v>0.20450494509113543</v>
      </c>
      <c r="K162" s="1">
        <f t="shared" si="51"/>
        <v>3.4224787079603263</v>
      </c>
      <c r="L162" s="1">
        <v>1333.6659999999999</v>
      </c>
      <c r="M162" s="1">
        <f t="shared" si="52"/>
        <v>3.1250470795663126</v>
      </c>
      <c r="N162" s="1">
        <v>1863.4880000000001</v>
      </c>
      <c r="O162" s="1">
        <f t="shared" si="53"/>
        <v>3.2703266004434606</v>
      </c>
      <c r="P162" s="1">
        <v>-529.822</v>
      </c>
      <c r="Q162" s="1" t="e">
        <f ca="1"/>
        <v>#NAME?</v>
      </c>
      <c r="R162" s="1" t="e">
        <f t="shared" ca="1" si="38"/>
        <v>#NAME?</v>
      </c>
      <c r="S162" s="4">
        <v>2788580000000</v>
      </c>
      <c r="T162" s="1">
        <v>131244.66666666701</v>
      </c>
      <c r="U162" s="1" t="e">
        <f ca="1"/>
        <v>#NAME?</v>
      </c>
      <c r="V162" s="1" t="e">
        <f t="shared" ca="1" si="39"/>
        <v>#NAME?</v>
      </c>
      <c r="W162" s="1" t="e">
        <f ca="1"/>
        <v>#NAME?</v>
      </c>
      <c r="X162" s="1" t="e">
        <f t="shared" ca="1" si="40"/>
        <v>#NAME?</v>
      </c>
      <c r="Y162" s="1" t="e">
        <f ca="1"/>
        <v>#NAME?</v>
      </c>
      <c r="Z162" s="1" t="e">
        <f t="shared" ca="1" si="41"/>
        <v>#NAME?</v>
      </c>
      <c r="AA162" s="1" t="e">
        <f ca="1"/>
        <v>#NAME?</v>
      </c>
      <c r="AB162" s="1" t="e">
        <f t="shared" ca="1" si="42"/>
        <v>#NAME?</v>
      </c>
      <c r="AC162" s="1" t="e">
        <f ca="1"/>
        <v>#NAME?</v>
      </c>
      <c r="AD162" s="1" t="e">
        <f t="shared" ca="1" si="43"/>
        <v>#NAME?</v>
      </c>
      <c r="AE162" s="1" t="e">
        <f ca="1"/>
        <v>#NAME?</v>
      </c>
      <c r="AF162" s="1" t="e">
        <f t="shared" ca="1" si="44"/>
        <v>#NAME?</v>
      </c>
      <c r="AG162" s="1" t="e">
        <f ca="1"/>
        <v>#NAME?</v>
      </c>
      <c r="AH162" s="1" t="e">
        <f t="shared" ca="1" si="45"/>
        <v>#NAME?</v>
      </c>
      <c r="AI162" s="1" t="e">
        <f ca="1"/>
        <v>#NAME?</v>
      </c>
      <c r="AJ162" s="1" t="e">
        <f t="shared" ca="1" si="54"/>
        <v>#NAME?</v>
      </c>
      <c r="AK162" s="1" t="e">
        <f ca="1"/>
        <v>#NAME?</v>
      </c>
      <c r="AL162" s="1" t="e">
        <f t="shared" ca="1" si="46"/>
        <v>#NAME?</v>
      </c>
      <c r="AN162" s="1">
        <f t="shared" si="36"/>
        <v>3.4358647098549051</v>
      </c>
      <c r="AO162" s="1" t="e">
        <f ca="1"/>
        <v>#NAME?</v>
      </c>
      <c r="AP162" s="1" t="e">
        <f t="shared" ca="1" si="37"/>
        <v>#NAME?</v>
      </c>
    </row>
    <row r="163" spans="1:42" x14ac:dyDescent="0.25">
      <c r="A163" s="1" t="s">
        <v>178</v>
      </c>
      <c r="B163" s="1">
        <v>162</v>
      </c>
      <c r="C163" s="1">
        <v>13170.749</v>
      </c>
      <c r="D163" s="1">
        <f t="shared" si="47"/>
        <v>4.1196104733154284</v>
      </c>
      <c r="E163" s="1">
        <v>8625.4349999999995</v>
      </c>
      <c r="F163" s="1">
        <f t="shared" si="48"/>
        <v>3.935781006740763</v>
      </c>
      <c r="G163" s="1">
        <v>2390.7330000000002</v>
      </c>
      <c r="H163" s="1">
        <f t="shared" si="49"/>
        <v>3.3785310762824348</v>
      </c>
      <c r="I163" s="1">
        <v>2671.3980000000001</v>
      </c>
      <c r="J163" s="1">
        <f t="shared" si="50"/>
        <v>0.20282810036088306</v>
      </c>
      <c r="K163" s="1">
        <f t="shared" si="51"/>
        <v>3.4267385964927812</v>
      </c>
      <c r="L163" s="1">
        <v>1374.2919999999999</v>
      </c>
      <c r="M163" s="1">
        <f t="shared" si="52"/>
        <v>3.138079018397101</v>
      </c>
      <c r="N163" s="1">
        <v>1922.854</v>
      </c>
      <c r="O163" s="1">
        <f t="shared" si="53"/>
        <v>3.2839463100307289</v>
      </c>
      <c r="P163" s="1">
        <v>-548.56200000000001</v>
      </c>
      <c r="Q163" s="1" t="e">
        <f ca="1"/>
        <v>#NAME?</v>
      </c>
      <c r="R163" s="1" t="e">
        <f t="shared" ca="1" si="38"/>
        <v>#NAME?</v>
      </c>
      <c r="S163" s="4">
        <v>2832313000000</v>
      </c>
      <c r="T163" s="1">
        <v>132016.66666666701</v>
      </c>
      <c r="U163" s="1" t="e">
        <f ca="1"/>
        <v>#NAME?</v>
      </c>
      <c r="V163" s="1" t="e">
        <f t="shared" ca="1" si="39"/>
        <v>#NAME?</v>
      </c>
      <c r="W163" s="1" t="e">
        <f ca="1"/>
        <v>#NAME?</v>
      </c>
      <c r="X163" s="1" t="e">
        <f t="shared" ca="1" si="40"/>
        <v>#NAME?</v>
      </c>
      <c r="Y163" s="1" t="e">
        <f ca="1"/>
        <v>#NAME?</v>
      </c>
      <c r="Z163" s="1" t="e">
        <f t="shared" ca="1" si="41"/>
        <v>#NAME?</v>
      </c>
      <c r="AA163" s="1" t="e">
        <f ca="1"/>
        <v>#NAME?</v>
      </c>
      <c r="AB163" s="1" t="e">
        <f t="shared" ca="1" si="42"/>
        <v>#NAME?</v>
      </c>
      <c r="AC163" s="1" t="e">
        <f ca="1"/>
        <v>#NAME?</v>
      </c>
      <c r="AD163" s="1" t="e">
        <f t="shared" ca="1" si="43"/>
        <v>#NAME?</v>
      </c>
      <c r="AE163" s="1" t="e">
        <f ca="1"/>
        <v>#NAME?</v>
      </c>
      <c r="AF163" s="1" t="e">
        <f t="shared" ca="1" si="44"/>
        <v>#NAME?</v>
      </c>
      <c r="AG163" s="1" t="e">
        <f ca="1"/>
        <v>#NAME?</v>
      </c>
      <c r="AH163" s="1" t="e">
        <f t="shared" ca="1" si="45"/>
        <v>#NAME?</v>
      </c>
      <c r="AI163" s="1" t="e">
        <f ca="1"/>
        <v>#NAME?</v>
      </c>
      <c r="AJ163" s="1" t="e">
        <f t="shared" ca="1" si="54"/>
        <v>#NAME?</v>
      </c>
      <c r="AK163" s="1" t="e">
        <f ca="1"/>
        <v>#NAME?</v>
      </c>
      <c r="AL163" s="1" t="e">
        <f t="shared" ca="1" si="46"/>
        <v>#NAME?</v>
      </c>
      <c r="AN163" s="1">
        <f t="shared" si="36"/>
        <v>3.4396372165961866</v>
      </c>
      <c r="AO163" s="1" t="e">
        <f ca="1"/>
        <v>#NAME?</v>
      </c>
      <c r="AP163" s="1" t="e">
        <f t="shared" ca="1" si="37"/>
        <v>#NAME?</v>
      </c>
    </row>
    <row r="164" spans="1:42" x14ac:dyDescent="0.25">
      <c r="A164" s="1" t="s">
        <v>179</v>
      </c>
      <c r="B164" s="1">
        <v>163</v>
      </c>
      <c r="C164" s="1">
        <v>13183.89</v>
      </c>
      <c r="D164" s="1">
        <f t="shared" si="47"/>
        <v>4.1200435708251053</v>
      </c>
      <c r="E164" s="1">
        <v>8708.0740000000005</v>
      </c>
      <c r="F164" s="1">
        <f t="shared" si="48"/>
        <v>3.939922110958757</v>
      </c>
      <c r="G164" s="1">
        <v>2367.2739999999999</v>
      </c>
      <c r="H164" s="1">
        <f t="shared" si="49"/>
        <v>3.3742485282295234</v>
      </c>
      <c r="I164" s="1">
        <v>2660.1390000000001</v>
      </c>
      <c r="J164" s="1">
        <f t="shared" si="50"/>
        <v>0.20177193529375625</v>
      </c>
      <c r="K164" s="1">
        <f t="shared" si="51"/>
        <v>3.4249043303738427</v>
      </c>
      <c r="L164" s="1">
        <v>1407.33</v>
      </c>
      <c r="M164" s="1">
        <f t="shared" si="52"/>
        <v>3.1483959456044235</v>
      </c>
      <c r="N164" s="1">
        <v>1992.04</v>
      </c>
      <c r="O164" s="1">
        <f t="shared" si="53"/>
        <v>3.2992980547728523</v>
      </c>
      <c r="P164" s="1">
        <v>-584.71</v>
      </c>
      <c r="Q164" s="1" t="e">
        <f ca="1"/>
        <v>#NAME?</v>
      </c>
      <c r="R164" s="1" t="e">
        <f t="shared" ca="1" si="38"/>
        <v>#NAME?</v>
      </c>
      <c r="S164" s="4">
        <v>2840417000000</v>
      </c>
      <c r="T164" s="1">
        <v>132271</v>
      </c>
      <c r="U164" s="1" t="e">
        <f ca="1"/>
        <v>#NAME?</v>
      </c>
      <c r="V164" s="1" t="e">
        <f t="shared" ca="1" si="39"/>
        <v>#NAME?</v>
      </c>
      <c r="W164" s="1" t="e">
        <f ca="1"/>
        <v>#NAME?</v>
      </c>
      <c r="X164" s="1" t="e">
        <f t="shared" ca="1" si="40"/>
        <v>#NAME?</v>
      </c>
      <c r="Y164" s="1" t="e">
        <f ca="1"/>
        <v>#NAME?</v>
      </c>
      <c r="Z164" s="1" t="e">
        <f t="shared" ca="1" si="41"/>
        <v>#NAME?</v>
      </c>
      <c r="AA164" s="1" t="e">
        <f ca="1"/>
        <v>#NAME?</v>
      </c>
      <c r="AB164" s="1" t="e">
        <f t="shared" ca="1" si="42"/>
        <v>#NAME?</v>
      </c>
      <c r="AC164" s="1" t="e">
        <f ca="1"/>
        <v>#NAME?</v>
      </c>
      <c r="AD164" s="1" t="e">
        <f t="shared" ca="1" si="43"/>
        <v>#NAME?</v>
      </c>
      <c r="AE164" s="1" t="e">
        <f ca="1"/>
        <v>#NAME?</v>
      </c>
      <c r="AF164" s="1" t="e">
        <f t="shared" ca="1" si="44"/>
        <v>#NAME?</v>
      </c>
      <c r="AG164" s="1" t="e">
        <f ca="1"/>
        <v>#NAME?</v>
      </c>
      <c r="AH164" s="1" t="e">
        <f t="shared" ca="1" si="45"/>
        <v>#NAME?</v>
      </c>
      <c r="AI164" s="1" t="e">
        <f ca="1"/>
        <v>#NAME?</v>
      </c>
      <c r="AJ164" s="1" t="e">
        <f t="shared" ca="1" si="54"/>
        <v>#NAME?</v>
      </c>
      <c r="AK164" s="1" t="e">
        <f ca="1"/>
        <v>#NAME?</v>
      </c>
      <c r="AL164" s="1" t="e">
        <f t="shared" ca="1" si="46"/>
        <v>#NAME?</v>
      </c>
      <c r="AN164" s="1">
        <f t="shared" si="36"/>
        <v>3.4390886460206209</v>
      </c>
      <c r="AO164" s="1" t="e">
        <f ca="1"/>
        <v>#NAME?</v>
      </c>
      <c r="AP164" s="1" t="e">
        <f t="shared" ca="1" si="37"/>
        <v>#NAME?</v>
      </c>
    </row>
    <row r="165" spans="1:42" x14ac:dyDescent="0.25">
      <c r="A165" s="1" t="s">
        <v>180</v>
      </c>
      <c r="B165" s="1">
        <v>164</v>
      </c>
      <c r="C165" s="1">
        <v>13262.25</v>
      </c>
      <c r="D165" s="1">
        <f t="shared" si="47"/>
        <v>4.1226172103198548</v>
      </c>
      <c r="E165" s="1">
        <v>8784.1550000000007</v>
      </c>
      <c r="F165" s="1">
        <f t="shared" si="48"/>
        <v>3.9436999904770076</v>
      </c>
      <c r="G165" s="1">
        <v>2371.8090000000002</v>
      </c>
      <c r="H165" s="1">
        <f t="shared" si="49"/>
        <v>3.3750797126914178</v>
      </c>
      <c r="I165" s="1">
        <v>2676.4459999999999</v>
      </c>
      <c r="J165" s="1">
        <f t="shared" si="50"/>
        <v>0.2018093460762691</v>
      </c>
      <c r="K165" s="1">
        <f t="shared" si="51"/>
        <v>3.4275584854782384</v>
      </c>
      <c r="L165" s="1">
        <v>1393.3489999999999</v>
      </c>
      <c r="M165" s="1">
        <f t="shared" si="52"/>
        <v>3.1440599102433859</v>
      </c>
      <c r="N165" s="1">
        <v>1994.953</v>
      </c>
      <c r="O165" s="1">
        <f t="shared" si="53"/>
        <v>3.2999326684031711</v>
      </c>
      <c r="P165" s="1">
        <v>-601.60400000000004</v>
      </c>
      <c r="Q165" s="1" t="e">
        <f ca="1"/>
        <v>#NAME?</v>
      </c>
      <c r="R165" s="1" t="e">
        <f t="shared" ca="1" si="38"/>
        <v>#NAME?</v>
      </c>
      <c r="S165" s="4">
        <v>2854881000000</v>
      </c>
      <c r="T165" s="1">
        <v>132541</v>
      </c>
      <c r="U165" s="1" t="e">
        <f ca="1"/>
        <v>#NAME?</v>
      </c>
      <c r="V165" s="1" t="e">
        <f t="shared" ca="1" si="39"/>
        <v>#NAME?</v>
      </c>
      <c r="W165" s="1" t="e">
        <f ca="1"/>
        <v>#NAME?</v>
      </c>
      <c r="X165" s="1" t="e">
        <f t="shared" ca="1" si="40"/>
        <v>#NAME?</v>
      </c>
      <c r="Y165" s="1" t="e">
        <f ca="1"/>
        <v>#NAME?</v>
      </c>
      <c r="Z165" s="1" t="e">
        <f t="shared" ca="1" si="41"/>
        <v>#NAME?</v>
      </c>
      <c r="AA165" s="1" t="e">
        <f ca="1"/>
        <v>#NAME?</v>
      </c>
      <c r="AB165" s="1" t="e">
        <f t="shared" ca="1" si="42"/>
        <v>#NAME?</v>
      </c>
      <c r="AC165" s="1" t="e">
        <f ca="1"/>
        <v>#NAME?</v>
      </c>
      <c r="AD165" s="1" t="e">
        <f t="shared" ca="1" si="43"/>
        <v>#NAME?</v>
      </c>
      <c r="AE165" s="1" t="e">
        <f ca="1"/>
        <v>#NAME?</v>
      </c>
      <c r="AF165" s="1" t="e">
        <f t="shared" ca="1" si="44"/>
        <v>#NAME?</v>
      </c>
      <c r="AG165" s="1" t="e">
        <f ca="1"/>
        <v>#NAME?</v>
      </c>
      <c r="AH165" s="1" t="e">
        <f t="shared" ca="1" si="45"/>
        <v>#NAME?</v>
      </c>
      <c r="AI165" s="1" t="e">
        <f ca="1"/>
        <v>#NAME?</v>
      </c>
      <c r="AJ165" s="1" t="e">
        <f t="shared" ca="1" si="54"/>
        <v>#NAME?</v>
      </c>
      <c r="AK165" s="1" t="e">
        <f ca="1"/>
        <v>#NAME?</v>
      </c>
      <c r="AL165" s="1" t="e">
        <f t="shared" ca="1" si="46"/>
        <v>#NAME?</v>
      </c>
      <c r="AN165" s="1">
        <f t="shared" si="36"/>
        <v>3.4403013711386388</v>
      </c>
      <c r="AO165" s="1" t="e">
        <f ca="1"/>
        <v>#NAME?</v>
      </c>
      <c r="AP165" s="1" t="e">
        <f t="shared" ca="1" si="37"/>
        <v>#NAME?</v>
      </c>
    </row>
    <row r="166" spans="1:42" x14ac:dyDescent="0.25">
      <c r="A166" s="1" t="s">
        <v>181</v>
      </c>
      <c r="B166" s="1">
        <v>165</v>
      </c>
      <c r="C166" s="1">
        <v>13219.251</v>
      </c>
      <c r="D166" s="1">
        <f t="shared" si="47"/>
        <v>4.1212068488120943</v>
      </c>
      <c r="E166" s="1">
        <v>8816.0139999999992</v>
      </c>
      <c r="F166" s="1">
        <f t="shared" si="48"/>
        <v>3.9452722711762576</v>
      </c>
      <c r="G166" s="1">
        <v>2264.2020000000002</v>
      </c>
      <c r="H166" s="1">
        <f t="shared" si="49"/>
        <v>3.3549151696769846</v>
      </c>
      <c r="I166" s="1">
        <v>2718.2910000000002</v>
      </c>
      <c r="J166" s="1">
        <f t="shared" si="50"/>
        <v>0.20563124189108747</v>
      </c>
      <c r="K166" s="1">
        <f t="shared" si="51"/>
        <v>3.4342959472196388</v>
      </c>
      <c r="L166" s="1">
        <v>1375.8</v>
      </c>
      <c r="M166" s="1">
        <f t="shared" si="52"/>
        <v>3.1385553051135826</v>
      </c>
      <c r="N166" s="1">
        <v>1969.2180000000001</v>
      </c>
      <c r="O166" s="1">
        <f t="shared" si="53"/>
        <v>3.2942937968676014</v>
      </c>
      <c r="P166" s="1">
        <v>-593.41800000000001</v>
      </c>
      <c r="Q166" s="1" t="e">
        <f ca="1"/>
        <v>#NAME?</v>
      </c>
      <c r="R166" s="1" t="e">
        <f t="shared" ca="1" si="38"/>
        <v>#NAME?</v>
      </c>
      <c r="S166" s="4">
        <v>2847701000000</v>
      </c>
      <c r="T166" s="1">
        <v>132745.33333333299</v>
      </c>
      <c r="U166" s="1" t="e">
        <f ca="1"/>
        <v>#NAME?</v>
      </c>
      <c r="V166" s="1" t="e">
        <f t="shared" ca="1" si="39"/>
        <v>#NAME?</v>
      </c>
      <c r="W166" s="1" t="e">
        <f ca="1"/>
        <v>#NAME?</v>
      </c>
      <c r="X166" s="1" t="e">
        <f t="shared" ca="1" si="40"/>
        <v>#NAME?</v>
      </c>
      <c r="Y166" s="1" t="e">
        <f ca="1"/>
        <v>#NAME?</v>
      </c>
      <c r="Z166" s="1" t="e">
        <f t="shared" ca="1" si="41"/>
        <v>#NAME?</v>
      </c>
      <c r="AA166" s="1" t="e">
        <f ca="1"/>
        <v>#NAME?</v>
      </c>
      <c r="AB166" s="1" t="e">
        <f t="shared" ca="1" si="42"/>
        <v>#NAME?</v>
      </c>
      <c r="AC166" s="1" t="e">
        <f ca="1"/>
        <v>#NAME?</v>
      </c>
      <c r="AD166" s="1" t="e">
        <f t="shared" ca="1" si="43"/>
        <v>#NAME?</v>
      </c>
      <c r="AE166" s="1" t="e">
        <f ca="1"/>
        <v>#NAME?</v>
      </c>
      <c r="AF166" s="1" t="e">
        <f t="shared" ca="1" si="44"/>
        <v>#NAME?</v>
      </c>
      <c r="AG166" s="1" t="e">
        <f ca="1"/>
        <v>#NAME?</v>
      </c>
      <c r="AH166" s="1" t="e">
        <f t="shared" ca="1" si="45"/>
        <v>#NAME?</v>
      </c>
      <c r="AI166" s="1" t="e">
        <f ca="1"/>
        <v>#NAME?</v>
      </c>
      <c r="AJ166" s="1" t="e">
        <f t="shared" ca="1" si="54"/>
        <v>#NAME?</v>
      </c>
      <c r="AK166" s="1" t="e">
        <f ca="1"/>
        <v>#NAME?</v>
      </c>
      <c r="AL166" s="1" t="e">
        <f t="shared" ca="1" si="46"/>
        <v>#NAME?</v>
      </c>
      <c r="AN166" s="1">
        <f t="shared" si="36"/>
        <v>3.4388565412957721</v>
      </c>
      <c r="AO166" s="1" t="e">
        <f ca="1"/>
        <v>#NAME?</v>
      </c>
      <c r="AP166" s="1" t="e">
        <f t="shared" ca="1" si="37"/>
        <v>#NAME?</v>
      </c>
    </row>
    <row r="167" spans="1:42" x14ac:dyDescent="0.25">
      <c r="A167" s="1" t="s">
        <v>182</v>
      </c>
      <c r="B167" s="1">
        <v>166</v>
      </c>
      <c r="C167" s="1">
        <v>13301.394</v>
      </c>
      <c r="D167" s="1">
        <f t="shared" si="47"/>
        <v>4.1238971578680665</v>
      </c>
      <c r="E167" s="1">
        <v>8833.7260000000006</v>
      </c>
      <c r="F167" s="1">
        <f t="shared" si="48"/>
        <v>3.9461439244069192</v>
      </c>
      <c r="G167" s="1">
        <v>2267.433</v>
      </c>
      <c r="H167" s="1">
        <f t="shared" si="49"/>
        <v>3.3555344630264283</v>
      </c>
      <c r="I167" s="1">
        <v>2765.415</v>
      </c>
      <c r="J167" s="1">
        <f t="shared" si="50"/>
        <v>0.20790414899370696</v>
      </c>
      <c r="K167" s="1">
        <f t="shared" si="51"/>
        <v>3.4417603141889193</v>
      </c>
      <c r="L167" s="1">
        <v>1335.433</v>
      </c>
      <c r="M167" s="1">
        <f t="shared" si="52"/>
        <v>3.1256221039184502</v>
      </c>
      <c r="N167" s="1">
        <v>1906.1890000000001</v>
      </c>
      <c r="O167" s="1">
        <f t="shared" si="53"/>
        <v>3.2801659590450765</v>
      </c>
      <c r="P167" s="1">
        <v>-570.75599999999997</v>
      </c>
      <c r="Q167" s="1" t="e">
        <f ca="1"/>
        <v>#NAME?</v>
      </c>
      <c r="R167" s="1" t="e">
        <f t="shared" ca="1" si="38"/>
        <v>#NAME?</v>
      </c>
      <c r="S167" s="4">
        <v>2840427000000</v>
      </c>
      <c r="T167" s="1">
        <v>132388</v>
      </c>
      <c r="U167" s="1" t="e">
        <f ca="1"/>
        <v>#NAME?</v>
      </c>
      <c r="V167" s="1" t="e">
        <f t="shared" ca="1" si="39"/>
        <v>#NAME?</v>
      </c>
      <c r="W167" s="1" t="e">
        <f ca="1"/>
        <v>#NAME?</v>
      </c>
      <c r="X167" s="1" t="e">
        <f t="shared" ca="1" si="40"/>
        <v>#NAME?</v>
      </c>
      <c r="Y167" s="1" t="e">
        <f ca="1"/>
        <v>#NAME?</v>
      </c>
      <c r="Z167" s="1" t="e">
        <f t="shared" ca="1" si="41"/>
        <v>#NAME?</v>
      </c>
      <c r="AA167" s="1" t="e">
        <f ca="1"/>
        <v>#NAME?</v>
      </c>
      <c r="AB167" s="1" t="e">
        <f t="shared" ca="1" si="42"/>
        <v>#NAME?</v>
      </c>
      <c r="AC167" s="1" t="e">
        <f ca="1"/>
        <v>#NAME?</v>
      </c>
      <c r="AD167" s="1" t="e">
        <f t="shared" ca="1" si="43"/>
        <v>#NAME?</v>
      </c>
      <c r="AE167" s="1" t="e">
        <f ca="1"/>
        <v>#NAME?</v>
      </c>
      <c r="AF167" s="1" t="e">
        <f t="shared" ca="1" si="44"/>
        <v>#NAME?</v>
      </c>
      <c r="AG167" s="1" t="e">
        <f ca="1"/>
        <v>#NAME?</v>
      </c>
      <c r="AH167" s="1" t="e">
        <f t="shared" ca="1" si="45"/>
        <v>#NAME?</v>
      </c>
      <c r="AI167" s="1" t="e">
        <f ca="1"/>
        <v>#NAME?</v>
      </c>
      <c r="AJ167" s="1" t="e">
        <f t="shared" ca="1" si="54"/>
        <v>#NAME?</v>
      </c>
      <c r="AK167" s="1" t="e">
        <f ca="1"/>
        <v>#NAME?</v>
      </c>
      <c r="AL167" s="1" t="e">
        <f t="shared" ca="1" si="46"/>
        <v>#NAME?</v>
      </c>
      <c r="AN167" s="1">
        <f t="shared" si="36"/>
        <v>3.4426959326440976</v>
      </c>
      <c r="AO167" s="1" t="e">
        <f ca="1"/>
        <v>#NAME?</v>
      </c>
      <c r="AP167" s="1" t="e">
        <f t="shared" ca="1" si="37"/>
        <v>#NAME?</v>
      </c>
    </row>
    <row r="168" spans="1:42" x14ac:dyDescent="0.25">
      <c r="A168" s="1" t="s">
        <v>183</v>
      </c>
      <c r="B168" s="1">
        <v>167</v>
      </c>
      <c r="C168" s="1">
        <v>13248.142</v>
      </c>
      <c r="D168" s="1">
        <f t="shared" si="47"/>
        <v>4.1221549744442711</v>
      </c>
      <c r="E168" s="1">
        <v>8864.4650000000001</v>
      </c>
      <c r="F168" s="1">
        <f t="shared" si="48"/>
        <v>3.9476525296087752</v>
      </c>
      <c r="G168" s="1">
        <v>2218.37</v>
      </c>
      <c r="H168" s="1">
        <f t="shared" si="49"/>
        <v>3.3460339834528949</v>
      </c>
      <c r="I168" s="1">
        <v>2762.681</v>
      </c>
      <c r="J168" s="1">
        <f t="shared" si="50"/>
        <v>0.20853346831578345</v>
      </c>
      <c r="K168" s="1">
        <f t="shared" si="51"/>
        <v>3.4413307408926777</v>
      </c>
      <c r="L168" s="1">
        <v>1266.999</v>
      </c>
      <c r="M168" s="1">
        <f t="shared" si="52"/>
        <v>3.1027762721094452</v>
      </c>
      <c r="N168" s="1">
        <v>1862.95</v>
      </c>
      <c r="O168" s="1">
        <f t="shared" si="53"/>
        <v>3.2702011989566317</v>
      </c>
      <c r="P168" s="1">
        <v>-595.95100000000002</v>
      </c>
      <c r="Q168" s="1" t="e">
        <f ca="1"/>
        <v>#NAME?</v>
      </c>
      <c r="R168" s="1" t="e">
        <f t="shared" ca="1" si="38"/>
        <v>#NAME?</v>
      </c>
      <c r="S168" s="4">
        <v>2804819000000</v>
      </c>
      <c r="T168" s="1">
        <v>131986.66666666701</v>
      </c>
      <c r="U168" s="1" t="e">
        <f ca="1"/>
        <v>#NAME?</v>
      </c>
      <c r="V168" s="1" t="e">
        <f t="shared" ca="1" si="39"/>
        <v>#NAME?</v>
      </c>
      <c r="W168" s="1" t="e">
        <f ca="1"/>
        <v>#NAME?</v>
      </c>
      <c r="X168" s="1" t="e">
        <f t="shared" ca="1" si="40"/>
        <v>#NAME?</v>
      </c>
      <c r="Y168" s="1" t="e">
        <f ca="1"/>
        <v>#NAME?</v>
      </c>
      <c r="Z168" s="1" t="e">
        <f t="shared" ca="1" si="41"/>
        <v>#NAME?</v>
      </c>
      <c r="AA168" s="1" t="e">
        <f ca="1"/>
        <v>#NAME?</v>
      </c>
      <c r="AB168" s="1" t="e">
        <f t="shared" ca="1" si="42"/>
        <v>#NAME?</v>
      </c>
      <c r="AC168" s="1" t="e">
        <f ca="1"/>
        <v>#NAME?</v>
      </c>
      <c r="AD168" s="1" t="e">
        <f t="shared" ca="1" si="43"/>
        <v>#NAME?</v>
      </c>
      <c r="AE168" s="1" t="e">
        <f ca="1"/>
        <v>#NAME?</v>
      </c>
      <c r="AF168" s="1" t="e">
        <f t="shared" ca="1" si="44"/>
        <v>#NAME?</v>
      </c>
      <c r="AG168" s="1" t="e">
        <f ca="1"/>
        <v>#NAME?</v>
      </c>
      <c r="AH168" s="1" t="e">
        <f t="shared" ca="1" si="45"/>
        <v>#NAME?</v>
      </c>
      <c r="AI168" s="1" t="e">
        <f ca="1"/>
        <v>#NAME?</v>
      </c>
      <c r="AJ168" s="1" t="e">
        <f t="shared" ca="1" si="54"/>
        <v>#NAME?</v>
      </c>
      <c r="AK168" s="1" t="e">
        <f ca="1"/>
        <v>#NAME?</v>
      </c>
      <c r="AL168" s="1" t="e">
        <f t="shared" ca="1" si="46"/>
        <v>#NAME?</v>
      </c>
      <c r="AN168" s="1">
        <f t="shared" si="36"/>
        <v>3.4437699928433716</v>
      </c>
      <c r="AO168" s="1" t="e">
        <f ca="1"/>
        <v>#NAME?</v>
      </c>
      <c r="AP168" s="1" t="e">
        <f t="shared" ca="1" si="37"/>
        <v>#NAME?</v>
      </c>
    </row>
    <row r="169" spans="1:42" x14ac:dyDescent="0.25">
      <c r="A169" s="1" t="s">
        <v>184</v>
      </c>
      <c r="B169" s="1">
        <v>168</v>
      </c>
      <c r="C169" s="1">
        <v>13284.880999999999</v>
      </c>
      <c r="D169" s="1">
        <f t="shared" si="47"/>
        <v>4.123357668548719</v>
      </c>
      <c r="E169" s="1">
        <v>9007.4940000000006</v>
      </c>
      <c r="F169" s="1">
        <f t="shared" si="48"/>
        <v>3.9546039815059291</v>
      </c>
      <c r="G169" s="1">
        <v>2108.5</v>
      </c>
      <c r="H169" s="1">
        <f t="shared" si="49"/>
        <v>3.3239736053508824</v>
      </c>
      <c r="I169" s="1">
        <v>2808.498</v>
      </c>
      <c r="J169" s="1">
        <f t="shared" si="50"/>
        <v>0.21140558202967721</v>
      </c>
      <c r="K169" s="1">
        <f t="shared" si="51"/>
        <v>3.4484741189405668</v>
      </c>
      <c r="L169" s="1">
        <v>1222.9069999999999</v>
      </c>
      <c r="M169" s="1">
        <f t="shared" si="52"/>
        <v>3.0873934309344455</v>
      </c>
      <c r="N169" s="1">
        <v>1843.6559999999999</v>
      </c>
      <c r="O169" s="1">
        <f t="shared" si="53"/>
        <v>3.2656798911001408</v>
      </c>
      <c r="P169" s="1">
        <v>-620.74900000000002</v>
      </c>
      <c r="Q169" s="1" t="e">
        <f ca="1"/>
        <v>#NAME?</v>
      </c>
      <c r="R169" s="1" t="e">
        <f t="shared" ca="1" si="38"/>
        <v>#NAME?</v>
      </c>
      <c r="S169" s="4">
        <v>2775367000000</v>
      </c>
      <c r="T169" s="1">
        <v>131193</v>
      </c>
      <c r="U169" s="1" t="e">
        <f ca="1"/>
        <v>#NAME?</v>
      </c>
      <c r="V169" s="1" t="e">
        <f t="shared" ca="1" si="39"/>
        <v>#NAME?</v>
      </c>
      <c r="W169" s="1" t="e">
        <f ca="1"/>
        <v>#NAME?</v>
      </c>
      <c r="X169" s="1" t="e">
        <f t="shared" ca="1" si="40"/>
        <v>#NAME?</v>
      </c>
      <c r="Y169" s="1" t="e">
        <f ca="1"/>
        <v>#NAME?</v>
      </c>
      <c r="Z169" s="1" t="e">
        <f t="shared" ca="1" si="41"/>
        <v>#NAME?</v>
      </c>
      <c r="AA169" s="1" t="e">
        <f ca="1"/>
        <v>#NAME?</v>
      </c>
      <c r="AB169" s="1" t="e">
        <f t="shared" ca="1" si="42"/>
        <v>#NAME?</v>
      </c>
      <c r="AC169" s="1" t="e">
        <f ca="1"/>
        <v>#NAME?</v>
      </c>
      <c r="AD169" s="1" t="e">
        <f t="shared" ca="1" si="43"/>
        <v>#NAME?</v>
      </c>
      <c r="AE169" s="1" t="e">
        <f ca="1"/>
        <v>#NAME?</v>
      </c>
      <c r="AF169" s="1" t="e">
        <f t="shared" ca="1" si="44"/>
        <v>#NAME?</v>
      </c>
      <c r="AG169" s="1" t="e">
        <f ca="1"/>
        <v>#NAME?</v>
      </c>
      <c r="AH169" s="1" t="e">
        <f t="shared" ca="1" si="45"/>
        <v>#NAME?</v>
      </c>
      <c r="AI169" s="1" t="e">
        <f ca="1"/>
        <v>#NAME?</v>
      </c>
      <c r="AJ169" s="1" t="e">
        <f t="shared" ca="1" si="54"/>
        <v>#NAME?</v>
      </c>
      <c r="AK169" s="1" t="e">
        <f ca="1"/>
        <v>#NAME?</v>
      </c>
      <c r="AL169" s="1" t="e">
        <f t="shared" ca="1" si="46"/>
        <v>#NAME?</v>
      </c>
      <c r="AN169" s="1">
        <f t="shared" si="36"/>
        <v>3.4482994928562762</v>
      </c>
      <c r="AO169" s="1" t="e">
        <f ca="1"/>
        <v>#NAME?</v>
      </c>
      <c r="AP169" s="1" t="e">
        <f t="shared" ca="1" si="37"/>
        <v>#NAME?</v>
      </c>
    </row>
    <row r="170" spans="1:42" x14ac:dyDescent="0.25">
      <c r="A170" s="1" t="s">
        <v>185</v>
      </c>
      <c r="B170" s="1">
        <v>169</v>
      </c>
      <c r="C170" s="1">
        <v>13394.91</v>
      </c>
      <c r="D170" s="1">
        <f t="shared" si="47"/>
        <v>4.1269397999423854</v>
      </c>
      <c r="E170" s="1">
        <v>9027.5480000000007</v>
      </c>
      <c r="F170" s="1">
        <f t="shared" si="48"/>
        <v>3.9555698062741298</v>
      </c>
      <c r="G170" s="1">
        <v>2170.7069999999999</v>
      </c>
      <c r="H170" s="1">
        <f t="shared" si="49"/>
        <v>3.3366012067474933</v>
      </c>
      <c r="I170" s="1">
        <v>2857.3359999999998</v>
      </c>
      <c r="J170" s="1">
        <f t="shared" si="50"/>
        <v>0.21331505773461709</v>
      </c>
      <c r="K170" s="1">
        <f t="shared" si="51"/>
        <v>3.4559613129644351</v>
      </c>
      <c r="L170" s="1">
        <v>1249.6199999999999</v>
      </c>
      <c r="M170" s="1">
        <f t="shared" si="52"/>
        <v>3.0967779674136104</v>
      </c>
      <c r="N170" s="1">
        <v>1896.04</v>
      </c>
      <c r="O170" s="1">
        <f t="shared" si="53"/>
        <v>3.2778474952362417</v>
      </c>
      <c r="P170" s="1">
        <v>-646.41999999999996</v>
      </c>
      <c r="Q170" s="1" t="e">
        <f ca="1"/>
        <v>#NAME?</v>
      </c>
      <c r="R170" s="1" t="e">
        <f t="shared" ca="1" si="38"/>
        <v>#NAME?</v>
      </c>
      <c r="S170" s="4">
        <v>2766594000000</v>
      </c>
      <c r="T170" s="1">
        <v>130768.33333333299</v>
      </c>
      <c r="U170" s="1" t="e">
        <f ca="1"/>
        <v>#NAME?</v>
      </c>
      <c r="V170" s="1" t="e">
        <f t="shared" ca="1" si="39"/>
        <v>#NAME?</v>
      </c>
      <c r="W170" s="1" t="e">
        <f ca="1"/>
        <v>#NAME?</v>
      </c>
      <c r="X170" s="1" t="e">
        <f t="shared" ca="1" si="40"/>
        <v>#NAME?</v>
      </c>
      <c r="Y170" s="1" t="e">
        <f ca="1"/>
        <v>#NAME?</v>
      </c>
      <c r="Z170" s="1" t="e">
        <f t="shared" ca="1" si="41"/>
        <v>#NAME?</v>
      </c>
      <c r="AA170" s="1" t="e">
        <f ca="1"/>
        <v>#NAME?</v>
      </c>
      <c r="AB170" s="1" t="e">
        <f t="shared" ca="1" si="42"/>
        <v>#NAME?</v>
      </c>
      <c r="AC170" s="1" t="e">
        <f ca="1"/>
        <v>#NAME?</v>
      </c>
      <c r="AD170" s="1" t="e">
        <f t="shared" ca="1" si="43"/>
        <v>#NAME?</v>
      </c>
      <c r="AE170" s="1" t="e">
        <f ca="1"/>
        <v>#NAME?</v>
      </c>
      <c r="AF170" s="1" t="e">
        <f t="shared" ca="1" si="44"/>
        <v>#NAME?</v>
      </c>
      <c r="AG170" s="1" t="e">
        <f ca="1"/>
        <v>#NAME?</v>
      </c>
      <c r="AH170" s="1" t="e">
        <f t="shared" ca="1" si="45"/>
        <v>#NAME?</v>
      </c>
      <c r="AI170" s="1" t="e">
        <f ca="1"/>
        <v>#NAME?</v>
      </c>
      <c r="AJ170" s="1" t="e">
        <f t="shared" ca="1" si="54"/>
        <v>#NAME?</v>
      </c>
      <c r="AK170" s="1" t="e">
        <f ca="1"/>
        <v>#NAME?</v>
      </c>
      <c r="AL170" s="1" t="e">
        <f t="shared" ca="1" si="46"/>
        <v>#NAME?</v>
      </c>
      <c r="AN170" s="1">
        <f t="shared" si="36"/>
        <v>3.4532777881677852</v>
      </c>
      <c r="AO170" s="1" t="e">
        <f ca="1"/>
        <v>#NAME?</v>
      </c>
      <c r="AP170" s="1" t="e">
        <f t="shared" ca="1" si="37"/>
        <v>#NAME?</v>
      </c>
    </row>
    <row r="171" spans="1:42" x14ac:dyDescent="0.25">
      <c r="A171" s="1" t="s">
        <v>186</v>
      </c>
      <c r="B171" s="1">
        <v>170</v>
      </c>
      <c r="C171" s="1">
        <v>13477.356</v>
      </c>
      <c r="D171" s="1">
        <f t="shared" si="47"/>
        <v>4.1296047002677305</v>
      </c>
      <c r="E171" s="1">
        <v>9073.2119999999995</v>
      </c>
      <c r="F171" s="1">
        <f t="shared" si="48"/>
        <v>3.9577610584970873</v>
      </c>
      <c r="G171" s="1">
        <v>2206.375</v>
      </c>
      <c r="H171" s="1">
        <f t="shared" si="49"/>
        <v>3.3436793279545269</v>
      </c>
      <c r="I171" s="1">
        <v>2879.2820000000002</v>
      </c>
      <c r="J171" s="1">
        <f t="shared" si="50"/>
        <v>0.21363849111057095</v>
      </c>
      <c r="K171" s="1">
        <f t="shared" si="51"/>
        <v>3.4592842022334929</v>
      </c>
      <c r="L171" s="1">
        <v>1286.817</v>
      </c>
      <c r="M171" s="1">
        <f t="shared" si="52"/>
        <v>3.1095167896851885</v>
      </c>
      <c r="N171" s="1">
        <v>1959.578</v>
      </c>
      <c r="O171" s="1">
        <f t="shared" si="53"/>
        <v>3.2921625550278963</v>
      </c>
      <c r="P171" s="1">
        <v>-672.76099999999997</v>
      </c>
      <c r="Q171" s="1" t="e">
        <f ca="1"/>
        <v>#NAME?</v>
      </c>
      <c r="R171" s="1" t="e">
        <f t="shared" ca="1" si="38"/>
        <v>#NAME?</v>
      </c>
      <c r="S171" s="4">
        <v>2767098000000</v>
      </c>
      <c r="T171" s="1">
        <v>130644.33333333299</v>
      </c>
      <c r="U171" s="1" t="e">
        <f ca="1"/>
        <v>#NAME?</v>
      </c>
      <c r="V171" s="1" t="e">
        <f t="shared" ca="1" si="39"/>
        <v>#NAME?</v>
      </c>
      <c r="W171" s="1" t="e">
        <f ca="1"/>
        <v>#NAME?</v>
      </c>
      <c r="X171" s="1" t="e">
        <f t="shared" ca="1" si="40"/>
        <v>#NAME?</v>
      </c>
      <c r="Y171" s="1" t="e">
        <f ca="1"/>
        <v>#NAME?</v>
      </c>
      <c r="Z171" s="1" t="e">
        <f t="shared" ca="1" si="41"/>
        <v>#NAME?</v>
      </c>
      <c r="AA171" s="1" t="e">
        <f ca="1"/>
        <v>#NAME?</v>
      </c>
      <c r="AB171" s="1" t="e">
        <f t="shared" ca="1" si="42"/>
        <v>#NAME?</v>
      </c>
      <c r="AC171" s="1" t="e">
        <f ca="1"/>
        <v>#NAME?</v>
      </c>
      <c r="AD171" s="1" t="e">
        <f t="shared" ca="1" si="43"/>
        <v>#NAME?</v>
      </c>
      <c r="AE171" s="1" t="e">
        <f ca="1"/>
        <v>#NAME?</v>
      </c>
      <c r="AF171" s="1" t="e">
        <f t="shared" ca="1" si="44"/>
        <v>#NAME?</v>
      </c>
      <c r="AG171" s="1" t="e">
        <f ca="1"/>
        <v>#NAME?</v>
      </c>
      <c r="AH171" s="1" t="e">
        <f t="shared" ca="1" si="45"/>
        <v>#NAME?</v>
      </c>
      <c r="AI171" s="1" t="e">
        <f ca="1"/>
        <v>#NAME?</v>
      </c>
      <c r="AJ171" s="1" t="e">
        <f t="shared" ca="1" si="54"/>
        <v>#NAME?</v>
      </c>
      <c r="AK171" s="1" t="e">
        <f ca="1"/>
        <v>#NAME?</v>
      </c>
      <c r="AL171" s="1" t="e">
        <f t="shared" ca="1" si="46"/>
        <v>#NAME?</v>
      </c>
      <c r="AN171" s="1">
        <f t="shared" si="36"/>
        <v>3.4561778963889349</v>
      </c>
      <c r="AO171" s="1" t="e">
        <f ca="1"/>
        <v>#NAME?</v>
      </c>
      <c r="AP171" s="1" t="e">
        <f t="shared" ca="1" si="37"/>
        <v>#NAME?</v>
      </c>
    </row>
    <row r="172" spans="1:42" x14ac:dyDescent="0.25">
      <c r="A172" s="1" t="s">
        <v>187</v>
      </c>
      <c r="B172" s="1">
        <v>171</v>
      </c>
      <c r="C172" s="1">
        <v>13531.741</v>
      </c>
      <c r="D172" s="1">
        <f t="shared" si="47"/>
        <v>4.1313536767196029</v>
      </c>
      <c r="E172" s="1">
        <v>9136.7090000000007</v>
      </c>
      <c r="F172" s="1">
        <f t="shared" si="48"/>
        <v>3.9607897930515552</v>
      </c>
      <c r="G172" s="1">
        <v>2203.1089999999999</v>
      </c>
      <c r="H172" s="1">
        <f t="shared" si="49"/>
        <v>3.3430359846348661</v>
      </c>
      <c r="I172" s="1">
        <v>2894.18</v>
      </c>
      <c r="J172" s="1">
        <f t="shared" si="50"/>
        <v>0.21388083026419141</v>
      </c>
      <c r="K172" s="1">
        <f t="shared" si="51"/>
        <v>3.4615255380393264</v>
      </c>
      <c r="L172" s="1">
        <v>1290.8679999999999</v>
      </c>
      <c r="M172" s="1">
        <f t="shared" si="52"/>
        <v>3.1108818349832741</v>
      </c>
      <c r="N172" s="1">
        <v>1984.492</v>
      </c>
      <c r="O172" s="1">
        <f t="shared" si="53"/>
        <v>3.2976493524934427</v>
      </c>
      <c r="P172" s="1">
        <v>-693.62400000000002</v>
      </c>
      <c r="Q172" s="1" t="e">
        <f ca="1"/>
        <v>#NAME?</v>
      </c>
      <c r="R172" s="1" t="e">
        <f t="shared" ca="1" si="38"/>
        <v>#NAME?</v>
      </c>
      <c r="S172" s="4">
        <v>2772502000000</v>
      </c>
      <c r="T172" s="1">
        <v>130556</v>
      </c>
      <c r="U172" s="1" t="e">
        <f ca="1"/>
        <v>#NAME?</v>
      </c>
      <c r="V172" s="1" t="e">
        <f t="shared" ca="1" si="39"/>
        <v>#NAME?</v>
      </c>
      <c r="W172" s="1" t="e">
        <f ca="1"/>
        <v>#NAME?</v>
      </c>
      <c r="X172" s="1" t="e">
        <f t="shared" ca="1" si="40"/>
        <v>#NAME?</v>
      </c>
      <c r="Y172" s="1" t="e">
        <f ca="1"/>
        <v>#NAME?</v>
      </c>
      <c r="Z172" s="1" t="e">
        <f t="shared" ca="1" si="41"/>
        <v>#NAME?</v>
      </c>
      <c r="AA172" s="1" t="e">
        <f ca="1"/>
        <v>#NAME?</v>
      </c>
      <c r="AB172" s="1" t="e">
        <f t="shared" ca="1" si="42"/>
        <v>#NAME?</v>
      </c>
      <c r="AC172" s="1" t="e">
        <f ca="1"/>
        <v>#NAME?</v>
      </c>
      <c r="AD172" s="1" t="e">
        <f t="shared" ca="1" si="43"/>
        <v>#NAME?</v>
      </c>
      <c r="AE172" s="1" t="e">
        <f ca="1"/>
        <v>#NAME?</v>
      </c>
      <c r="AF172" s="1" t="e">
        <f t="shared" ca="1" si="44"/>
        <v>#NAME?</v>
      </c>
      <c r="AG172" s="1" t="e">
        <f ca="1"/>
        <v>#NAME?</v>
      </c>
      <c r="AH172" s="1" t="e">
        <f t="shared" ca="1" si="45"/>
        <v>#NAME?</v>
      </c>
      <c r="AI172" s="1" t="e">
        <f ca="1"/>
        <v>#NAME?</v>
      </c>
      <c r="AJ172" s="1" t="e">
        <f t="shared" ca="1" si="54"/>
        <v>#NAME?</v>
      </c>
      <c r="AK172" s="1" t="e">
        <f ca="1"/>
        <v>#NAME?</v>
      </c>
      <c r="AL172" s="1" t="e">
        <f t="shared" ca="1" si="46"/>
        <v>#NAME?</v>
      </c>
      <c r="AN172" s="1">
        <f t="shared" si="36"/>
        <v>3.457809829406858</v>
      </c>
      <c r="AO172" s="1" t="e">
        <f ca="1"/>
        <v>#NAME?</v>
      </c>
      <c r="AP172" s="1" t="e">
        <f t="shared" ca="1" si="37"/>
        <v>#NAME?</v>
      </c>
    </row>
    <row r="173" spans="1:42" x14ac:dyDescent="0.25">
      <c r="A173" s="1" t="s">
        <v>188</v>
      </c>
      <c r="B173" s="1">
        <v>172</v>
      </c>
      <c r="C173" s="1">
        <v>13549.421</v>
      </c>
      <c r="D173" s="1">
        <f t="shared" si="47"/>
        <v>4.1319207371382749</v>
      </c>
      <c r="E173" s="1">
        <v>9187.527</v>
      </c>
      <c r="F173" s="1">
        <f t="shared" si="48"/>
        <v>3.9631986283843634</v>
      </c>
      <c r="G173" s="1">
        <v>2201.7489999999998</v>
      </c>
      <c r="H173" s="1">
        <f t="shared" si="49"/>
        <v>3.3427678077655294</v>
      </c>
      <c r="I173" s="1">
        <v>2915.62</v>
      </c>
      <c r="J173" s="1">
        <f t="shared" si="50"/>
        <v>0.21518410270077221</v>
      </c>
      <c r="K173" s="1">
        <f t="shared" si="51"/>
        <v>3.4647309206551395</v>
      </c>
      <c r="L173" s="1">
        <v>1271.796</v>
      </c>
      <c r="M173" s="1">
        <f t="shared" si="52"/>
        <v>3.1044174547247612</v>
      </c>
      <c r="N173" s="1">
        <v>2020.124</v>
      </c>
      <c r="O173" s="1">
        <f t="shared" si="53"/>
        <v>3.3053780282896557</v>
      </c>
      <c r="P173" s="1">
        <v>-748.32799999999997</v>
      </c>
      <c r="Q173" s="1" t="e">
        <f ca="1"/>
        <v>#NAME?</v>
      </c>
      <c r="R173" s="1" t="e">
        <f t="shared" ca="1" si="38"/>
        <v>#NAME?</v>
      </c>
      <c r="S173" s="4">
        <v>2771043000000</v>
      </c>
      <c r="T173" s="1">
        <v>130569.66666666701</v>
      </c>
      <c r="U173" s="1" t="e">
        <f ca="1"/>
        <v>#NAME?</v>
      </c>
      <c r="V173" s="1" t="e">
        <f t="shared" ca="1" si="39"/>
        <v>#NAME?</v>
      </c>
      <c r="W173" s="1" t="e">
        <f ca="1"/>
        <v>#NAME?</v>
      </c>
      <c r="X173" s="1" t="e">
        <f t="shared" ca="1" si="40"/>
        <v>#NAME?</v>
      </c>
      <c r="Y173" s="1" t="e">
        <f ca="1"/>
        <v>#NAME?</v>
      </c>
      <c r="Z173" s="1" t="e">
        <f t="shared" ca="1" si="41"/>
        <v>#NAME?</v>
      </c>
      <c r="AA173" s="1" t="e">
        <f ca="1"/>
        <v>#NAME?</v>
      </c>
      <c r="AB173" s="1" t="e">
        <f t="shared" ca="1" si="42"/>
        <v>#NAME?</v>
      </c>
      <c r="AC173" s="1" t="e">
        <f ca="1"/>
        <v>#NAME?</v>
      </c>
      <c r="AD173" s="1" t="e">
        <f t="shared" ca="1" si="43"/>
        <v>#NAME?</v>
      </c>
      <c r="AE173" s="1" t="e">
        <f ca="1"/>
        <v>#NAME?</v>
      </c>
      <c r="AF173" s="1" t="e">
        <f t="shared" ca="1" si="44"/>
        <v>#NAME?</v>
      </c>
      <c r="AG173" s="1" t="e">
        <f ca="1"/>
        <v>#NAME?</v>
      </c>
      <c r="AH173" s="1" t="e">
        <f t="shared" ca="1" si="45"/>
        <v>#NAME?</v>
      </c>
      <c r="AI173" s="1" t="e">
        <f ca="1"/>
        <v>#NAME?</v>
      </c>
      <c r="AJ173" s="1" t="e">
        <f t="shared" ca="1" si="54"/>
        <v>#NAME?</v>
      </c>
      <c r="AK173" s="1" t="e">
        <f ca="1"/>
        <v>#NAME?</v>
      </c>
      <c r="AL173" s="1" t="e">
        <f t="shared" ca="1" si="46"/>
        <v>#NAME?</v>
      </c>
      <c r="AN173" s="1">
        <f t="shared" si="36"/>
        <v>3.458430092665246</v>
      </c>
      <c r="AO173" s="1" t="e">
        <f ca="1"/>
        <v>#NAME?</v>
      </c>
      <c r="AP173" s="1" t="e">
        <f t="shared" ca="1" si="37"/>
        <v>#NAME?</v>
      </c>
    </row>
    <row r="174" spans="1:42" x14ac:dyDescent="0.25">
      <c r="A174" s="1" t="s">
        <v>189</v>
      </c>
      <c r="B174" s="1">
        <v>173</v>
      </c>
      <c r="C174" s="1">
        <v>13619.433999999999</v>
      </c>
      <c r="D174" s="1">
        <f t="shared" si="47"/>
        <v>4.1341590594281303</v>
      </c>
      <c r="E174" s="1">
        <v>9232.7819999999992</v>
      </c>
      <c r="F174" s="1">
        <f t="shared" si="48"/>
        <v>3.9653325813296276</v>
      </c>
      <c r="G174" s="1">
        <v>2218.6849999999999</v>
      </c>
      <c r="H174" s="1">
        <f t="shared" si="49"/>
        <v>3.3460956472195282</v>
      </c>
      <c r="I174" s="1">
        <v>2917.8670000000002</v>
      </c>
      <c r="J174" s="1">
        <f t="shared" si="50"/>
        <v>0.21424289731864044</v>
      </c>
      <c r="K174" s="1">
        <f t="shared" si="51"/>
        <v>3.4650654923269717</v>
      </c>
      <c r="L174" s="1">
        <v>1267.886</v>
      </c>
      <c r="M174" s="1">
        <f t="shared" si="52"/>
        <v>3.1030802063874661</v>
      </c>
      <c r="N174" s="1">
        <v>2011.3309999999999</v>
      </c>
      <c r="O174" s="1">
        <f t="shared" si="53"/>
        <v>3.3034835472971102</v>
      </c>
      <c r="P174" s="1">
        <v>-743.44500000000005</v>
      </c>
      <c r="Q174" s="1" t="e">
        <f ca="1"/>
        <v>#NAME?</v>
      </c>
      <c r="R174" s="1" t="e">
        <f t="shared" ca="1" si="38"/>
        <v>#NAME?</v>
      </c>
      <c r="S174" s="4">
        <v>2791343000000</v>
      </c>
      <c r="T174" s="1">
        <v>130418.33333333299</v>
      </c>
      <c r="U174" s="1" t="e">
        <f ca="1"/>
        <v>#NAME?</v>
      </c>
      <c r="V174" s="1" t="e">
        <f t="shared" ca="1" si="39"/>
        <v>#NAME?</v>
      </c>
      <c r="W174" s="1" t="e">
        <f ca="1"/>
        <v>#NAME?</v>
      </c>
      <c r="X174" s="1" t="e">
        <f t="shared" ca="1" si="40"/>
        <v>#NAME?</v>
      </c>
      <c r="Y174" s="1" t="e">
        <f ca="1"/>
        <v>#NAME?</v>
      </c>
      <c r="Z174" s="1" t="e">
        <f t="shared" ca="1" si="41"/>
        <v>#NAME?</v>
      </c>
      <c r="AA174" s="1" t="e">
        <f ca="1"/>
        <v>#NAME?</v>
      </c>
      <c r="AB174" s="1" t="e">
        <f t="shared" ca="1" si="42"/>
        <v>#NAME?</v>
      </c>
      <c r="AC174" s="1" t="e">
        <f ca="1"/>
        <v>#NAME?</v>
      </c>
      <c r="AD174" s="1" t="e">
        <f t="shared" ca="1" si="43"/>
        <v>#NAME?</v>
      </c>
      <c r="AE174" s="1" t="e">
        <f ca="1"/>
        <v>#NAME?</v>
      </c>
      <c r="AF174" s="1" t="e">
        <f t="shared" ca="1" si="44"/>
        <v>#NAME?</v>
      </c>
      <c r="AG174" s="1" t="e">
        <f ca="1"/>
        <v>#NAME?</v>
      </c>
      <c r="AH174" s="1" t="e">
        <f t="shared" ca="1" si="45"/>
        <v>#NAME?</v>
      </c>
      <c r="AI174" s="1" t="e">
        <f ca="1"/>
        <v>#NAME?</v>
      </c>
      <c r="AJ174" s="1" t="e">
        <f t="shared" ca="1" si="54"/>
        <v>#NAME?</v>
      </c>
      <c r="AK174" s="1" t="e">
        <f ca="1"/>
        <v>#NAME?</v>
      </c>
      <c r="AL174" s="1" t="e">
        <f t="shared" ca="1" si="46"/>
        <v>#NAME?</v>
      </c>
      <c r="AN174" s="1">
        <f t="shared" si="36"/>
        <v>3.4598495719576752</v>
      </c>
      <c r="AO174" s="1" t="e">
        <f ca="1"/>
        <v>#NAME?</v>
      </c>
      <c r="AP174" s="1" t="e">
        <f t="shared" ca="1" si="37"/>
        <v>#NAME?</v>
      </c>
    </row>
    <row r="175" spans="1:42" x14ac:dyDescent="0.25">
      <c r="A175" s="1" t="s">
        <v>190</v>
      </c>
      <c r="B175" s="1">
        <v>174</v>
      </c>
      <c r="C175" s="1">
        <v>13741.107</v>
      </c>
      <c r="D175" s="1">
        <f t="shared" si="47"/>
        <v>4.1380217214153427</v>
      </c>
      <c r="E175" s="1">
        <v>9338.4950000000008</v>
      </c>
      <c r="F175" s="1">
        <f t="shared" si="48"/>
        <v>3.9702768905918844</v>
      </c>
      <c r="G175" s="1">
        <v>2233.9969999999998</v>
      </c>
      <c r="H175" s="1">
        <f t="shared" si="49"/>
        <v>3.3490825855726429</v>
      </c>
      <c r="I175" s="1">
        <v>2944.7190000000001</v>
      </c>
      <c r="J175" s="1">
        <f t="shared" si="50"/>
        <v>0.21429998325462424</v>
      </c>
      <c r="K175" s="1">
        <f t="shared" si="51"/>
        <v>3.4690438585214527</v>
      </c>
      <c r="L175" s="1">
        <v>1270.133</v>
      </c>
      <c r="M175" s="1">
        <f t="shared" si="52"/>
        <v>3.1038491998077697</v>
      </c>
      <c r="N175" s="1">
        <v>2040.6510000000001</v>
      </c>
      <c r="O175" s="1">
        <f t="shared" si="53"/>
        <v>3.3097687363503754</v>
      </c>
      <c r="P175" s="1">
        <v>-770.51800000000003</v>
      </c>
      <c r="Q175" s="1" t="e">
        <f ca="1"/>
        <v>#NAME?</v>
      </c>
      <c r="R175" s="1" t="e">
        <f t="shared" ca="1" si="38"/>
        <v>#NAME?</v>
      </c>
      <c r="S175" s="4">
        <v>2845772000000</v>
      </c>
      <c r="T175" s="1">
        <v>130188.33333333299</v>
      </c>
      <c r="U175" s="1" t="e">
        <f ca="1"/>
        <v>#NAME?</v>
      </c>
      <c r="V175" s="1" t="e">
        <f t="shared" ca="1" si="39"/>
        <v>#NAME?</v>
      </c>
      <c r="W175" s="1" t="e">
        <f ca="1"/>
        <v>#NAME?</v>
      </c>
      <c r="X175" s="1" t="e">
        <f t="shared" ca="1" si="40"/>
        <v>#NAME?</v>
      </c>
      <c r="Y175" s="1" t="e">
        <f ca="1"/>
        <v>#NAME?</v>
      </c>
      <c r="Z175" s="1" t="e">
        <f t="shared" ca="1" si="41"/>
        <v>#NAME?</v>
      </c>
      <c r="AA175" s="1" t="e">
        <f ca="1"/>
        <v>#NAME?</v>
      </c>
      <c r="AB175" s="1" t="e">
        <f t="shared" ca="1" si="42"/>
        <v>#NAME?</v>
      </c>
      <c r="AC175" s="1" t="e">
        <f ca="1"/>
        <v>#NAME?</v>
      </c>
      <c r="AD175" s="1" t="e">
        <f t="shared" ca="1" si="43"/>
        <v>#NAME?</v>
      </c>
      <c r="AE175" s="1" t="e">
        <f ca="1"/>
        <v>#NAME?</v>
      </c>
      <c r="AF175" s="1" t="e">
        <f t="shared" ca="1" si="44"/>
        <v>#NAME?</v>
      </c>
      <c r="AG175" s="1" t="e">
        <f ca="1"/>
        <v>#NAME?</v>
      </c>
      <c r="AH175" s="1" t="e">
        <f t="shared" ca="1" si="45"/>
        <v>#NAME?</v>
      </c>
      <c r="AI175" s="1" t="e">
        <f ca="1"/>
        <v>#NAME?</v>
      </c>
      <c r="AJ175" s="1" t="e">
        <f t="shared" ca="1" si="54"/>
        <v>#NAME?</v>
      </c>
      <c r="AK175" s="1" t="e">
        <f ca="1"/>
        <v>#NAME?</v>
      </c>
      <c r="AL175" s="1" t="e">
        <f t="shared" ca="1" si="46"/>
        <v>#NAME?</v>
      </c>
      <c r="AN175" s="1">
        <f t="shared" si="36"/>
        <v>3.4611835616921667</v>
      </c>
      <c r="AO175" s="1" t="e">
        <f ca="1"/>
        <v>#NAME?</v>
      </c>
      <c r="AP175" s="1" t="e">
        <f t="shared" ca="1" si="37"/>
        <v>#NAME?</v>
      </c>
    </row>
    <row r="176" spans="1:42" x14ac:dyDescent="0.25">
      <c r="A176" s="1" t="s">
        <v>191</v>
      </c>
      <c r="B176" s="1">
        <v>175</v>
      </c>
      <c r="C176" s="1">
        <v>13970.156999999999</v>
      </c>
      <c r="D176" s="1">
        <f t="shared" si="47"/>
        <v>4.145201286847934</v>
      </c>
      <c r="E176" s="1">
        <v>9470.5409999999993</v>
      </c>
      <c r="F176" s="1">
        <f t="shared" si="48"/>
        <v>3.9763747885707268</v>
      </c>
      <c r="G176" s="1">
        <v>2315.3989999999999</v>
      </c>
      <c r="H176" s="1">
        <f t="shared" si="49"/>
        <v>3.3646258413872006</v>
      </c>
      <c r="I176" s="1">
        <v>2951.221</v>
      </c>
      <c r="J176" s="1">
        <f t="shared" si="50"/>
        <v>0.21125181341913338</v>
      </c>
      <c r="K176" s="1">
        <f t="shared" si="51"/>
        <v>3.4700017325385057</v>
      </c>
      <c r="L176" s="1">
        <v>1304.816</v>
      </c>
      <c r="M176" s="1">
        <f t="shared" si="52"/>
        <v>3.1155492734990395</v>
      </c>
      <c r="N176" s="1">
        <v>2072.6089999999999</v>
      </c>
      <c r="O176" s="1">
        <f t="shared" si="53"/>
        <v>3.3165173796824963</v>
      </c>
      <c r="P176" s="1">
        <v>-767.79300000000001</v>
      </c>
      <c r="Q176" s="1" t="e">
        <f ca="1"/>
        <v>#NAME?</v>
      </c>
      <c r="R176" s="1" t="e">
        <f t="shared" ca="1" si="38"/>
        <v>#NAME?</v>
      </c>
      <c r="S176" s="4">
        <v>2931913000000</v>
      </c>
      <c r="T176" s="1">
        <v>130196</v>
      </c>
      <c r="U176" s="1" t="e">
        <f ca="1"/>
        <v>#NAME?</v>
      </c>
      <c r="V176" s="1" t="e">
        <f t="shared" ca="1" si="39"/>
        <v>#NAME?</v>
      </c>
      <c r="W176" s="1" t="e">
        <f ca="1"/>
        <v>#NAME?</v>
      </c>
      <c r="X176" s="1" t="e">
        <f t="shared" ca="1" si="40"/>
        <v>#NAME?</v>
      </c>
      <c r="Y176" s="1" t="e">
        <f ca="1"/>
        <v>#NAME?</v>
      </c>
      <c r="Z176" s="1" t="e">
        <f t="shared" ca="1" si="41"/>
        <v>#NAME?</v>
      </c>
      <c r="AA176" s="1" t="e">
        <f ca="1"/>
        <v>#NAME?</v>
      </c>
      <c r="AB176" s="1" t="e">
        <f t="shared" ca="1" si="42"/>
        <v>#NAME?</v>
      </c>
      <c r="AC176" s="1" t="e">
        <f ca="1"/>
        <v>#NAME?</v>
      </c>
      <c r="AD176" s="1" t="e">
        <f t="shared" ca="1" si="43"/>
        <v>#NAME?</v>
      </c>
      <c r="AE176" s="1" t="e">
        <f ca="1"/>
        <v>#NAME?</v>
      </c>
      <c r="AF176" s="1" t="e">
        <f t="shared" ca="1" si="44"/>
        <v>#NAME?</v>
      </c>
      <c r="AG176" s="1" t="e">
        <f ca="1"/>
        <v>#NAME?</v>
      </c>
      <c r="AH176" s="1" t="e">
        <f t="shared" ca="1" si="45"/>
        <v>#NAME?</v>
      </c>
      <c r="AI176" s="1" t="e">
        <f ca="1"/>
        <v>#NAME?</v>
      </c>
      <c r="AJ176" s="1" t="e">
        <f t="shared" ca="1" si="54"/>
        <v>#NAME?</v>
      </c>
      <c r="AK176" s="1" t="e">
        <f ca="1"/>
        <v>#NAME?</v>
      </c>
      <c r="AL176" s="1" t="e">
        <f t="shared" ca="1" si="46"/>
        <v>#NAME?</v>
      </c>
      <c r="AN176" s="1">
        <f t="shared" si="36"/>
        <v>3.4636844077032753</v>
      </c>
      <c r="AO176" s="1" t="e">
        <f ca="1"/>
        <v>#NAME?</v>
      </c>
      <c r="AP176" s="1" t="e">
        <f t="shared" ca="1" si="37"/>
        <v>#NAME?</v>
      </c>
    </row>
    <row r="177" spans="1:42" x14ac:dyDescent="0.25">
      <c r="A177" s="1" t="s">
        <v>192</v>
      </c>
      <c r="B177" s="1">
        <v>176</v>
      </c>
      <c r="C177" s="1">
        <v>14131.379000000001</v>
      </c>
      <c r="D177" s="1">
        <f t="shared" si="47"/>
        <v>4.1501845442171632</v>
      </c>
      <c r="E177" s="1">
        <v>9535.741</v>
      </c>
      <c r="F177" s="1">
        <f t="shared" si="48"/>
        <v>3.9793544466958295</v>
      </c>
      <c r="G177" s="1">
        <v>2393.402</v>
      </c>
      <c r="H177" s="1">
        <f t="shared" si="49"/>
        <v>3.3790156496034025</v>
      </c>
      <c r="I177" s="1">
        <v>2969.1379999999999</v>
      </c>
      <c r="J177" s="1">
        <f t="shared" si="50"/>
        <v>0.21010957246281484</v>
      </c>
      <c r="K177" s="1">
        <f t="shared" si="51"/>
        <v>3.4726303832631724</v>
      </c>
      <c r="L177" s="1">
        <v>1363.499</v>
      </c>
      <c r="M177" s="1">
        <f t="shared" si="52"/>
        <v>3.1346548237630603</v>
      </c>
      <c r="N177" s="1">
        <v>2138.44</v>
      </c>
      <c r="O177" s="1">
        <f t="shared" si="53"/>
        <v>3.3300970694001846</v>
      </c>
      <c r="P177" s="1">
        <v>-774.94100000000003</v>
      </c>
      <c r="Q177" s="1" t="e">
        <f ca="1"/>
        <v>#NAME?</v>
      </c>
      <c r="R177" s="1" t="e">
        <f t="shared" ca="1" si="38"/>
        <v>#NAME?</v>
      </c>
      <c r="S177" s="4">
        <v>2977539000000</v>
      </c>
      <c r="T177" s="1">
        <v>130505.33333333299</v>
      </c>
      <c r="U177" s="1" t="e">
        <f ca="1"/>
        <v>#NAME?</v>
      </c>
      <c r="V177" s="1" t="e">
        <f t="shared" ca="1" si="39"/>
        <v>#NAME?</v>
      </c>
      <c r="W177" s="1" t="e">
        <f ca="1"/>
        <v>#NAME?</v>
      </c>
      <c r="X177" s="1" t="e">
        <f t="shared" ca="1" si="40"/>
        <v>#NAME?</v>
      </c>
      <c r="Y177" s="1" t="e">
        <f ca="1"/>
        <v>#NAME?</v>
      </c>
      <c r="Z177" s="1" t="e">
        <f t="shared" ca="1" si="41"/>
        <v>#NAME?</v>
      </c>
      <c r="AA177" s="1" t="e">
        <f ca="1"/>
        <v>#NAME?</v>
      </c>
      <c r="AB177" s="1" t="e">
        <f t="shared" ca="1" si="42"/>
        <v>#NAME?</v>
      </c>
      <c r="AC177" s="1" t="e">
        <f ca="1"/>
        <v>#NAME?</v>
      </c>
      <c r="AD177" s="1" t="e">
        <f t="shared" ca="1" si="43"/>
        <v>#NAME?</v>
      </c>
      <c r="AE177" s="1" t="e">
        <f ca="1"/>
        <v>#NAME?</v>
      </c>
      <c r="AF177" s="1" t="e">
        <f t="shared" ca="1" si="44"/>
        <v>#NAME?</v>
      </c>
      <c r="AG177" s="1" t="e">
        <f ca="1"/>
        <v>#NAME?</v>
      </c>
      <c r="AH177" s="1" t="e">
        <f t="shared" ca="1" si="45"/>
        <v>#NAME?</v>
      </c>
      <c r="AI177" s="1" t="e">
        <f ca="1"/>
        <v>#NAME?</v>
      </c>
      <c r="AJ177" s="1" t="e">
        <f t="shared" ca="1" si="54"/>
        <v>#NAME?</v>
      </c>
      <c r="AK177" s="1" t="e">
        <f ca="1"/>
        <v>#NAME?</v>
      </c>
      <c r="AL177" s="1" t="e">
        <f t="shared" ca="1" si="46"/>
        <v>#NAME?</v>
      </c>
      <c r="AN177" s="1">
        <f t="shared" si="36"/>
        <v>3.4655937725539205</v>
      </c>
      <c r="AO177" s="1" t="e">
        <f ca="1"/>
        <v>#NAME?</v>
      </c>
      <c r="AP177" s="1" t="e">
        <f t="shared" ca="1" si="37"/>
        <v>#NAME?</v>
      </c>
    </row>
    <row r="178" spans="1:42" x14ac:dyDescent="0.25">
      <c r="A178" s="1" t="s">
        <v>193</v>
      </c>
      <c r="B178" s="1">
        <v>177</v>
      </c>
      <c r="C178" s="1">
        <v>14212.34</v>
      </c>
      <c r="D178" s="1">
        <f t="shared" si="47"/>
        <v>4.1526655885131536</v>
      </c>
      <c r="E178" s="1">
        <v>9624.6489999999994</v>
      </c>
      <c r="F178" s="1">
        <f t="shared" si="48"/>
        <v>3.9833849002436321</v>
      </c>
      <c r="G178" s="1">
        <v>2398.1509999999998</v>
      </c>
      <c r="H178" s="1">
        <f t="shared" si="49"/>
        <v>3.379876525052298</v>
      </c>
      <c r="I178" s="1">
        <v>2982.7350000000001</v>
      </c>
      <c r="J178" s="1">
        <f t="shared" si="50"/>
        <v>0.20986938111528433</v>
      </c>
      <c r="K178" s="1">
        <f t="shared" si="51"/>
        <v>3.4746146703416034</v>
      </c>
      <c r="L178" s="1">
        <v>1394.3109999999999</v>
      </c>
      <c r="M178" s="1">
        <f t="shared" si="52"/>
        <v>3.1443596536182419</v>
      </c>
      <c r="N178" s="1">
        <v>2198.3330000000001</v>
      </c>
      <c r="O178" s="1">
        <f t="shared" si="53"/>
        <v>3.3420934793106345</v>
      </c>
      <c r="P178" s="1">
        <v>-804.02200000000005</v>
      </c>
      <c r="Q178" s="1" t="e">
        <f ca="1"/>
        <v>#NAME?</v>
      </c>
      <c r="R178" s="1" t="e">
        <f t="shared" ca="1" si="38"/>
        <v>#NAME?</v>
      </c>
      <c r="S178" s="4">
        <v>2970264000000</v>
      </c>
      <c r="T178" s="1">
        <v>130908.66666666701</v>
      </c>
      <c r="U178" s="1" t="e">
        <f ca="1"/>
        <v>#NAME?</v>
      </c>
      <c r="V178" s="1" t="e">
        <f t="shared" ca="1" si="39"/>
        <v>#NAME?</v>
      </c>
      <c r="W178" s="1" t="e">
        <f ca="1"/>
        <v>#NAME?</v>
      </c>
      <c r="X178" s="1" t="e">
        <f t="shared" ca="1" si="40"/>
        <v>#NAME?</v>
      </c>
      <c r="Y178" s="1" t="e">
        <f ca="1"/>
        <v>#NAME?</v>
      </c>
      <c r="Z178" s="1" t="e">
        <f t="shared" ca="1" si="41"/>
        <v>#NAME?</v>
      </c>
      <c r="AA178" s="1" t="e">
        <f ca="1"/>
        <v>#NAME?</v>
      </c>
      <c r="AB178" s="1" t="e">
        <f t="shared" ca="1" si="42"/>
        <v>#NAME?</v>
      </c>
      <c r="AC178" s="1" t="e">
        <f ca="1"/>
        <v>#NAME?</v>
      </c>
      <c r="AD178" s="1" t="e">
        <f t="shared" ca="1" si="43"/>
        <v>#NAME?</v>
      </c>
      <c r="AE178" s="1" t="e">
        <f ca="1"/>
        <v>#NAME?</v>
      </c>
      <c r="AF178" s="1" t="e">
        <f t="shared" ca="1" si="44"/>
        <v>#NAME?</v>
      </c>
      <c r="AG178" s="1" t="e">
        <f ca="1"/>
        <v>#NAME?</v>
      </c>
      <c r="AH178" s="1" t="e">
        <f t="shared" ca="1" si="45"/>
        <v>#NAME?</v>
      </c>
      <c r="AI178" s="1" t="e">
        <f ca="1"/>
        <v>#NAME?</v>
      </c>
      <c r="AJ178" s="1" t="e">
        <f t="shared" ca="1" si="54"/>
        <v>#NAME?</v>
      </c>
      <c r="AK178" s="1" t="e">
        <f ca="1"/>
        <v>#NAME?</v>
      </c>
      <c r="AL178" s="1" t="e">
        <f t="shared" ca="1" si="46"/>
        <v>#NAME?</v>
      </c>
      <c r="AN178" s="1">
        <f t="shared" ref="AN178:AN241" si="55">LOG(C178*10^9)-0.36*LOG(S178)-0.64*LOG(T178*10^3)</f>
        <v>3.4675995942738513</v>
      </c>
      <c r="AO178" s="1" t="e">
        <f ca="1"/>
        <v>#NAME?</v>
      </c>
      <c r="AP178" s="1" t="e">
        <f t="shared" ref="AP178:AP241" ca="1" si="56">100*(AN178-AO178)/AO178</f>
        <v>#NAME?</v>
      </c>
    </row>
    <row r="179" spans="1:42" x14ac:dyDescent="0.25">
      <c r="A179" s="1" t="s">
        <v>194</v>
      </c>
      <c r="B179" s="1">
        <v>178</v>
      </c>
      <c r="C179" s="1">
        <v>14323.017</v>
      </c>
      <c r="D179" s="1">
        <f t="shared" si="47"/>
        <v>4.1560345073883846</v>
      </c>
      <c r="E179" s="1">
        <v>9677.1659999999993</v>
      </c>
      <c r="F179" s="1">
        <f t="shared" si="48"/>
        <v>3.98574819090702</v>
      </c>
      <c r="G179" s="1">
        <v>2493.9450000000002</v>
      </c>
      <c r="H179" s="1">
        <f t="shared" si="49"/>
        <v>3.3968868715723999</v>
      </c>
      <c r="I179" s="1">
        <v>2990.8240000000001</v>
      </c>
      <c r="J179" s="1">
        <f t="shared" si="50"/>
        <v>0.20881243106811925</v>
      </c>
      <c r="K179" s="1">
        <f t="shared" si="51"/>
        <v>3.4757908570039802</v>
      </c>
      <c r="L179" s="1">
        <v>1423.51</v>
      </c>
      <c r="M179" s="1">
        <f t="shared" si="52"/>
        <v>3.1533605223642978</v>
      </c>
      <c r="N179" s="1">
        <v>2284.933</v>
      </c>
      <c r="O179" s="1">
        <f t="shared" si="53"/>
        <v>3.3588734699827212</v>
      </c>
      <c r="P179" s="1">
        <v>-861.423</v>
      </c>
      <c r="Q179" s="1" t="e">
        <f ca="1"/>
        <v>#NAME?</v>
      </c>
      <c r="R179" s="1" t="e">
        <f t="shared" ca="1" si="38"/>
        <v>#NAME?</v>
      </c>
      <c r="S179" s="4">
        <v>3039986000000</v>
      </c>
      <c r="T179" s="1">
        <v>131631</v>
      </c>
      <c r="U179" s="1" t="e">
        <f ca="1"/>
        <v>#NAME?</v>
      </c>
      <c r="V179" s="1" t="e">
        <f t="shared" ca="1" si="39"/>
        <v>#NAME?</v>
      </c>
      <c r="W179" s="1" t="e">
        <f ca="1"/>
        <v>#NAME?</v>
      </c>
      <c r="X179" s="1" t="e">
        <f t="shared" ca="1" si="40"/>
        <v>#NAME?</v>
      </c>
      <c r="Y179" s="1" t="e">
        <f ca="1"/>
        <v>#NAME?</v>
      </c>
      <c r="Z179" s="1" t="e">
        <f t="shared" ca="1" si="41"/>
        <v>#NAME?</v>
      </c>
      <c r="AA179" s="1" t="e">
        <f ca="1"/>
        <v>#NAME?</v>
      </c>
      <c r="AB179" s="1" t="e">
        <f t="shared" ca="1" si="42"/>
        <v>#NAME?</v>
      </c>
      <c r="AC179" s="1" t="e">
        <f ca="1"/>
        <v>#NAME?</v>
      </c>
      <c r="AD179" s="1" t="e">
        <f t="shared" ca="1" si="43"/>
        <v>#NAME?</v>
      </c>
      <c r="AE179" s="1" t="e">
        <f ca="1"/>
        <v>#NAME?</v>
      </c>
      <c r="AF179" s="1" t="e">
        <f t="shared" ca="1" si="44"/>
        <v>#NAME?</v>
      </c>
      <c r="AG179" s="1" t="e">
        <f ca="1"/>
        <v>#NAME?</v>
      </c>
      <c r="AH179" s="1" t="e">
        <f t="shared" ca="1" si="45"/>
        <v>#NAME?</v>
      </c>
      <c r="AI179" s="1" t="e">
        <f ca="1"/>
        <v>#NAME?</v>
      </c>
      <c r="AJ179" s="1" t="e">
        <f t="shared" ca="1" si="54"/>
        <v>#NAME?</v>
      </c>
      <c r="AK179" s="1" t="e">
        <f ca="1"/>
        <v>#NAME?</v>
      </c>
      <c r="AL179" s="1" t="e">
        <f t="shared" ca="1" si="46"/>
        <v>#NAME?</v>
      </c>
      <c r="AN179" s="1">
        <f t="shared" si="55"/>
        <v>3.4658115016946702</v>
      </c>
      <c r="AO179" s="1" t="e">
        <f ca="1"/>
        <v>#NAME?</v>
      </c>
      <c r="AP179" s="1" t="e">
        <f t="shared" ca="1" si="56"/>
        <v>#NAME?</v>
      </c>
    </row>
    <row r="180" spans="1:42" x14ac:dyDescent="0.25">
      <c r="A180" s="1" t="s">
        <v>195</v>
      </c>
      <c r="B180" s="1">
        <v>179</v>
      </c>
      <c r="C180" s="1">
        <v>14457.832</v>
      </c>
      <c r="D180" s="1">
        <f t="shared" si="47"/>
        <v>4.1601031739386265</v>
      </c>
      <c r="E180" s="1">
        <v>9790.8359999999993</v>
      </c>
      <c r="F180" s="1">
        <f t="shared" si="48"/>
        <v>3.9908197760407149</v>
      </c>
      <c r="G180" s="1">
        <v>2532.6350000000002</v>
      </c>
      <c r="H180" s="1">
        <f t="shared" si="49"/>
        <v>3.4035726043550918</v>
      </c>
      <c r="I180" s="1">
        <v>2996.3339999999998</v>
      </c>
      <c r="J180" s="1">
        <f t="shared" si="50"/>
        <v>0.20724642532850013</v>
      </c>
      <c r="K180" s="1">
        <f t="shared" si="51"/>
        <v>3.4765902223358678</v>
      </c>
      <c r="L180" s="1">
        <v>1428.1790000000001</v>
      </c>
      <c r="M180" s="1">
        <f t="shared" si="52"/>
        <v>3.1547826429026125</v>
      </c>
      <c r="N180" s="1">
        <v>2316.6039999999998</v>
      </c>
      <c r="O180" s="1">
        <f t="shared" si="53"/>
        <v>3.3648518018896008</v>
      </c>
      <c r="P180" s="1">
        <v>-888.42499999999995</v>
      </c>
      <c r="Q180" s="1" t="e">
        <f ca="1"/>
        <v>#NAME?</v>
      </c>
      <c r="R180" s="1" t="e">
        <f t="shared" ca="1" si="38"/>
        <v>#NAME?</v>
      </c>
      <c r="S180" s="4">
        <v>3091579000000</v>
      </c>
      <c r="T180" s="1">
        <v>131955.66666666701</v>
      </c>
      <c r="U180" s="1" t="e">
        <f ca="1"/>
        <v>#NAME?</v>
      </c>
      <c r="V180" s="1" t="e">
        <f t="shared" ca="1" si="39"/>
        <v>#NAME?</v>
      </c>
      <c r="W180" s="1" t="e">
        <f ca="1"/>
        <v>#NAME?</v>
      </c>
      <c r="X180" s="1" t="e">
        <f t="shared" ca="1" si="40"/>
        <v>#NAME?</v>
      </c>
      <c r="Y180" s="1" t="e">
        <f ca="1"/>
        <v>#NAME?</v>
      </c>
      <c r="Z180" s="1" t="e">
        <f t="shared" ca="1" si="41"/>
        <v>#NAME?</v>
      </c>
      <c r="AA180" s="1" t="e">
        <f ca="1"/>
        <v>#NAME?</v>
      </c>
      <c r="AB180" s="1" t="e">
        <f t="shared" ca="1" si="42"/>
        <v>#NAME?</v>
      </c>
      <c r="AC180" s="1" t="e">
        <f ca="1"/>
        <v>#NAME?</v>
      </c>
      <c r="AD180" s="1" t="e">
        <f t="shared" ca="1" si="43"/>
        <v>#NAME?</v>
      </c>
      <c r="AE180" s="1" t="e">
        <f ca="1"/>
        <v>#NAME?</v>
      </c>
      <c r="AF180" s="1" t="e">
        <f t="shared" ca="1" si="44"/>
        <v>#NAME?</v>
      </c>
      <c r="AG180" s="1" t="e">
        <f ca="1"/>
        <v>#NAME?</v>
      </c>
      <c r="AH180" s="1" t="e">
        <f t="shared" ca="1" si="45"/>
        <v>#NAME?</v>
      </c>
      <c r="AI180" s="1" t="e">
        <f ca="1"/>
        <v>#NAME?</v>
      </c>
      <c r="AJ180" s="1" t="e">
        <f t="shared" ca="1" si="54"/>
        <v>#NAME?</v>
      </c>
      <c r="AK180" s="1" t="e">
        <f ca="1"/>
        <v>#NAME?</v>
      </c>
      <c r="AL180" s="1" t="e">
        <f t="shared" ca="1" si="46"/>
        <v>#NAME?</v>
      </c>
      <c r="AN180" s="1">
        <f t="shared" si="55"/>
        <v>3.4665642995204831</v>
      </c>
      <c r="AO180" s="1" t="e">
        <f ca="1"/>
        <v>#NAME?</v>
      </c>
      <c r="AP180" s="1" t="e">
        <f t="shared" ca="1" si="56"/>
        <v>#NAME?</v>
      </c>
    </row>
    <row r="181" spans="1:42" x14ac:dyDescent="0.25">
      <c r="A181" s="1" t="s">
        <v>196</v>
      </c>
      <c r="B181" s="1">
        <v>180</v>
      </c>
      <c r="C181" s="1">
        <v>14605.594999999999</v>
      </c>
      <c r="D181" s="1">
        <f t="shared" si="47"/>
        <v>4.1645192538774038</v>
      </c>
      <c r="E181" s="1">
        <v>9901.58</v>
      </c>
      <c r="F181" s="1">
        <f t="shared" si="48"/>
        <v>3.9957045007117955</v>
      </c>
      <c r="G181" s="1">
        <v>2585.4769999999999</v>
      </c>
      <c r="H181" s="1">
        <f t="shared" si="49"/>
        <v>3.4125406787093211</v>
      </c>
      <c r="I181" s="1">
        <v>2994.627</v>
      </c>
      <c r="J181" s="1">
        <f t="shared" si="50"/>
        <v>0.20503286582984123</v>
      </c>
      <c r="K181" s="1">
        <f t="shared" si="51"/>
        <v>3.4763427359307082</v>
      </c>
      <c r="L181" s="1">
        <v>1462.0809999999999</v>
      </c>
      <c r="M181" s="1">
        <f t="shared" si="52"/>
        <v>3.1649714334143049</v>
      </c>
      <c r="N181" s="1">
        <v>2370.5630000000001</v>
      </c>
      <c r="O181" s="1">
        <f t="shared" si="53"/>
        <v>3.3748515016034211</v>
      </c>
      <c r="P181" s="1">
        <v>-908.48199999999997</v>
      </c>
      <c r="Q181" s="1" t="e">
        <f ca="1"/>
        <v>#NAME?</v>
      </c>
      <c r="R181" s="1" t="e">
        <f t="shared" ca="1" si="38"/>
        <v>#NAME?</v>
      </c>
      <c r="S181" s="4">
        <v>3136705000000</v>
      </c>
      <c r="T181" s="1">
        <v>132525</v>
      </c>
      <c r="U181" s="1" t="e">
        <f ca="1"/>
        <v>#NAME?</v>
      </c>
      <c r="V181" s="1" t="e">
        <f t="shared" ca="1" si="39"/>
        <v>#NAME?</v>
      </c>
      <c r="W181" s="1" t="e">
        <f ca="1"/>
        <v>#NAME?</v>
      </c>
      <c r="X181" s="1" t="e">
        <f t="shared" ca="1" si="40"/>
        <v>#NAME?</v>
      </c>
      <c r="Y181" s="1" t="e">
        <f ca="1"/>
        <v>#NAME?</v>
      </c>
      <c r="Z181" s="1" t="e">
        <f t="shared" ca="1" si="41"/>
        <v>#NAME?</v>
      </c>
      <c r="AA181" s="1" t="e">
        <f ca="1"/>
        <v>#NAME?</v>
      </c>
      <c r="AB181" s="1" t="e">
        <f t="shared" ca="1" si="42"/>
        <v>#NAME?</v>
      </c>
      <c r="AC181" s="1" t="e">
        <f ca="1"/>
        <v>#NAME?</v>
      </c>
      <c r="AD181" s="1" t="e">
        <f t="shared" ca="1" si="43"/>
        <v>#NAME?</v>
      </c>
      <c r="AE181" s="1" t="e">
        <f ca="1"/>
        <v>#NAME?</v>
      </c>
      <c r="AF181" s="1" t="e">
        <f t="shared" ca="1" si="44"/>
        <v>#NAME?</v>
      </c>
      <c r="AG181" s="1" t="e">
        <f ca="1"/>
        <v>#NAME?</v>
      </c>
      <c r="AH181" s="1" t="e">
        <f t="shared" ca="1" si="45"/>
        <v>#NAME?</v>
      </c>
      <c r="AI181" s="1" t="e">
        <f ca="1"/>
        <v>#NAME?</v>
      </c>
      <c r="AJ181" s="1" t="e">
        <f t="shared" ca="1" si="54"/>
        <v>#NAME?</v>
      </c>
      <c r="AK181" s="1" t="e">
        <f ca="1"/>
        <v>#NAME?</v>
      </c>
      <c r="AL181" s="1" t="e">
        <f t="shared" ca="1" si="46"/>
        <v>#NAME?</v>
      </c>
      <c r="AN181" s="1">
        <f t="shared" si="55"/>
        <v>3.4675181301882168</v>
      </c>
      <c r="AO181" s="1" t="e">
        <f ca="1"/>
        <v>#NAME?</v>
      </c>
      <c r="AP181" s="1" t="e">
        <f t="shared" ca="1" si="56"/>
        <v>#NAME?</v>
      </c>
    </row>
    <row r="182" spans="1:42" x14ac:dyDescent="0.25">
      <c r="A182" s="1" t="s">
        <v>197</v>
      </c>
      <c r="B182" s="1">
        <v>181</v>
      </c>
      <c r="C182" s="1">
        <v>14767.846</v>
      </c>
      <c r="D182" s="1">
        <f t="shared" si="47"/>
        <v>4.1693171548560697</v>
      </c>
      <c r="E182" s="1">
        <v>9964.4959999999992</v>
      </c>
      <c r="F182" s="1">
        <f t="shared" si="48"/>
        <v>3.9984553371605078</v>
      </c>
      <c r="G182" s="1">
        <v>2658.163</v>
      </c>
      <c r="H182" s="1">
        <f t="shared" si="49"/>
        <v>3.4245816085969558</v>
      </c>
      <c r="I182" s="1">
        <v>3009.569</v>
      </c>
      <c r="J182" s="1">
        <f t="shared" si="50"/>
        <v>0.20379200866531247</v>
      </c>
      <c r="K182" s="1">
        <f t="shared" si="51"/>
        <v>3.4785043047884816</v>
      </c>
      <c r="L182" s="1">
        <v>1489.521</v>
      </c>
      <c r="M182" s="1">
        <f t="shared" si="52"/>
        <v>3.1730466304915317</v>
      </c>
      <c r="N182" s="1">
        <v>2390.9850000000001</v>
      </c>
      <c r="O182" s="1">
        <f t="shared" si="53"/>
        <v>3.3785768515496257</v>
      </c>
      <c r="P182" s="1">
        <v>-901.46400000000006</v>
      </c>
      <c r="Q182" s="1" t="e">
        <f ca="1"/>
        <v>#NAME?</v>
      </c>
      <c r="R182" s="1" t="e">
        <f t="shared" ca="1" si="38"/>
        <v>#NAME?</v>
      </c>
      <c r="S182" s="4">
        <v>3182889000000</v>
      </c>
      <c r="T182" s="1">
        <v>132988</v>
      </c>
      <c r="U182" s="1" t="e">
        <f ca="1"/>
        <v>#NAME?</v>
      </c>
      <c r="V182" s="1" t="e">
        <f t="shared" ca="1" si="39"/>
        <v>#NAME?</v>
      </c>
      <c r="W182" s="1" t="e">
        <f ca="1"/>
        <v>#NAME?</v>
      </c>
      <c r="X182" s="1" t="e">
        <f t="shared" ca="1" si="40"/>
        <v>#NAME?</v>
      </c>
      <c r="Y182" s="1" t="e">
        <f ca="1"/>
        <v>#NAME?</v>
      </c>
      <c r="Z182" s="1" t="e">
        <f t="shared" ca="1" si="41"/>
        <v>#NAME?</v>
      </c>
      <c r="AA182" s="1" t="e">
        <f ca="1"/>
        <v>#NAME?</v>
      </c>
      <c r="AB182" s="1" t="e">
        <f t="shared" ca="1" si="42"/>
        <v>#NAME?</v>
      </c>
      <c r="AC182" s="1" t="e">
        <f ca="1"/>
        <v>#NAME?</v>
      </c>
      <c r="AD182" s="1" t="e">
        <f t="shared" ca="1" si="43"/>
        <v>#NAME?</v>
      </c>
      <c r="AE182" s="1" t="e">
        <f ca="1"/>
        <v>#NAME?</v>
      </c>
      <c r="AF182" s="1" t="e">
        <f t="shared" ca="1" si="44"/>
        <v>#NAME?</v>
      </c>
      <c r="AG182" s="1" t="e">
        <f ca="1"/>
        <v>#NAME?</v>
      </c>
      <c r="AH182" s="1" t="e">
        <f t="shared" ca="1" si="45"/>
        <v>#NAME?</v>
      </c>
      <c r="AI182" s="1" t="e">
        <f ca="1"/>
        <v>#NAME?</v>
      </c>
      <c r="AJ182" s="1" t="e">
        <f t="shared" ca="1" si="54"/>
        <v>#NAME?</v>
      </c>
      <c r="AK182" s="1" t="e">
        <f ca="1"/>
        <v>#NAME?</v>
      </c>
      <c r="AL182" s="1" t="e">
        <f t="shared" ca="1" si="46"/>
        <v>#NAME?</v>
      </c>
      <c r="AN182" s="1">
        <f t="shared" si="55"/>
        <v>3.4690614462345994</v>
      </c>
      <c r="AO182" s="1" t="e">
        <f ca="1"/>
        <v>#NAME?</v>
      </c>
      <c r="AP182" s="1" t="e">
        <f t="shared" ca="1" si="56"/>
        <v>#NAME?</v>
      </c>
    </row>
    <row r="183" spans="1:42" x14ac:dyDescent="0.25">
      <c r="A183" s="1" t="s">
        <v>198</v>
      </c>
      <c r="B183" s="1">
        <v>182</v>
      </c>
      <c r="C183" s="1">
        <v>14839.707</v>
      </c>
      <c r="D183" s="1">
        <f t="shared" si="47"/>
        <v>4.1714253261762018</v>
      </c>
      <c r="E183" s="1">
        <v>10074.922</v>
      </c>
      <c r="F183" s="1">
        <f t="shared" si="48"/>
        <v>4.0032416925202714</v>
      </c>
      <c r="G183" s="1">
        <v>2622.7930000000001</v>
      </c>
      <c r="H183" s="1">
        <f t="shared" si="49"/>
        <v>3.4187640159028847</v>
      </c>
      <c r="I183" s="1">
        <v>3007.8310000000001</v>
      </c>
      <c r="J183" s="1">
        <f t="shared" si="50"/>
        <v>0.20268803150897791</v>
      </c>
      <c r="K183" s="1">
        <f t="shared" si="51"/>
        <v>3.4782534310454909</v>
      </c>
      <c r="L183" s="1">
        <v>1522.7460000000001</v>
      </c>
      <c r="M183" s="1">
        <f t="shared" si="52"/>
        <v>3.1826274673557218</v>
      </c>
      <c r="N183" s="1">
        <v>2422.9949999999999</v>
      </c>
      <c r="O183" s="1">
        <f t="shared" si="53"/>
        <v>3.3843525179449143</v>
      </c>
      <c r="P183" s="1">
        <v>-900.24900000000002</v>
      </c>
      <c r="Q183" s="1" t="e">
        <f ca="1"/>
        <v>#NAME?</v>
      </c>
      <c r="R183" s="1" t="e">
        <f t="shared" ca="1" si="38"/>
        <v>#NAME?</v>
      </c>
      <c r="S183" s="4">
        <v>3230079000000</v>
      </c>
      <c r="T183" s="1">
        <v>133714.33333333299</v>
      </c>
      <c r="U183" s="1" t="e">
        <f ca="1"/>
        <v>#NAME?</v>
      </c>
      <c r="V183" s="1" t="e">
        <f t="shared" ca="1" si="39"/>
        <v>#NAME?</v>
      </c>
      <c r="W183" s="1" t="e">
        <f ca="1"/>
        <v>#NAME?</v>
      </c>
      <c r="X183" s="1" t="e">
        <f t="shared" ca="1" si="40"/>
        <v>#NAME?</v>
      </c>
      <c r="Y183" s="1" t="e">
        <f ca="1"/>
        <v>#NAME?</v>
      </c>
      <c r="Z183" s="1" t="e">
        <f t="shared" ca="1" si="41"/>
        <v>#NAME?</v>
      </c>
      <c r="AA183" s="1" t="e">
        <f ca="1"/>
        <v>#NAME?</v>
      </c>
      <c r="AB183" s="1" t="e">
        <f t="shared" ca="1" si="42"/>
        <v>#NAME?</v>
      </c>
      <c r="AC183" s="1" t="e">
        <f ca="1"/>
        <v>#NAME?</v>
      </c>
      <c r="AD183" s="1" t="e">
        <f t="shared" ca="1" si="43"/>
        <v>#NAME?</v>
      </c>
      <c r="AE183" s="1" t="e">
        <f ca="1"/>
        <v>#NAME?</v>
      </c>
      <c r="AF183" s="1" t="e">
        <f t="shared" ca="1" si="44"/>
        <v>#NAME?</v>
      </c>
      <c r="AG183" s="1" t="e">
        <f ca="1"/>
        <v>#NAME?</v>
      </c>
      <c r="AH183" s="1" t="e">
        <f t="shared" ca="1" si="45"/>
        <v>#NAME?</v>
      </c>
      <c r="AI183" s="1" t="e">
        <f ca="1"/>
        <v>#NAME?</v>
      </c>
      <c r="AJ183" s="1" t="e">
        <f t="shared" ca="1" si="54"/>
        <v>#NAME?</v>
      </c>
      <c r="AK183" s="1" t="e">
        <f ca="1"/>
        <v>#NAME?</v>
      </c>
      <c r="AL183" s="1" t="e">
        <f t="shared" ca="1" si="46"/>
        <v>#NAME?</v>
      </c>
      <c r="AN183" s="1">
        <f t="shared" si="55"/>
        <v>3.4673546976732812</v>
      </c>
      <c r="AO183" s="1" t="e">
        <f ca="1"/>
        <v>#NAME?</v>
      </c>
      <c r="AP183" s="1" t="e">
        <f t="shared" ca="1" si="56"/>
        <v>#NAME?</v>
      </c>
    </row>
    <row r="184" spans="1:42" x14ac:dyDescent="0.25">
      <c r="A184" s="1" t="s">
        <v>199</v>
      </c>
      <c r="B184" s="1">
        <v>183</v>
      </c>
      <c r="C184" s="1">
        <v>14956.290999999999</v>
      </c>
      <c r="D184" s="1">
        <f t="shared" si="47"/>
        <v>4.1748239064998849</v>
      </c>
      <c r="E184" s="1">
        <v>10158.513000000001</v>
      </c>
      <c r="F184" s="1">
        <f t="shared" si="48"/>
        <v>4.0068301407079412</v>
      </c>
      <c r="G184" s="1">
        <v>2657.4580000000001</v>
      </c>
      <c r="H184" s="1">
        <f t="shared" si="49"/>
        <v>3.4244664094089261</v>
      </c>
      <c r="I184" s="1">
        <v>3017.7730000000001</v>
      </c>
      <c r="J184" s="1">
        <f t="shared" si="50"/>
        <v>0.20177281921032428</v>
      </c>
      <c r="K184" s="1">
        <f t="shared" si="51"/>
        <v>3.4796865685889662</v>
      </c>
      <c r="L184" s="1">
        <v>1522.433</v>
      </c>
      <c r="M184" s="1">
        <f t="shared" si="52"/>
        <v>3.1825381890746653</v>
      </c>
      <c r="N184" s="1">
        <v>2436.6010000000001</v>
      </c>
      <c r="O184" s="1">
        <f t="shared" si="53"/>
        <v>3.3867844181115503</v>
      </c>
      <c r="P184" s="1">
        <v>-914.16800000000001</v>
      </c>
      <c r="Q184" s="1" t="e">
        <f ca="1"/>
        <v>#NAME?</v>
      </c>
      <c r="R184" s="1" t="e">
        <f t="shared" ca="1" si="38"/>
        <v>#NAME?</v>
      </c>
      <c r="S184" s="4">
        <v>3276734000000</v>
      </c>
      <c r="T184" s="1">
        <v>134447.66666666701</v>
      </c>
      <c r="U184" s="1" t="e">
        <f ca="1"/>
        <v>#NAME?</v>
      </c>
      <c r="V184" s="1" t="e">
        <f t="shared" ca="1" si="39"/>
        <v>#NAME?</v>
      </c>
      <c r="W184" s="1" t="e">
        <f ca="1"/>
        <v>#NAME?</v>
      </c>
      <c r="X184" s="1" t="e">
        <f t="shared" ca="1" si="40"/>
        <v>#NAME?</v>
      </c>
      <c r="Y184" s="1" t="e">
        <f ca="1"/>
        <v>#NAME?</v>
      </c>
      <c r="Z184" s="1" t="e">
        <f t="shared" ca="1" si="41"/>
        <v>#NAME?</v>
      </c>
      <c r="AA184" s="1" t="e">
        <f ca="1"/>
        <v>#NAME?</v>
      </c>
      <c r="AB184" s="1" t="e">
        <f t="shared" ca="1" si="42"/>
        <v>#NAME?</v>
      </c>
      <c r="AC184" s="1" t="e">
        <f ca="1"/>
        <v>#NAME?</v>
      </c>
      <c r="AD184" s="1" t="e">
        <f t="shared" ca="1" si="43"/>
        <v>#NAME?</v>
      </c>
      <c r="AE184" s="1" t="e">
        <f ca="1"/>
        <v>#NAME?</v>
      </c>
      <c r="AF184" s="1" t="e">
        <f t="shared" ca="1" si="44"/>
        <v>#NAME?</v>
      </c>
      <c r="AG184" s="1" t="e">
        <f ca="1"/>
        <v>#NAME?</v>
      </c>
      <c r="AH184" s="1" t="e">
        <f t="shared" ca="1" si="45"/>
        <v>#NAME?</v>
      </c>
      <c r="AI184" s="1" t="e">
        <f ca="1"/>
        <v>#NAME?</v>
      </c>
      <c r="AJ184" s="1" t="e">
        <f t="shared" ca="1" si="54"/>
        <v>#NAME?</v>
      </c>
      <c r="AK184" s="1" t="e">
        <f ca="1"/>
        <v>#NAME?</v>
      </c>
      <c r="AL184" s="1" t="e">
        <f t="shared" ca="1" si="46"/>
        <v>#NAME?</v>
      </c>
      <c r="AN184" s="1">
        <f t="shared" si="55"/>
        <v>3.4669909865488142</v>
      </c>
      <c r="AO184" s="1" t="e">
        <f ca="1"/>
        <v>#NAME?</v>
      </c>
      <c r="AP184" s="1" t="e">
        <f t="shared" ca="1" si="56"/>
        <v>#NAME?</v>
      </c>
    </row>
    <row r="185" spans="1:42" x14ac:dyDescent="0.25">
      <c r="A185" s="1" t="s">
        <v>200</v>
      </c>
      <c r="B185" s="1">
        <v>184</v>
      </c>
      <c r="C185" s="1">
        <v>15041.232</v>
      </c>
      <c r="D185" s="1">
        <f t="shared" si="47"/>
        <v>4.1772834099849181</v>
      </c>
      <c r="E185" s="1">
        <v>10177.237999999999</v>
      </c>
      <c r="F185" s="1">
        <f t="shared" si="48"/>
        <v>4.0076299308383323</v>
      </c>
      <c r="G185" s="1">
        <v>2743.846</v>
      </c>
      <c r="H185" s="1">
        <f t="shared" si="49"/>
        <v>3.4383597326808308</v>
      </c>
      <c r="I185" s="1">
        <v>3020.1329999999998</v>
      </c>
      <c r="J185" s="1">
        <f t="shared" si="50"/>
        <v>0.20079026771211292</v>
      </c>
      <c r="K185" s="1">
        <f t="shared" si="51"/>
        <v>3.4800260687499445</v>
      </c>
      <c r="L185" s="1">
        <v>1569.6130000000001</v>
      </c>
      <c r="M185" s="1">
        <f t="shared" si="52"/>
        <v>3.1957925870063653</v>
      </c>
      <c r="N185" s="1">
        <v>2515.1320000000001</v>
      </c>
      <c r="O185" s="1">
        <f t="shared" si="53"/>
        <v>3.4005607827785309</v>
      </c>
      <c r="P185" s="1">
        <v>-945.51900000000001</v>
      </c>
      <c r="Q185" s="1" t="e">
        <f ca="1"/>
        <v>#NAME?</v>
      </c>
      <c r="R185" s="1" t="e">
        <f t="shared" ca="1" si="38"/>
        <v>#NAME?</v>
      </c>
      <c r="S185" s="4">
        <v>3290410000000</v>
      </c>
      <c r="T185" s="1">
        <v>134935.33333333299</v>
      </c>
      <c r="U185" s="1" t="e">
        <f ca="1"/>
        <v>#NAME?</v>
      </c>
      <c r="V185" s="1" t="e">
        <f t="shared" ca="1" si="39"/>
        <v>#NAME?</v>
      </c>
      <c r="W185" s="1" t="e">
        <f ca="1"/>
        <v>#NAME?</v>
      </c>
      <c r="X185" s="1" t="e">
        <f t="shared" ca="1" si="40"/>
        <v>#NAME?</v>
      </c>
      <c r="Y185" s="1" t="e">
        <f ca="1"/>
        <v>#NAME?</v>
      </c>
      <c r="Z185" s="1" t="e">
        <f t="shared" ca="1" si="41"/>
        <v>#NAME?</v>
      </c>
      <c r="AA185" s="1" t="e">
        <f ca="1"/>
        <v>#NAME?</v>
      </c>
      <c r="AB185" s="1" t="e">
        <f t="shared" ca="1" si="42"/>
        <v>#NAME?</v>
      </c>
      <c r="AC185" s="1" t="e">
        <f ca="1"/>
        <v>#NAME?</v>
      </c>
      <c r="AD185" s="1" t="e">
        <f t="shared" ca="1" si="43"/>
        <v>#NAME?</v>
      </c>
      <c r="AE185" s="1" t="e">
        <f ca="1"/>
        <v>#NAME?</v>
      </c>
      <c r="AF185" s="1" t="e">
        <f t="shared" ca="1" si="44"/>
        <v>#NAME?</v>
      </c>
      <c r="AG185" s="1" t="e">
        <f ca="1"/>
        <v>#NAME?</v>
      </c>
      <c r="AH185" s="1" t="e">
        <f t="shared" ca="1" si="45"/>
        <v>#NAME?</v>
      </c>
      <c r="AI185" s="1" t="e">
        <f ca="1"/>
        <v>#NAME?</v>
      </c>
      <c r="AJ185" s="1" t="e">
        <f t="shared" ca="1" si="54"/>
        <v>#NAME?</v>
      </c>
      <c r="AK185" s="1" t="e">
        <f ca="1"/>
        <v>#NAME?</v>
      </c>
      <c r="AL185" s="1" t="e">
        <f t="shared" ca="1" si="46"/>
        <v>#NAME?</v>
      </c>
      <c r="AN185" s="1">
        <f t="shared" si="55"/>
        <v>3.4677929648964092</v>
      </c>
      <c r="AO185" s="1" t="e">
        <f ca="1"/>
        <v>#NAME?</v>
      </c>
      <c r="AP185" s="1" t="e">
        <f t="shared" ca="1" si="56"/>
        <v>#NAME?</v>
      </c>
    </row>
    <row r="186" spans="1:42" x14ac:dyDescent="0.25">
      <c r="A186" s="1" t="s">
        <v>201</v>
      </c>
      <c r="B186" s="1">
        <v>185</v>
      </c>
      <c r="C186" s="1">
        <v>15244.088</v>
      </c>
      <c r="D186" s="1">
        <f t="shared" si="47"/>
        <v>4.1831014471720334</v>
      </c>
      <c r="E186" s="1">
        <v>10288.217000000001</v>
      </c>
      <c r="F186" s="1">
        <f t="shared" si="48"/>
        <v>4.0123401158550971</v>
      </c>
      <c r="G186" s="1">
        <v>2784.5830000000001</v>
      </c>
      <c r="H186" s="1">
        <f t="shared" si="49"/>
        <v>3.4447601674241168</v>
      </c>
      <c r="I186" s="1">
        <v>3058.4830000000002</v>
      </c>
      <c r="J186" s="1">
        <f t="shared" si="50"/>
        <v>0.20063404252192721</v>
      </c>
      <c r="K186" s="1">
        <f t="shared" si="51"/>
        <v>3.4855060708966916</v>
      </c>
      <c r="L186" s="1">
        <v>1633.194</v>
      </c>
      <c r="M186" s="1">
        <f t="shared" si="52"/>
        <v>3.2130377757502995</v>
      </c>
      <c r="N186" s="1">
        <v>2566.893</v>
      </c>
      <c r="O186" s="1">
        <f t="shared" si="53"/>
        <v>3.409407765641415</v>
      </c>
      <c r="P186" s="1">
        <v>-933.69899999999996</v>
      </c>
      <c r="Q186" s="1" t="e">
        <f ca="1"/>
        <v>#NAME?</v>
      </c>
      <c r="R186" s="1" t="e">
        <f t="shared" ca="1" si="38"/>
        <v>#NAME?</v>
      </c>
      <c r="S186" s="4">
        <v>3355542000000</v>
      </c>
      <c r="T186" s="1">
        <v>135732</v>
      </c>
      <c r="U186" s="1" t="e">
        <f ca="1"/>
        <v>#NAME?</v>
      </c>
      <c r="V186" s="1" t="e">
        <f t="shared" ca="1" si="39"/>
        <v>#NAME?</v>
      </c>
      <c r="W186" s="1" t="e">
        <f ca="1"/>
        <v>#NAME?</v>
      </c>
      <c r="X186" s="1" t="e">
        <f t="shared" ca="1" si="40"/>
        <v>#NAME?</v>
      </c>
      <c r="Y186" s="1" t="e">
        <f ca="1"/>
        <v>#NAME?</v>
      </c>
      <c r="Z186" s="1" t="e">
        <f t="shared" ca="1" si="41"/>
        <v>#NAME?</v>
      </c>
      <c r="AA186" s="1" t="e">
        <f ca="1"/>
        <v>#NAME?</v>
      </c>
      <c r="AB186" s="1" t="e">
        <f t="shared" ca="1" si="42"/>
        <v>#NAME?</v>
      </c>
      <c r="AC186" s="1" t="e">
        <f ca="1"/>
        <v>#NAME?</v>
      </c>
      <c r="AD186" s="1" t="e">
        <f t="shared" ca="1" si="43"/>
        <v>#NAME?</v>
      </c>
      <c r="AE186" s="1" t="e">
        <f ca="1"/>
        <v>#NAME?</v>
      </c>
      <c r="AF186" s="1" t="e">
        <f t="shared" ca="1" si="44"/>
        <v>#NAME?</v>
      </c>
      <c r="AG186" s="1" t="e">
        <f ca="1"/>
        <v>#NAME?</v>
      </c>
      <c r="AH186" s="1" t="e">
        <f t="shared" ca="1" si="45"/>
        <v>#NAME?</v>
      </c>
      <c r="AI186" s="1" t="e">
        <f ca="1"/>
        <v>#NAME?</v>
      </c>
      <c r="AJ186" s="1" t="e">
        <f t="shared" ca="1" si="54"/>
        <v>#NAME?</v>
      </c>
      <c r="AK186" s="1" t="e">
        <f ca="1"/>
        <v>#NAME?</v>
      </c>
      <c r="AL186" s="1" t="e">
        <f t="shared" ca="1" si="46"/>
        <v>#NAME?</v>
      </c>
      <c r="AN186" s="1">
        <f t="shared" si="55"/>
        <v>3.4689102437055839</v>
      </c>
      <c r="AO186" s="1" t="e">
        <f ca="1"/>
        <v>#NAME?</v>
      </c>
      <c r="AP186" s="1" t="e">
        <f t="shared" ca="1" si="56"/>
        <v>#NAME?</v>
      </c>
    </row>
    <row r="187" spans="1:42" x14ac:dyDescent="0.25">
      <c r="A187" s="1" t="s">
        <v>202</v>
      </c>
      <c r="B187" s="1">
        <v>186</v>
      </c>
      <c r="C187" s="1">
        <v>15281.525</v>
      </c>
      <c r="D187" s="1">
        <f t="shared" si="47"/>
        <v>4.1841666962578099</v>
      </c>
      <c r="E187" s="1">
        <v>10341.556</v>
      </c>
      <c r="F187" s="1">
        <f t="shared" si="48"/>
        <v>4.0145858880203402</v>
      </c>
      <c r="G187" s="1">
        <v>2766.6280000000002</v>
      </c>
      <c r="H187" s="1">
        <f t="shared" si="49"/>
        <v>3.4419507679561772</v>
      </c>
      <c r="I187" s="1">
        <v>3057.5509999999999</v>
      </c>
      <c r="J187" s="1">
        <f t="shared" si="50"/>
        <v>0.20008153636498974</v>
      </c>
      <c r="K187" s="1">
        <f t="shared" si="51"/>
        <v>3.4853737098077024</v>
      </c>
      <c r="L187" s="1">
        <v>1663.431</v>
      </c>
      <c r="M187" s="1">
        <f t="shared" si="52"/>
        <v>3.2210047908130455</v>
      </c>
      <c r="N187" s="1">
        <v>2592.4549999999999</v>
      </c>
      <c r="O187" s="1">
        <f t="shared" si="53"/>
        <v>3.4137112266150607</v>
      </c>
      <c r="P187" s="1">
        <v>-929.024</v>
      </c>
      <c r="Q187" s="1" t="e">
        <f ca="1"/>
        <v>#NAME?</v>
      </c>
      <c r="R187" s="1" t="e">
        <f t="shared" ca="1" si="38"/>
        <v>#NAME?</v>
      </c>
      <c r="S187" s="4">
        <v>3345675000000</v>
      </c>
      <c r="T187" s="1">
        <v>136262</v>
      </c>
      <c r="U187" s="1" t="e">
        <f ca="1"/>
        <v>#NAME?</v>
      </c>
      <c r="V187" s="1" t="e">
        <f t="shared" ca="1" si="39"/>
        <v>#NAME?</v>
      </c>
      <c r="W187" s="1" t="e">
        <f ca="1"/>
        <v>#NAME?</v>
      </c>
      <c r="X187" s="1" t="e">
        <f t="shared" ca="1" si="40"/>
        <v>#NAME?</v>
      </c>
      <c r="Y187" s="1" t="e">
        <f ca="1"/>
        <v>#NAME?</v>
      </c>
      <c r="Z187" s="1" t="e">
        <f t="shared" ca="1" si="41"/>
        <v>#NAME?</v>
      </c>
      <c r="AA187" s="1" t="e">
        <f ca="1"/>
        <v>#NAME?</v>
      </c>
      <c r="AB187" s="1" t="e">
        <f t="shared" ca="1" si="42"/>
        <v>#NAME?</v>
      </c>
      <c r="AC187" s="1" t="e">
        <f ca="1"/>
        <v>#NAME?</v>
      </c>
      <c r="AD187" s="1" t="e">
        <f t="shared" ca="1" si="43"/>
        <v>#NAME?</v>
      </c>
      <c r="AE187" s="1" t="e">
        <f ca="1"/>
        <v>#NAME?</v>
      </c>
      <c r="AF187" s="1" t="e">
        <f t="shared" ca="1" si="44"/>
        <v>#NAME?</v>
      </c>
      <c r="AG187" s="1" t="e">
        <f ca="1"/>
        <v>#NAME?</v>
      </c>
      <c r="AH187" s="1" t="e">
        <f t="shared" ca="1" si="45"/>
        <v>#NAME?</v>
      </c>
      <c r="AI187" s="1" t="e">
        <f ca="1"/>
        <v>#NAME?</v>
      </c>
      <c r="AJ187" s="1" t="e">
        <f t="shared" ca="1" si="54"/>
        <v>#NAME?</v>
      </c>
      <c r="AK187" s="1" t="e">
        <f ca="1"/>
        <v>#NAME?</v>
      </c>
      <c r="AL187" s="1" t="e">
        <f t="shared" ca="1" si="46"/>
        <v>#NAME?</v>
      </c>
      <c r="AN187" s="1">
        <f t="shared" si="55"/>
        <v>3.4693527000449675</v>
      </c>
      <c r="AO187" s="1" t="e">
        <f ca="1"/>
        <v>#NAME?</v>
      </c>
      <c r="AP187" s="1" t="e">
        <f t="shared" ca="1" si="56"/>
        <v>#NAME?</v>
      </c>
    </row>
    <row r="188" spans="1:42" x14ac:dyDescent="0.25">
      <c r="A188" s="1" t="s">
        <v>203</v>
      </c>
      <c r="B188" s="1">
        <v>187</v>
      </c>
      <c r="C188" s="1">
        <v>15304.517</v>
      </c>
      <c r="D188" s="1">
        <f t="shared" si="47"/>
        <v>4.1848196281153376</v>
      </c>
      <c r="E188" s="1">
        <v>10407.966</v>
      </c>
      <c r="F188" s="1">
        <f t="shared" si="48"/>
        <v>4.0173658648336508</v>
      </c>
      <c r="G188" s="1">
        <v>2755.9540000000002</v>
      </c>
      <c r="H188" s="1">
        <f t="shared" si="49"/>
        <v>3.4402719644282986</v>
      </c>
      <c r="I188" s="1">
        <v>3053.11</v>
      </c>
      <c r="J188" s="1">
        <f t="shared" si="50"/>
        <v>0.19949077778802168</v>
      </c>
      <c r="K188" s="1">
        <f t="shared" si="51"/>
        <v>3.4847424517052805</v>
      </c>
      <c r="L188" s="1">
        <v>1661.223</v>
      </c>
      <c r="M188" s="1">
        <f t="shared" si="52"/>
        <v>3.2204279353826606</v>
      </c>
      <c r="N188" s="1">
        <v>2618.357</v>
      </c>
      <c r="O188" s="1">
        <f t="shared" si="53"/>
        <v>3.418028860152047</v>
      </c>
      <c r="P188" s="1">
        <v>-957.13400000000001</v>
      </c>
      <c r="Q188" s="1" t="e">
        <f ca="1"/>
        <v>#NAME?</v>
      </c>
      <c r="R188" s="1" t="e">
        <f t="shared" ca="1" si="38"/>
        <v>#NAME?</v>
      </c>
      <c r="S188" s="4">
        <v>3320642000000</v>
      </c>
      <c r="T188" s="1">
        <v>136678</v>
      </c>
      <c r="U188" s="1" t="e">
        <f ca="1"/>
        <v>#NAME?</v>
      </c>
      <c r="V188" s="1" t="e">
        <f t="shared" ca="1" si="39"/>
        <v>#NAME?</v>
      </c>
      <c r="W188" s="1" t="e">
        <f ca="1"/>
        <v>#NAME?</v>
      </c>
      <c r="X188" s="1" t="e">
        <f t="shared" ca="1" si="40"/>
        <v>#NAME?</v>
      </c>
      <c r="Y188" s="1" t="e">
        <f ca="1"/>
        <v>#NAME?</v>
      </c>
      <c r="Z188" s="1" t="e">
        <f t="shared" ca="1" si="41"/>
        <v>#NAME?</v>
      </c>
      <c r="AA188" s="1" t="e">
        <f ca="1"/>
        <v>#NAME?</v>
      </c>
      <c r="AB188" s="1" t="e">
        <f t="shared" ca="1" si="42"/>
        <v>#NAME?</v>
      </c>
      <c r="AC188" s="1" t="e">
        <f ca="1"/>
        <v>#NAME?</v>
      </c>
      <c r="AD188" s="1" t="e">
        <f t="shared" ca="1" si="43"/>
        <v>#NAME?</v>
      </c>
      <c r="AE188" s="1" t="e">
        <f ca="1"/>
        <v>#NAME?</v>
      </c>
      <c r="AF188" s="1" t="e">
        <f t="shared" ca="1" si="44"/>
        <v>#NAME?</v>
      </c>
      <c r="AG188" s="1" t="e">
        <f ca="1"/>
        <v>#NAME?</v>
      </c>
      <c r="AH188" s="1" t="e">
        <f t="shared" ca="1" si="45"/>
        <v>#NAME?</v>
      </c>
      <c r="AI188" s="1" t="e">
        <f ca="1"/>
        <v>#NAME?</v>
      </c>
      <c r="AJ188" s="1" t="e">
        <f t="shared" ca="1" si="54"/>
        <v>#NAME?</v>
      </c>
      <c r="AK188" s="1" t="e">
        <f ca="1"/>
        <v>#NAME?</v>
      </c>
      <c r="AL188" s="1" t="e">
        <f t="shared" ca="1" si="46"/>
        <v>#NAME?</v>
      </c>
      <c r="AN188" s="1">
        <f t="shared" si="55"/>
        <v>3.4703325740201798</v>
      </c>
      <c r="AO188" s="1" t="e">
        <f ca="1"/>
        <v>#NAME?</v>
      </c>
      <c r="AP188" s="1" t="e">
        <f t="shared" ca="1" si="56"/>
        <v>#NAME?</v>
      </c>
    </row>
    <row r="189" spans="1:42" x14ac:dyDescent="0.25">
      <c r="A189" s="1" t="s">
        <v>204</v>
      </c>
      <c r="B189" s="1">
        <v>188</v>
      </c>
      <c r="C189" s="1">
        <v>15433.643</v>
      </c>
      <c r="D189" s="1">
        <f t="shared" si="47"/>
        <v>4.1884684502405385</v>
      </c>
      <c r="E189" s="1">
        <v>10507.248</v>
      </c>
      <c r="F189" s="1">
        <f t="shared" si="48"/>
        <v>4.0214889829247431</v>
      </c>
      <c r="G189" s="1">
        <v>2702.4870000000001</v>
      </c>
      <c r="H189" s="1">
        <f t="shared" si="49"/>
        <v>3.4317636135071816</v>
      </c>
      <c r="I189" s="1">
        <v>3078.2150000000001</v>
      </c>
      <c r="J189" s="1">
        <f t="shared" si="50"/>
        <v>0.19944837391923606</v>
      </c>
      <c r="K189" s="1">
        <f t="shared" si="51"/>
        <v>3.4882989501454511</v>
      </c>
      <c r="L189" s="1">
        <v>1724.2629999999999</v>
      </c>
      <c r="M189" s="1">
        <f t="shared" si="52"/>
        <v>3.2366035090161951</v>
      </c>
      <c r="N189" s="1">
        <v>2614.9920000000002</v>
      </c>
      <c r="O189" s="1">
        <f t="shared" si="53"/>
        <v>3.4174703645756948</v>
      </c>
      <c r="P189" s="1">
        <v>-890.72900000000004</v>
      </c>
      <c r="Q189" s="1" t="e">
        <f ca="1"/>
        <v>#NAME?</v>
      </c>
      <c r="R189" s="1" t="e">
        <f t="shared" ca="1" si="38"/>
        <v>#NAME?</v>
      </c>
      <c r="S189" s="4">
        <v>3305382000000</v>
      </c>
      <c r="T189" s="1">
        <v>137056.66666666701</v>
      </c>
      <c r="U189" s="1" t="e">
        <f ca="1"/>
        <v>#NAME?</v>
      </c>
      <c r="V189" s="1" t="e">
        <f t="shared" ca="1" si="39"/>
        <v>#NAME?</v>
      </c>
      <c r="W189" s="1" t="e">
        <f ca="1"/>
        <v>#NAME?</v>
      </c>
      <c r="X189" s="1" t="e">
        <f t="shared" ca="1" si="40"/>
        <v>#NAME?</v>
      </c>
      <c r="Y189" s="1" t="e">
        <f ca="1"/>
        <v>#NAME?</v>
      </c>
      <c r="Z189" s="1" t="e">
        <f t="shared" ca="1" si="41"/>
        <v>#NAME?</v>
      </c>
      <c r="AA189" s="1" t="e">
        <f ca="1"/>
        <v>#NAME?</v>
      </c>
      <c r="AB189" s="1" t="e">
        <f t="shared" ca="1" si="42"/>
        <v>#NAME?</v>
      </c>
      <c r="AC189" s="1" t="e">
        <f ca="1"/>
        <v>#NAME?</v>
      </c>
      <c r="AD189" s="1" t="e">
        <f t="shared" ca="1" si="43"/>
        <v>#NAME?</v>
      </c>
      <c r="AE189" s="1" t="e">
        <f ca="1"/>
        <v>#NAME?</v>
      </c>
      <c r="AF189" s="1" t="e">
        <f t="shared" ca="1" si="44"/>
        <v>#NAME?</v>
      </c>
      <c r="AG189" s="1" t="e">
        <f ca="1"/>
        <v>#NAME?</v>
      </c>
      <c r="AH189" s="1" t="e">
        <f t="shared" ca="1" si="45"/>
        <v>#NAME?</v>
      </c>
      <c r="AI189" s="1" t="e">
        <f ca="1"/>
        <v>#NAME?</v>
      </c>
      <c r="AJ189" s="1" t="e">
        <f t="shared" ca="1" si="54"/>
        <v>#NAME?</v>
      </c>
      <c r="AK189" s="1" t="e">
        <f ca="1"/>
        <v>#NAME?</v>
      </c>
      <c r="AL189" s="1" t="e">
        <f t="shared" ca="1" si="46"/>
        <v>#NAME?</v>
      </c>
      <c r="AN189" s="1">
        <f t="shared" si="55"/>
        <v>3.473932547723674</v>
      </c>
      <c r="AO189" s="1" t="e">
        <f ca="1"/>
        <v>#NAME?</v>
      </c>
      <c r="AP189" s="1" t="e">
        <f t="shared" ca="1" si="56"/>
        <v>#NAME?</v>
      </c>
    </row>
    <row r="190" spans="1:42" x14ac:dyDescent="0.25">
      <c r="A190" s="1" t="s">
        <v>205</v>
      </c>
      <c r="B190" s="1">
        <v>189</v>
      </c>
      <c r="C190" s="1">
        <v>15478.956</v>
      </c>
      <c r="D190" s="1">
        <f t="shared" si="47"/>
        <v>4.1897416657313062</v>
      </c>
      <c r="E190" s="1">
        <v>10572.053</v>
      </c>
      <c r="F190" s="1">
        <f t="shared" si="48"/>
        <v>4.0241593316777813</v>
      </c>
      <c r="G190" s="1">
        <v>2683.893</v>
      </c>
      <c r="H190" s="1">
        <f t="shared" si="49"/>
        <v>3.4287651976236826</v>
      </c>
      <c r="I190" s="1">
        <v>3082.482</v>
      </c>
      <c r="J190" s="1">
        <f t="shared" si="50"/>
        <v>0.19914017456991284</v>
      </c>
      <c r="K190" s="1">
        <f t="shared" si="51"/>
        <v>3.4889005492341929</v>
      </c>
      <c r="L190" s="1">
        <v>1758.4490000000001</v>
      </c>
      <c r="M190" s="1">
        <f t="shared" si="52"/>
        <v>3.2451297770659462</v>
      </c>
      <c r="N190" s="1">
        <v>2653.058</v>
      </c>
      <c r="O190" s="1">
        <f t="shared" si="53"/>
        <v>3.4237467444431706</v>
      </c>
      <c r="P190" s="1">
        <v>-894.60900000000004</v>
      </c>
      <c r="Q190" s="1" t="e">
        <f ca="1"/>
        <v>#NAME?</v>
      </c>
      <c r="R190" s="1" t="e">
        <f t="shared" ca="1" si="38"/>
        <v>#NAME?</v>
      </c>
      <c r="S190" s="4">
        <v>3306037000000</v>
      </c>
      <c r="T190" s="1">
        <v>137603.66666666701</v>
      </c>
      <c r="U190" s="1" t="e">
        <f ca="1"/>
        <v>#NAME?</v>
      </c>
      <c r="V190" s="1" t="e">
        <f t="shared" ca="1" si="39"/>
        <v>#NAME?</v>
      </c>
      <c r="W190" s="1" t="e">
        <f ca="1"/>
        <v>#NAME?</v>
      </c>
      <c r="X190" s="1" t="e">
        <f t="shared" ca="1" si="40"/>
        <v>#NAME?</v>
      </c>
      <c r="Y190" s="1" t="e">
        <f ca="1"/>
        <v>#NAME?</v>
      </c>
      <c r="Z190" s="1" t="e">
        <f t="shared" ca="1" si="41"/>
        <v>#NAME?</v>
      </c>
      <c r="AA190" s="1" t="e">
        <f ca="1"/>
        <v>#NAME?</v>
      </c>
      <c r="AB190" s="1" t="e">
        <f t="shared" ca="1" si="42"/>
        <v>#NAME?</v>
      </c>
      <c r="AC190" s="1" t="e">
        <f ca="1"/>
        <v>#NAME?</v>
      </c>
      <c r="AD190" s="1" t="e">
        <f t="shared" ca="1" si="43"/>
        <v>#NAME?</v>
      </c>
      <c r="AE190" s="1" t="e">
        <f ca="1"/>
        <v>#NAME?</v>
      </c>
      <c r="AF190" s="1" t="e">
        <f t="shared" ca="1" si="44"/>
        <v>#NAME?</v>
      </c>
      <c r="AG190" s="1" t="e">
        <f ca="1"/>
        <v>#NAME?</v>
      </c>
      <c r="AH190" s="1" t="e">
        <f t="shared" ca="1" si="45"/>
        <v>#NAME?</v>
      </c>
      <c r="AI190" s="1" t="e">
        <f ca="1"/>
        <v>#NAME?</v>
      </c>
      <c r="AJ190" s="1" t="e">
        <f t="shared" ca="1" si="54"/>
        <v>#NAME?</v>
      </c>
      <c r="AK190" s="1" t="e">
        <f ca="1"/>
        <v>#NAME?</v>
      </c>
      <c r="AL190" s="1" t="e">
        <f t="shared" ca="1" si="46"/>
        <v>#NAME?</v>
      </c>
      <c r="AN190" s="1">
        <f t="shared" si="55"/>
        <v>3.4740676860577686</v>
      </c>
      <c r="AO190" s="1" t="e">
        <f ca="1"/>
        <v>#NAME?</v>
      </c>
      <c r="AP190" s="1" t="e">
        <f t="shared" ca="1" si="56"/>
        <v>#NAME?</v>
      </c>
    </row>
    <row r="191" spans="1:42" x14ac:dyDescent="0.25">
      <c r="A191" s="1" t="s">
        <v>206</v>
      </c>
      <c r="B191" s="1">
        <v>190</v>
      </c>
      <c r="C191" s="1">
        <v>15577.779</v>
      </c>
      <c r="D191" s="1">
        <f t="shared" si="47"/>
        <v>4.1925055382657739</v>
      </c>
      <c r="E191" s="1">
        <v>10599.795</v>
      </c>
      <c r="F191" s="1">
        <f t="shared" si="48"/>
        <v>4.0252974660921561</v>
      </c>
      <c r="G191" s="1">
        <v>2713.4949999999999</v>
      </c>
      <c r="H191" s="1">
        <f t="shared" si="49"/>
        <v>3.4335290256669562</v>
      </c>
      <c r="I191" s="1">
        <v>3110.6610000000001</v>
      </c>
      <c r="J191" s="1">
        <f t="shared" si="50"/>
        <v>0.19968578319155766</v>
      </c>
      <c r="K191" s="1">
        <f t="shared" si="51"/>
        <v>3.492852684251933</v>
      </c>
      <c r="L191" s="1">
        <v>1785.0640000000001</v>
      </c>
      <c r="M191" s="1">
        <f t="shared" si="52"/>
        <v>3.2516537915118371</v>
      </c>
      <c r="N191" s="1">
        <v>2667.163</v>
      </c>
      <c r="O191" s="1">
        <f t="shared" si="53"/>
        <v>3.4260495578111319</v>
      </c>
      <c r="P191" s="1">
        <v>-882.09900000000005</v>
      </c>
      <c r="Q191" s="1" t="e">
        <f ca="1"/>
        <v>#NAME?</v>
      </c>
      <c r="R191" s="1" t="e">
        <f t="shared" ca="1" si="38"/>
        <v>#NAME?</v>
      </c>
      <c r="S191" s="4">
        <v>3330168000000</v>
      </c>
      <c r="T191" s="1">
        <v>137969.33333333299</v>
      </c>
      <c r="U191" s="1" t="e">
        <f ca="1"/>
        <v>#NAME?</v>
      </c>
      <c r="V191" s="1" t="e">
        <f t="shared" ca="1" si="39"/>
        <v>#NAME?</v>
      </c>
      <c r="W191" s="1" t="e">
        <f ca="1"/>
        <v>#NAME?</v>
      </c>
      <c r="X191" s="1" t="e">
        <f t="shared" ca="1" si="40"/>
        <v>#NAME?</v>
      </c>
      <c r="Y191" s="1" t="e">
        <f ca="1"/>
        <v>#NAME?</v>
      </c>
      <c r="Z191" s="1" t="e">
        <f t="shared" ca="1" si="41"/>
        <v>#NAME?</v>
      </c>
      <c r="AA191" s="1" t="e">
        <f ca="1"/>
        <v>#NAME?</v>
      </c>
      <c r="AB191" s="1" t="e">
        <f t="shared" ca="1" si="42"/>
        <v>#NAME?</v>
      </c>
      <c r="AC191" s="1" t="e">
        <f ca="1"/>
        <v>#NAME?</v>
      </c>
      <c r="AD191" s="1" t="e">
        <f t="shared" ca="1" si="43"/>
        <v>#NAME?</v>
      </c>
      <c r="AE191" s="1" t="e">
        <f ca="1"/>
        <v>#NAME?</v>
      </c>
      <c r="AF191" s="1" t="e">
        <f t="shared" ca="1" si="44"/>
        <v>#NAME?</v>
      </c>
      <c r="AG191" s="1" t="e">
        <f ca="1"/>
        <v>#NAME?</v>
      </c>
      <c r="AH191" s="1" t="e">
        <f t="shared" ca="1" si="45"/>
        <v>#NAME?</v>
      </c>
      <c r="AI191" s="1" t="e">
        <f ca="1"/>
        <v>#NAME?</v>
      </c>
      <c r="AJ191" s="1" t="e">
        <f t="shared" ca="1" si="54"/>
        <v>#NAME?</v>
      </c>
      <c r="AK191" s="1" t="e">
        <f ca="1"/>
        <v>#NAME?</v>
      </c>
      <c r="AL191" s="1" t="e">
        <f t="shared" ca="1" si="46"/>
        <v>#NAME?</v>
      </c>
      <c r="AN191" s="1">
        <f t="shared" si="55"/>
        <v>3.4749568845691208</v>
      </c>
      <c r="AO191" s="1" t="e">
        <f ca="1"/>
        <v>#NAME?</v>
      </c>
      <c r="AP191" s="1" t="e">
        <f t="shared" ca="1" si="56"/>
        <v>#NAME?</v>
      </c>
    </row>
    <row r="192" spans="1:42" x14ac:dyDescent="0.25">
      <c r="A192" s="1" t="s">
        <v>207</v>
      </c>
      <c r="B192" s="1">
        <v>191</v>
      </c>
      <c r="C192" s="1">
        <v>15671.605</v>
      </c>
      <c r="D192" s="1">
        <f t="shared" si="47"/>
        <v>4.195113476809917</v>
      </c>
      <c r="E192" s="1">
        <v>10670.505999999999</v>
      </c>
      <c r="F192" s="1">
        <f t="shared" si="48"/>
        <v>4.0281850143445608</v>
      </c>
      <c r="G192" s="1">
        <v>2686.1060000000002</v>
      </c>
      <c r="H192" s="1">
        <f t="shared" si="49"/>
        <v>3.4291231469428012</v>
      </c>
      <c r="I192" s="1">
        <v>3124.8829999999998</v>
      </c>
      <c r="J192" s="1">
        <f t="shared" si="50"/>
        <v>0.19939776430046571</v>
      </c>
      <c r="K192" s="1">
        <f t="shared" si="51"/>
        <v>3.4948337613902969</v>
      </c>
      <c r="L192" s="1">
        <v>1840.838</v>
      </c>
      <c r="M192" s="1">
        <f t="shared" si="52"/>
        <v>3.2650155707952977</v>
      </c>
      <c r="N192" s="1">
        <v>2682.0990000000002</v>
      </c>
      <c r="O192" s="1">
        <f t="shared" si="53"/>
        <v>3.4284748042240789</v>
      </c>
      <c r="P192" s="1">
        <v>-841.26099999999997</v>
      </c>
      <c r="Q192" s="1" t="e">
        <f ca="1"/>
        <v>#NAME?</v>
      </c>
      <c r="R192" s="1" t="e">
        <f t="shared" ca="1" si="38"/>
        <v>#NAME?</v>
      </c>
      <c r="S192" s="4">
        <v>3316244000000</v>
      </c>
      <c r="T192" s="1">
        <v>138054</v>
      </c>
      <c r="U192" s="1" t="e">
        <f ca="1"/>
        <v>#NAME?</v>
      </c>
      <c r="V192" s="1" t="e">
        <f t="shared" ca="1" si="39"/>
        <v>#NAME?</v>
      </c>
      <c r="W192" s="1" t="e">
        <f ca="1"/>
        <v>#NAME?</v>
      </c>
      <c r="X192" s="1" t="e">
        <f t="shared" ca="1" si="40"/>
        <v>#NAME?</v>
      </c>
      <c r="Y192" s="1" t="e">
        <f ca="1"/>
        <v>#NAME?</v>
      </c>
      <c r="Z192" s="1" t="e">
        <f t="shared" ca="1" si="41"/>
        <v>#NAME?</v>
      </c>
      <c r="AA192" s="1" t="e">
        <f ca="1"/>
        <v>#NAME?</v>
      </c>
      <c r="AB192" s="1" t="e">
        <f t="shared" ca="1" si="42"/>
        <v>#NAME?</v>
      </c>
      <c r="AC192" s="1" t="e">
        <f ca="1"/>
        <v>#NAME?</v>
      </c>
      <c r="AD192" s="1" t="e">
        <f t="shared" ca="1" si="43"/>
        <v>#NAME?</v>
      </c>
      <c r="AE192" s="1" t="e">
        <f ca="1"/>
        <v>#NAME?</v>
      </c>
      <c r="AF192" s="1" t="e">
        <f t="shared" ca="1" si="44"/>
        <v>#NAME?</v>
      </c>
      <c r="AG192" s="1" t="e">
        <f ca="1"/>
        <v>#NAME?</v>
      </c>
      <c r="AH192" s="1" t="e">
        <f t="shared" ca="1" si="45"/>
        <v>#NAME?</v>
      </c>
      <c r="AI192" s="1" t="e">
        <f ca="1"/>
        <v>#NAME?</v>
      </c>
      <c r="AJ192" s="1" t="e">
        <f t="shared" ca="1" si="54"/>
        <v>#NAME?</v>
      </c>
      <c r="AK192" s="1" t="e">
        <f ca="1"/>
        <v>#NAME?</v>
      </c>
      <c r="AL192" s="1" t="e">
        <f t="shared" ca="1" si="46"/>
        <v>#NAME?</v>
      </c>
      <c r="AN192" s="1">
        <f t="shared" si="55"/>
        <v>3.4780493885392838</v>
      </c>
      <c r="AO192" s="1" t="e">
        <f ca="1"/>
        <v>#NAME?</v>
      </c>
      <c r="AP192" s="1" t="e">
        <f t="shared" ca="1" si="56"/>
        <v>#NAME?</v>
      </c>
    </row>
    <row r="193" spans="1:42" x14ac:dyDescent="0.25">
      <c r="A193" s="1" t="s">
        <v>208</v>
      </c>
      <c r="B193" s="1">
        <v>192</v>
      </c>
      <c r="C193" s="1">
        <v>15767.146000000001</v>
      </c>
      <c r="D193" s="1">
        <f t="shared" si="47"/>
        <v>4.1977530891042383</v>
      </c>
      <c r="E193" s="1">
        <v>10712.556</v>
      </c>
      <c r="F193" s="1">
        <f t="shared" si="48"/>
        <v>4.0298931052161944</v>
      </c>
      <c r="G193" s="1">
        <v>2653.056</v>
      </c>
      <c r="H193" s="1">
        <f t="shared" si="49"/>
        <v>3.4237464170514245</v>
      </c>
      <c r="I193" s="1">
        <v>3149.5419999999999</v>
      </c>
      <c r="J193" s="1">
        <f t="shared" si="50"/>
        <v>0.19975346204062547</v>
      </c>
      <c r="K193" s="1">
        <f t="shared" si="51"/>
        <v>3.4982474041596552</v>
      </c>
      <c r="L193" s="1">
        <v>1883.0619999999999</v>
      </c>
      <c r="M193" s="1">
        <f t="shared" si="52"/>
        <v>3.2748646194402431</v>
      </c>
      <c r="N193" s="1">
        <v>2656.7669999999998</v>
      </c>
      <c r="O193" s="1">
        <f t="shared" si="53"/>
        <v>3.4243534682035062</v>
      </c>
      <c r="P193" s="1">
        <v>-773.70500000000004</v>
      </c>
      <c r="Q193" s="1" t="e">
        <f ca="1"/>
        <v>#NAME?</v>
      </c>
      <c r="R193" s="1" t="e">
        <f t="shared" ca="1" si="38"/>
        <v>#NAME?</v>
      </c>
      <c r="S193" s="4">
        <v>3297634000000</v>
      </c>
      <c r="T193" s="1">
        <v>138288</v>
      </c>
      <c r="U193" s="1" t="e">
        <f ca="1"/>
        <v>#NAME?</v>
      </c>
      <c r="V193" s="1" t="e">
        <f t="shared" ca="1" si="39"/>
        <v>#NAME?</v>
      </c>
      <c r="W193" s="1" t="e">
        <f ca="1"/>
        <v>#NAME?</v>
      </c>
      <c r="X193" s="1" t="e">
        <f t="shared" ca="1" si="40"/>
        <v>#NAME?</v>
      </c>
      <c r="Y193" s="1" t="e">
        <f ca="1"/>
        <v>#NAME?</v>
      </c>
      <c r="Z193" s="1" t="e">
        <f t="shared" ca="1" si="41"/>
        <v>#NAME?</v>
      </c>
      <c r="AA193" s="1" t="e">
        <f ca="1"/>
        <v>#NAME?</v>
      </c>
      <c r="AB193" s="1" t="e">
        <f t="shared" ca="1" si="42"/>
        <v>#NAME?</v>
      </c>
      <c r="AC193" s="1" t="e">
        <f ca="1"/>
        <v>#NAME?</v>
      </c>
      <c r="AD193" s="1" t="e">
        <f t="shared" ca="1" si="43"/>
        <v>#NAME?</v>
      </c>
      <c r="AE193" s="1" t="e">
        <f ca="1"/>
        <v>#NAME?</v>
      </c>
      <c r="AF193" s="1" t="e">
        <f t="shared" ca="1" si="44"/>
        <v>#NAME?</v>
      </c>
      <c r="AG193" s="1" t="e">
        <f ca="1"/>
        <v>#NAME?</v>
      </c>
      <c r="AH193" s="1" t="e">
        <f t="shared" ca="1" si="45"/>
        <v>#NAME?</v>
      </c>
      <c r="AI193" s="1" t="e">
        <f ca="1"/>
        <v>#NAME?</v>
      </c>
      <c r="AJ193" s="1" t="e">
        <f t="shared" ca="1" si="54"/>
        <v>#NAME?</v>
      </c>
      <c r="AK193" s="1" t="e">
        <f ca="1"/>
        <v>#NAME?</v>
      </c>
      <c r="AL193" s="1" t="e">
        <f t="shared" ca="1" si="46"/>
        <v>#NAME?</v>
      </c>
      <c r="AN193" s="1">
        <f t="shared" si="55"/>
        <v>3.4810981290859715</v>
      </c>
      <c r="AO193" s="1" t="e">
        <f ca="1"/>
        <v>#NAME?</v>
      </c>
      <c r="AP193" s="1" t="e">
        <f t="shared" ca="1" si="56"/>
        <v>#NAME?</v>
      </c>
    </row>
    <row r="194" spans="1:42" x14ac:dyDescent="0.25">
      <c r="A194" s="1" t="s">
        <v>209</v>
      </c>
      <c r="B194" s="1">
        <v>193</v>
      </c>
      <c r="C194" s="1">
        <v>15702.906000000001</v>
      </c>
      <c r="D194" s="1">
        <f t="shared" si="47"/>
        <v>4.1959800309428648</v>
      </c>
      <c r="E194" s="1">
        <v>10697.867</v>
      </c>
      <c r="F194" s="1">
        <f t="shared" si="48"/>
        <v>4.029297194276408</v>
      </c>
      <c r="G194" s="1">
        <v>2583.2530000000002</v>
      </c>
      <c r="H194" s="1">
        <f t="shared" si="49"/>
        <v>3.4121669424192227</v>
      </c>
      <c r="I194" s="1">
        <v>3156.9279999999999</v>
      </c>
      <c r="J194" s="1">
        <f t="shared" si="50"/>
        <v>0.20104100476688835</v>
      </c>
      <c r="K194" s="1">
        <f t="shared" si="51"/>
        <v>3.4992646770587448</v>
      </c>
      <c r="L194" s="1">
        <v>1913.046</v>
      </c>
      <c r="M194" s="1">
        <f t="shared" si="52"/>
        <v>3.2817254129473072</v>
      </c>
      <c r="N194" s="1">
        <v>2666.73</v>
      </c>
      <c r="O194" s="1">
        <f t="shared" si="53"/>
        <v>3.4259790466437439</v>
      </c>
      <c r="P194" s="1">
        <v>-753.68399999999997</v>
      </c>
      <c r="Q194" s="1" t="e">
        <f ca="1"/>
        <v>#NAME?</v>
      </c>
      <c r="R194" s="1" t="e">
        <f t="shared" ref="R194:R254" ca="1" si="57">P194/Q194</f>
        <v>#NAME?</v>
      </c>
      <c r="S194" s="4">
        <v>3254287000000</v>
      </c>
      <c r="T194" s="1">
        <v>138325.66666666701</v>
      </c>
      <c r="U194" s="1" t="e">
        <f ca="1"/>
        <v>#NAME?</v>
      </c>
      <c r="V194" s="1" t="e">
        <f t="shared" ref="V194:V254" ca="1" si="58">100*(D194-U194)/U194</f>
        <v>#NAME?</v>
      </c>
      <c r="W194" s="1" t="e">
        <f ca="1"/>
        <v>#NAME?</v>
      </c>
      <c r="X194" s="1" t="e">
        <f t="shared" ref="X194:X254" ca="1" si="59">100*(F194-W194)/W194</f>
        <v>#NAME?</v>
      </c>
      <c r="Y194" s="1" t="e">
        <f ca="1"/>
        <v>#NAME?</v>
      </c>
      <c r="Z194" s="1" t="e">
        <f t="shared" ref="Z194:Z254" ca="1" si="60">100*(H194-Y194)/Y194</f>
        <v>#NAME?</v>
      </c>
      <c r="AA194" s="1" t="e">
        <f ca="1"/>
        <v>#NAME?</v>
      </c>
      <c r="AB194" s="1" t="e">
        <f t="shared" ref="AB194:AB254" ca="1" si="61">100*(K194-AA194)/AA194</f>
        <v>#NAME?</v>
      </c>
      <c r="AC194" s="1" t="e">
        <f ca="1"/>
        <v>#NAME?</v>
      </c>
      <c r="AD194" s="1" t="e">
        <f t="shared" ref="AD194:AD254" ca="1" si="62">100*(M194-AC194)/AC194</f>
        <v>#NAME?</v>
      </c>
      <c r="AE194" s="1" t="e">
        <f ca="1"/>
        <v>#NAME?</v>
      </c>
      <c r="AF194" s="1" t="e">
        <f t="shared" ref="AF194:AF254" ca="1" si="63">100*(O194-AE194)/AE194</f>
        <v>#NAME?</v>
      </c>
      <c r="AG194" s="1" t="e">
        <f ca="1"/>
        <v>#NAME?</v>
      </c>
      <c r="AH194" s="1" t="e">
        <f t="shared" ref="AH194:AH254" ca="1" si="64">100*(R194-AG194)</f>
        <v>#NAME?</v>
      </c>
      <c r="AI194" s="1" t="e">
        <f ca="1"/>
        <v>#NAME?</v>
      </c>
      <c r="AJ194" s="1" t="e">
        <f t="shared" ca="1" si="54"/>
        <v>#NAME?</v>
      </c>
      <c r="AK194" s="1" t="e">
        <f ca="1"/>
        <v>#NAME?</v>
      </c>
      <c r="AL194" s="1" t="e">
        <f t="shared" ref="AL194:AL254" ca="1" si="65">100*(J194-AK194)</f>
        <v>#NAME?</v>
      </c>
      <c r="AN194" s="1">
        <f t="shared" si="55"/>
        <v>3.4813181503954622</v>
      </c>
      <c r="AO194" s="1" t="e">
        <f ca="1"/>
        <v>#NAME?</v>
      </c>
      <c r="AP194" s="1" t="e">
        <f t="shared" ca="1" si="56"/>
        <v>#NAME?</v>
      </c>
    </row>
    <row r="195" spans="1:42" x14ac:dyDescent="0.25">
      <c r="A195" s="1" t="s">
        <v>210</v>
      </c>
      <c r="B195" s="1">
        <v>194</v>
      </c>
      <c r="C195" s="1">
        <v>15792.772999999999</v>
      </c>
      <c r="D195" s="1">
        <f t="shared" ref="D195:D254" si="66">LOG(C195)</f>
        <v>4.1984583930141683</v>
      </c>
      <c r="E195" s="1">
        <v>10727.347</v>
      </c>
      <c r="F195" s="1">
        <f t="shared" ref="F195:F254" si="67">LOG(E195)</f>
        <v>4.0304923290747086</v>
      </c>
      <c r="G195" s="1">
        <v>2536.4029999999998</v>
      </c>
      <c r="H195" s="1">
        <f t="shared" ref="H195:H254" si="68">LOG(G195)</f>
        <v>3.4042182581889007</v>
      </c>
      <c r="I195" s="1">
        <v>3184.2579999999998</v>
      </c>
      <c r="J195" s="1">
        <f t="shared" ref="J195:J254" si="69">I195/C195</f>
        <v>0.20162754191426674</v>
      </c>
      <c r="K195" s="1">
        <f t="shared" ref="K195:K254" si="70">LOG(I195)</f>
        <v>3.5030082485872849</v>
      </c>
      <c r="L195" s="1">
        <v>1969.204</v>
      </c>
      <c r="M195" s="1">
        <f t="shared" ref="M195:M254" si="71">LOG(L195)</f>
        <v>3.2942907092742724</v>
      </c>
      <c r="N195" s="1">
        <v>2641.498</v>
      </c>
      <c r="O195" s="1">
        <f t="shared" ref="O195:O254" si="72">LOG(N195)</f>
        <v>3.4218502861986946</v>
      </c>
      <c r="P195" s="1">
        <v>-672.29399999999998</v>
      </c>
      <c r="Q195" s="1" t="e">
        <f ca="1"/>
        <v>#NAME?</v>
      </c>
      <c r="R195" s="1" t="e">
        <f t="shared" ca="1" si="57"/>
        <v>#NAME?</v>
      </c>
      <c r="S195" s="4">
        <v>3244464000000</v>
      </c>
      <c r="T195" s="1">
        <v>137858</v>
      </c>
      <c r="U195" s="1" t="e">
        <f ca="1"/>
        <v>#NAME?</v>
      </c>
      <c r="V195" s="1" t="e">
        <f t="shared" ca="1" si="58"/>
        <v>#NAME?</v>
      </c>
      <c r="W195" s="1" t="e">
        <f ca="1"/>
        <v>#NAME?</v>
      </c>
      <c r="X195" s="1" t="e">
        <f t="shared" ca="1" si="59"/>
        <v>#NAME?</v>
      </c>
      <c r="Y195" s="1" t="e">
        <f ca="1"/>
        <v>#NAME?</v>
      </c>
      <c r="Z195" s="1" t="e">
        <f t="shared" ca="1" si="60"/>
        <v>#NAME?</v>
      </c>
      <c r="AA195" s="1" t="e">
        <f ca="1"/>
        <v>#NAME?</v>
      </c>
      <c r="AB195" s="1" t="e">
        <f t="shared" ca="1" si="61"/>
        <v>#NAME?</v>
      </c>
      <c r="AC195" s="1" t="e">
        <f ca="1"/>
        <v>#NAME?</v>
      </c>
      <c r="AD195" s="1" t="e">
        <f t="shared" ca="1" si="62"/>
        <v>#NAME?</v>
      </c>
      <c r="AE195" s="1" t="e">
        <f ca="1"/>
        <v>#NAME?</v>
      </c>
      <c r="AF195" s="1" t="e">
        <f t="shared" ca="1" si="63"/>
        <v>#NAME?</v>
      </c>
      <c r="AG195" s="1" t="e">
        <f ca="1"/>
        <v>#NAME?</v>
      </c>
      <c r="AH195" s="1" t="e">
        <f t="shared" ca="1" si="64"/>
        <v>#NAME?</v>
      </c>
      <c r="AI195" s="1" t="e">
        <f ca="1"/>
        <v>#NAME?</v>
      </c>
      <c r="AJ195" s="1" t="e">
        <f t="shared" ref="AJ195:AJ254" ca="1" si="73">-100*(P195-AI195)/AI195</f>
        <v>#NAME?</v>
      </c>
      <c r="AK195" s="1" t="e">
        <f ca="1"/>
        <v>#NAME?</v>
      </c>
      <c r="AL195" s="1" t="e">
        <f t="shared" ca="1" si="65"/>
        <v>#NAME?</v>
      </c>
      <c r="AN195" s="1">
        <f t="shared" si="55"/>
        <v>3.485210464431665</v>
      </c>
      <c r="AO195" s="1" t="e">
        <f ca="1"/>
        <v>#NAME?</v>
      </c>
      <c r="AP195" s="1" t="e">
        <f t="shared" ca="1" si="56"/>
        <v>#NAME?</v>
      </c>
    </row>
    <row r="196" spans="1:42" x14ac:dyDescent="0.25">
      <c r="A196" s="1" t="s">
        <v>211</v>
      </c>
      <c r="B196" s="1">
        <v>195</v>
      </c>
      <c r="C196" s="1">
        <v>15709.562</v>
      </c>
      <c r="D196" s="1">
        <f t="shared" si="66"/>
        <v>4.1961640765972721</v>
      </c>
      <c r="E196" s="1">
        <v>10644.668</v>
      </c>
      <c r="F196" s="1">
        <f t="shared" si="67"/>
        <v>4.0271321206342288</v>
      </c>
      <c r="G196" s="1">
        <v>2485.549</v>
      </c>
      <c r="H196" s="1">
        <f t="shared" si="68"/>
        <v>3.3954223292210854</v>
      </c>
      <c r="I196" s="1">
        <v>3210.02</v>
      </c>
      <c r="J196" s="1">
        <f t="shared" si="69"/>
        <v>0.2043354232282224</v>
      </c>
      <c r="K196" s="1">
        <f t="shared" si="70"/>
        <v>3.5065077382810652</v>
      </c>
      <c r="L196" s="1">
        <v>1960.3620000000001</v>
      </c>
      <c r="M196" s="1">
        <f t="shared" si="71"/>
        <v>3.2923362754819605</v>
      </c>
      <c r="N196" s="1">
        <v>2608.1610000000001</v>
      </c>
      <c r="O196" s="1">
        <f t="shared" si="72"/>
        <v>3.4163343965895763</v>
      </c>
      <c r="P196" s="1">
        <v>-647.79899999999998</v>
      </c>
      <c r="Q196" s="1" t="e">
        <f ca="1"/>
        <v>#NAME?</v>
      </c>
      <c r="R196" s="1" t="e">
        <f t="shared" ca="1" si="57"/>
        <v>#NAME?</v>
      </c>
      <c r="S196" s="4">
        <v>3182549000000</v>
      </c>
      <c r="T196" s="1">
        <v>137153</v>
      </c>
      <c r="U196" s="1" t="e">
        <f ca="1"/>
        <v>#NAME?</v>
      </c>
      <c r="V196" s="1" t="e">
        <f t="shared" ca="1" si="58"/>
        <v>#NAME?</v>
      </c>
      <c r="W196" s="1" t="e">
        <f ca="1"/>
        <v>#NAME?</v>
      </c>
      <c r="X196" s="1" t="e">
        <f t="shared" ca="1" si="59"/>
        <v>#NAME?</v>
      </c>
      <c r="Y196" s="1" t="e">
        <f ca="1"/>
        <v>#NAME?</v>
      </c>
      <c r="Z196" s="1" t="e">
        <f t="shared" ca="1" si="60"/>
        <v>#NAME?</v>
      </c>
      <c r="AA196" s="1" t="e">
        <f ca="1"/>
        <v>#NAME?</v>
      </c>
      <c r="AB196" s="1" t="e">
        <f t="shared" ca="1" si="61"/>
        <v>#NAME?</v>
      </c>
      <c r="AC196" s="1" t="e">
        <f ca="1"/>
        <v>#NAME?</v>
      </c>
      <c r="AD196" s="1" t="e">
        <f t="shared" ca="1" si="62"/>
        <v>#NAME?</v>
      </c>
      <c r="AE196" s="1" t="e">
        <f ca="1"/>
        <v>#NAME?</v>
      </c>
      <c r="AF196" s="1" t="e">
        <f t="shared" ca="1" si="63"/>
        <v>#NAME?</v>
      </c>
      <c r="AG196" s="1" t="e">
        <f ca="1"/>
        <v>#NAME?</v>
      </c>
      <c r="AH196" s="1" t="e">
        <f t="shared" ca="1" si="64"/>
        <v>#NAME?</v>
      </c>
      <c r="AI196" s="1" t="e">
        <f ca="1"/>
        <v>#NAME?</v>
      </c>
      <c r="AJ196" s="1" t="e">
        <f t="shared" ca="1" si="73"/>
        <v>#NAME?</v>
      </c>
      <c r="AK196" s="1" t="e">
        <f ca="1"/>
        <v>#NAME?</v>
      </c>
      <c r="AL196" s="1" t="e">
        <f t="shared" ca="1" si="65"/>
        <v>#NAME?</v>
      </c>
      <c r="AN196" s="1">
        <f t="shared" si="55"/>
        <v>3.4873536415842299</v>
      </c>
      <c r="AO196" s="1" t="e">
        <f ca="1"/>
        <v>#NAME?</v>
      </c>
      <c r="AP196" s="1" t="e">
        <f t="shared" ca="1" si="56"/>
        <v>#NAME?</v>
      </c>
    </row>
    <row r="197" spans="1:42" x14ac:dyDescent="0.25">
      <c r="A197" s="1" t="s">
        <v>212</v>
      </c>
      <c r="B197" s="1">
        <v>196</v>
      </c>
      <c r="C197" s="1">
        <v>15366.607</v>
      </c>
      <c r="D197" s="1">
        <f t="shared" si="66"/>
        <v>4.1865779843605893</v>
      </c>
      <c r="E197" s="1">
        <v>10548.871999999999</v>
      </c>
      <c r="F197" s="1">
        <f t="shared" si="67"/>
        <v>4.0232060226321451</v>
      </c>
      <c r="G197" s="1">
        <v>2246.4409999999998</v>
      </c>
      <c r="H197" s="1">
        <f t="shared" si="68"/>
        <v>3.351495016870325</v>
      </c>
      <c r="I197" s="1">
        <v>3231.944</v>
      </c>
      <c r="J197" s="1">
        <f t="shared" si="69"/>
        <v>0.21032255201164446</v>
      </c>
      <c r="K197" s="1">
        <f t="shared" si="70"/>
        <v>3.5094638271329672</v>
      </c>
      <c r="L197" s="1">
        <v>1844.981</v>
      </c>
      <c r="M197" s="1">
        <f t="shared" si="71"/>
        <v>3.2659918980627518</v>
      </c>
      <c r="N197" s="1">
        <v>2513.8440000000001</v>
      </c>
      <c r="O197" s="1">
        <f t="shared" si="72"/>
        <v>3.4003383234528464</v>
      </c>
      <c r="P197" s="1">
        <v>-668.86300000000006</v>
      </c>
      <c r="Q197" s="1" t="e">
        <f ca="1"/>
        <v>#NAME?</v>
      </c>
      <c r="R197" s="1" t="e">
        <f t="shared" ca="1" si="57"/>
        <v>#NAME?</v>
      </c>
      <c r="S197" s="4">
        <v>3011539000000</v>
      </c>
      <c r="T197" s="1">
        <v>135563</v>
      </c>
      <c r="U197" s="1" t="e">
        <f ca="1"/>
        <v>#NAME?</v>
      </c>
      <c r="V197" s="1" t="e">
        <f t="shared" ca="1" si="58"/>
        <v>#NAME?</v>
      </c>
      <c r="W197" s="1" t="e">
        <f ca="1"/>
        <v>#NAME?</v>
      </c>
      <c r="X197" s="1" t="e">
        <f t="shared" ca="1" si="59"/>
        <v>#NAME?</v>
      </c>
      <c r="Y197" s="1" t="e">
        <f ca="1"/>
        <v>#NAME?</v>
      </c>
      <c r="Z197" s="1" t="e">
        <f t="shared" ca="1" si="60"/>
        <v>#NAME?</v>
      </c>
      <c r="AA197" s="1" t="e">
        <f ca="1"/>
        <v>#NAME?</v>
      </c>
      <c r="AB197" s="1" t="e">
        <f t="shared" ca="1" si="61"/>
        <v>#NAME?</v>
      </c>
      <c r="AC197" s="1" t="e">
        <f ca="1"/>
        <v>#NAME?</v>
      </c>
      <c r="AD197" s="1" t="e">
        <f t="shared" ca="1" si="62"/>
        <v>#NAME?</v>
      </c>
      <c r="AE197" s="1" t="e">
        <f ca="1"/>
        <v>#NAME?</v>
      </c>
      <c r="AF197" s="1" t="e">
        <f t="shared" ca="1" si="63"/>
        <v>#NAME?</v>
      </c>
      <c r="AG197" s="1" t="e">
        <f ca="1"/>
        <v>#NAME?</v>
      </c>
      <c r="AH197" s="1" t="e">
        <f t="shared" ca="1" si="64"/>
        <v>#NAME?</v>
      </c>
      <c r="AI197" s="1" t="e">
        <f ca="1"/>
        <v>#NAME?</v>
      </c>
      <c r="AJ197" s="1" t="e">
        <f t="shared" ca="1" si="73"/>
        <v>#NAME?</v>
      </c>
      <c r="AK197" s="1" t="e">
        <f ca="1"/>
        <v>#NAME?</v>
      </c>
      <c r="AL197" s="1" t="e">
        <f t="shared" ca="1" si="65"/>
        <v>#NAME?</v>
      </c>
      <c r="AN197" s="1">
        <f t="shared" si="55"/>
        <v>3.489643777779996</v>
      </c>
      <c r="AO197" s="1" t="e">
        <f ca="1"/>
        <v>#NAME?</v>
      </c>
      <c r="AP197" s="1" t="e">
        <f t="shared" ca="1" si="56"/>
        <v>#NAME?</v>
      </c>
    </row>
    <row r="198" spans="1:42" x14ac:dyDescent="0.25">
      <c r="A198" s="1" t="s">
        <v>213</v>
      </c>
      <c r="B198" s="1">
        <v>197</v>
      </c>
      <c r="C198" s="1">
        <v>15187.475</v>
      </c>
      <c r="D198" s="1">
        <f t="shared" si="66"/>
        <v>4.1814855760537633</v>
      </c>
      <c r="E198" s="1">
        <v>10522.083000000001</v>
      </c>
      <c r="F198" s="1">
        <f t="shared" si="67"/>
        <v>4.0221017232642033</v>
      </c>
      <c r="G198" s="1">
        <v>1986.845</v>
      </c>
      <c r="H198" s="1">
        <f t="shared" si="68"/>
        <v>3.2981639877588442</v>
      </c>
      <c r="I198" s="1">
        <v>3268.8180000000002</v>
      </c>
      <c r="J198" s="1">
        <f t="shared" si="69"/>
        <v>0.21523116910480511</v>
      </c>
      <c r="K198" s="1">
        <f t="shared" si="70"/>
        <v>3.5143907407712258</v>
      </c>
      <c r="L198" s="1">
        <v>1697.6369999999999</v>
      </c>
      <c r="M198" s="1">
        <f t="shared" si="71"/>
        <v>3.2298448321090554</v>
      </c>
      <c r="N198" s="1">
        <v>2274.895</v>
      </c>
      <c r="O198" s="1">
        <f t="shared" si="72"/>
        <v>3.3569613561698515</v>
      </c>
      <c r="P198" s="1">
        <v>-577.25800000000004</v>
      </c>
      <c r="Q198" s="1" t="e">
        <f ca="1"/>
        <v>#NAME?</v>
      </c>
      <c r="R198" s="1" t="e">
        <f t="shared" ca="1" si="57"/>
        <v>#NAME?</v>
      </c>
      <c r="S198" s="4">
        <v>2820754000000</v>
      </c>
      <c r="T198" s="1">
        <v>133291</v>
      </c>
      <c r="U198" s="1" t="e">
        <f ca="1"/>
        <v>#NAME?</v>
      </c>
      <c r="V198" s="1" t="e">
        <f t="shared" ca="1" si="58"/>
        <v>#NAME?</v>
      </c>
      <c r="W198" s="1" t="e">
        <f ca="1"/>
        <v>#NAME?</v>
      </c>
      <c r="X198" s="1" t="e">
        <f t="shared" ca="1" si="59"/>
        <v>#NAME?</v>
      </c>
      <c r="Y198" s="1" t="e">
        <f ca="1"/>
        <v>#NAME?</v>
      </c>
      <c r="Z198" s="1" t="e">
        <f t="shared" ca="1" si="60"/>
        <v>#NAME?</v>
      </c>
      <c r="AA198" s="1" t="e">
        <f ca="1"/>
        <v>#NAME?</v>
      </c>
      <c r="AB198" s="1" t="e">
        <f t="shared" ca="1" si="61"/>
        <v>#NAME?</v>
      </c>
      <c r="AC198" s="1" t="e">
        <f ca="1"/>
        <v>#NAME?</v>
      </c>
      <c r="AD198" s="1" t="e">
        <f t="shared" ca="1" si="62"/>
        <v>#NAME?</v>
      </c>
      <c r="AE198" s="1" t="e">
        <f ca="1"/>
        <v>#NAME?</v>
      </c>
      <c r="AF198" s="1" t="e">
        <f t="shared" ca="1" si="63"/>
        <v>#NAME?</v>
      </c>
      <c r="AG198" s="1" t="e">
        <f ca="1"/>
        <v>#NAME?</v>
      </c>
      <c r="AH198" s="1" t="e">
        <f t="shared" ca="1" si="64"/>
        <v>#NAME?</v>
      </c>
      <c r="AI198" s="1" t="e">
        <f ca="1"/>
        <v>#NAME?</v>
      </c>
      <c r="AJ198" s="1" t="e">
        <f t="shared" ca="1" si="73"/>
        <v>#NAME?</v>
      </c>
      <c r="AK198" s="1" t="e">
        <f ca="1"/>
        <v>#NAME?</v>
      </c>
      <c r="AL198" s="1" t="e">
        <f t="shared" ca="1" si="65"/>
        <v>#NAME?</v>
      </c>
      <c r="AN198" s="1">
        <f t="shared" si="55"/>
        <v>3.4994815707142619</v>
      </c>
      <c r="AO198" s="1" t="e">
        <f ca="1"/>
        <v>#NAME?</v>
      </c>
      <c r="AP198" s="1" t="e">
        <f t="shared" ca="1" si="56"/>
        <v>#NAME?</v>
      </c>
    </row>
    <row r="199" spans="1:42" x14ac:dyDescent="0.25">
      <c r="A199" s="1" t="s">
        <v>214</v>
      </c>
      <c r="B199" s="1">
        <v>198</v>
      </c>
      <c r="C199" s="1">
        <v>15161.772000000001</v>
      </c>
      <c r="D199" s="1">
        <f t="shared" si="66"/>
        <v>4.180749961510366</v>
      </c>
      <c r="E199" s="1">
        <v>10470.358</v>
      </c>
      <c r="F199" s="1">
        <f t="shared" si="67"/>
        <v>4.0199615312267376</v>
      </c>
      <c r="G199" s="1">
        <v>1872.287</v>
      </c>
      <c r="H199" s="1">
        <f t="shared" si="68"/>
        <v>3.2723724218394197</v>
      </c>
      <c r="I199" s="1">
        <v>3316.62</v>
      </c>
      <c r="J199" s="1">
        <f t="shared" si="69"/>
        <v>0.21874883753693167</v>
      </c>
      <c r="K199" s="1">
        <f t="shared" si="70"/>
        <v>3.5206957153069456</v>
      </c>
      <c r="L199" s="1">
        <v>1708.8320000000001</v>
      </c>
      <c r="M199" s="1">
        <f t="shared" si="71"/>
        <v>3.2326993681277796</v>
      </c>
      <c r="N199" s="1">
        <v>2182.5010000000002</v>
      </c>
      <c r="O199" s="1">
        <f t="shared" si="72"/>
        <v>3.3389544513670151</v>
      </c>
      <c r="P199" s="1">
        <v>-473.66899999999998</v>
      </c>
      <c r="Q199" s="1" t="e">
        <f ca="1"/>
        <v>#NAME?</v>
      </c>
      <c r="R199" s="1" t="e">
        <f t="shared" ca="1" si="57"/>
        <v>#NAME?</v>
      </c>
      <c r="S199" s="4">
        <v>2752566000000</v>
      </c>
      <c r="T199" s="1">
        <v>131432.33333333299</v>
      </c>
      <c r="U199" s="1" t="e">
        <f ca="1"/>
        <v>#NAME?</v>
      </c>
      <c r="V199" s="1" t="e">
        <f t="shared" ca="1" si="58"/>
        <v>#NAME?</v>
      </c>
      <c r="W199" s="1" t="e">
        <f ca="1"/>
        <v>#NAME?</v>
      </c>
      <c r="X199" s="1" t="e">
        <f t="shared" ca="1" si="59"/>
        <v>#NAME?</v>
      </c>
      <c r="Y199" s="1" t="e">
        <f ca="1"/>
        <v>#NAME?</v>
      </c>
      <c r="Z199" s="1" t="e">
        <f t="shared" ca="1" si="60"/>
        <v>#NAME?</v>
      </c>
      <c r="AA199" s="1" t="e">
        <f ca="1"/>
        <v>#NAME?</v>
      </c>
      <c r="AB199" s="1" t="e">
        <f t="shared" ca="1" si="61"/>
        <v>#NAME?</v>
      </c>
      <c r="AC199" s="1" t="e">
        <f ca="1"/>
        <v>#NAME?</v>
      </c>
      <c r="AD199" s="1" t="e">
        <f t="shared" ca="1" si="62"/>
        <v>#NAME?</v>
      </c>
      <c r="AE199" s="1" t="e">
        <f ca="1"/>
        <v>#NAME?</v>
      </c>
      <c r="AF199" s="1" t="e">
        <f t="shared" ca="1" si="63"/>
        <v>#NAME?</v>
      </c>
      <c r="AG199" s="1" t="e">
        <f ca="1"/>
        <v>#NAME?</v>
      </c>
      <c r="AH199" s="1" t="e">
        <f t="shared" ca="1" si="64"/>
        <v>#NAME?</v>
      </c>
      <c r="AI199" s="1" t="e">
        <f ca="1"/>
        <v>#NAME?</v>
      </c>
      <c r="AJ199" s="1" t="e">
        <f t="shared" ca="1" si="73"/>
        <v>#NAME?</v>
      </c>
      <c r="AK199" s="1" t="e">
        <f ca="1"/>
        <v>#NAME?</v>
      </c>
      <c r="AL199" s="1" t="e">
        <f t="shared" ca="1" si="65"/>
        <v>#NAME?</v>
      </c>
      <c r="AN199" s="1">
        <f t="shared" si="55"/>
        <v>3.506474955157759</v>
      </c>
      <c r="AO199" s="1" t="e">
        <f ca="1"/>
        <v>#NAME?</v>
      </c>
      <c r="AP199" s="1" t="e">
        <f t="shared" ca="1" si="56"/>
        <v>#NAME?</v>
      </c>
    </row>
    <row r="200" spans="1:42" x14ac:dyDescent="0.25">
      <c r="A200" s="1" t="s">
        <v>215</v>
      </c>
      <c r="B200" s="1">
        <v>199</v>
      </c>
      <c r="C200" s="1">
        <v>15216.647000000001</v>
      </c>
      <c r="D200" s="1">
        <f t="shared" si="66"/>
        <v>4.1823189658496478</v>
      </c>
      <c r="E200" s="1">
        <v>10540.769</v>
      </c>
      <c r="F200" s="1">
        <f t="shared" si="67"/>
        <v>4.0228722959119958</v>
      </c>
      <c r="G200" s="1">
        <v>1868.0129999999999</v>
      </c>
      <c r="H200" s="1">
        <f t="shared" si="68"/>
        <v>3.2713798942755625</v>
      </c>
      <c r="I200" s="1">
        <v>3325.6819999999998</v>
      </c>
      <c r="J200" s="1">
        <f t="shared" si="69"/>
        <v>0.21855550700492687</v>
      </c>
      <c r="K200" s="1">
        <f t="shared" si="70"/>
        <v>3.5218807198540865</v>
      </c>
      <c r="L200" s="1">
        <v>1772.0039999999999</v>
      </c>
      <c r="M200" s="1">
        <f t="shared" si="71"/>
        <v>3.2484646978986431</v>
      </c>
      <c r="N200" s="1">
        <v>2272.5349999999999</v>
      </c>
      <c r="O200" s="1">
        <f t="shared" si="72"/>
        <v>3.3565105806463982</v>
      </c>
      <c r="P200" s="1">
        <v>-500.53100000000001</v>
      </c>
      <c r="Q200" s="1" t="e">
        <f ca="1"/>
        <v>#NAME?</v>
      </c>
      <c r="R200" s="1" t="e">
        <f t="shared" ca="1" si="57"/>
        <v>#NAME?</v>
      </c>
      <c r="S200" s="4">
        <v>2762704000000</v>
      </c>
      <c r="T200" s="1">
        <v>130460.33333333299</v>
      </c>
      <c r="U200" s="1" t="e">
        <f ca="1"/>
        <v>#NAME?</v>
      </c>
      <c r="V200" s="1" t="e">
        <f t="shared" ca="1" si="58"/>
        <v>#NAME?</v>
      </c>
      <c r="W200" s="1" t="e">
        <f ca="1"/>
        <v>#NAME?</v>
      </c>
      <c r="X200" s="1" t="e">
        <f t="shared" ca="1" si="59"/>
        <v>#NAME?</v>
      </c>
      <c r="Y200" s="1" t="e">
        <f ca="1"/>
        <v>#NAME?</v>
      </c>
      <c r="Z200" s="1" t="e">
        <f t="shared" ca="1" si="60"/>
        <v>#NAME?</v>
      </c>
      <c r="AA200" s="1" t="e">
        <f ca="1"/>
        <v>#NAME?</v>
      </c>
      <c r="AB200" s="1" t="e">
        <f t="shared" ca="1" si="61"/>
        <v>#NAME?</v>
      </c>
      <c r="AC200" s="1" t="e">
        <f ca="1"/>
        <v>#NAME?</v>
      </c>
      <c r="AD200" s="1" t="e">
        <f t="shared" ca="1" si="62"/>
        <v>#NAME?</v>
      </c>
      <c r="AE200" s="1" t="e">
        <f ca="1"/>
        <v>#NAME?</v>
      </c>
      <c r="AF200" s="1" t="e">
        <f t="shared" ca="1" si="63"/>
        <v>#NAME?</v>
      </c>
      <c r="AG200" s="1" t="e">
        <f ca="1"/>
        <v>#NAME?</v>
      </c>
      <c r="AH200" s="1" t="e">
        <f t="shared" ca="1" si="64"/>
        <v>#NAME?</v>
      </c>
      <c r="AI200" s="1" t="e">
        <f ca="1"/>
        <v>#NAME?</v>
      </c>
      <c r="AJ200" s="1" t="e">
        <f t="shared" ca="1" si="73"/>
        <v>#NAME?</v>
      </c>
      <c r="AK200" s="1" t="e">
        <f ca="1"/>
        <v>#NAME?</v>
      </c>
      <c r="AL200" s="1" t="e">
        <f t="shared" ca="1" si="65"/>
        <v>#NAME?</v>
      </c>
      <c r="AN200" s="1">
        <f t="shared" si="55"/>
        <v>3.5095323678607357</v>
      </c>
      <c r="AO200" s="1" t="e">
        <f ca="1"/>
        <v>#NAME?</v>
      </c>
      <c r="AP200" s="1" t="e">
        <f t="shared" ca="1" si="56"/>
        <v>#NAME?</v>
      </c>
    </row>
    <row r="201" spans="1:42" x14ac:dyDescent="0.25">
      <c r="A201" s="1" t="s">
        <v>216</v>
      </c>
      <c r="B201" s="1">
        <v>200</v>
      </c>
      <c r="C201" s="1">
        <v>15379.155000000001</v>
      </c>
      <c r="D201" s="1">
        <f t="shared" si="66"/>
        <v>4.1869324740272615</v>
      </c>
      <c r="E201" s="1">
        <v>10529.156000000001</v>
      </c>
      <c r="F201" s="1">
        <f t="shared" si="67"/>
        <v>4.0223935602421683</v>
      </c>
      <c r="G201" s="1">
        <v>2040.7360000000001</v>
      </c>
      <c r="H201" s="1">
        <f t="shared" si="68"/>
        <v>3.3097868258042631</v>
      </c>
      <c r="I201" s="1">
        <v>3331.645</v>
      </c>
      <c r="J201" s="1">
        <f t="shared" si="69"/>
        <v>0.21663381375634747</v>
      </c>
      <c r="K201" s="1">
        <f t="shared" si="70"/>
        <v>3.522658719398994</v>
      </c>
      <c r="L201" s="1">
        <v>1871.4849999999999</v>
      </c>
      <c r="M201" s="1">
        <f t="shared" si="71"/>
        <v>3.2721863505830426</v>
      </c>
      <c r="N201" s="1">
        <v>2385.0740000000001</v>
      </c>
      <c r="O201" s="1">
        <f t="shared" si="72"/>
        <v>3.3775018581321485</v>
      </c>
      <c r="P201" s="1">
        <v>-513.58900000000006</v>
      </c>
      <c r="Q201" s="1" t="e">
        <f ca="1"/>
        <v>#NAME?</v>
      </c>
      <c r="R201" s="1" t="e">
        <f t="shared" ca="1" si="57"/>
        <v>#NAME?</v>
      </c>
      <c r="S201" s="4">
        <v>2767407000000</v>
      </c>
      <c r="T201" s="1">
        <v>129976.33333333299</v>
      </c>
      <c r="U201" s="1" t="e">
        <f ca="1"/>
        <v>#NAME?</v>
      </c>
      <c r="V201" s="1" t="e">
        <f t="shared" ca="1" si="58"/>
        <v>#NAME?</v>
      </c>
      <c r="W201" s="1" t="e">
        <f ca="1"/>
        <v>#NAME?</v>
      </c>
      <c r="X201" s="1" t="e">
        <f t="shared" ca="1" si="59"/>
        <v>#NAME?</v>
      </c>
      <c r="Y201" s="1" t="e">
        <f ca="1"/>
        <v>#NAME?</v>
      </c>
      <c r="Z201" s="1" t="e">
        <f t="shared" ca="1" si="60"/>
        <v>#NAME?</v>
      </c>
      <c r="AA201" s="1" t="e">
        <f ca="1"/>
        <v>#NAME?</v>
      </c>
      <c r="AB201" s="1" t="e">
        <f t="shared" ca="1" si="61"/>
        <v>#NAME?</v>
      </c>
      <c r="AC201" s="1" t="e">
        <f ca="1"/>
        <v>#NAME?</v>
      </c>
      <c r="AD201" s="1" t="e">
        <f t="shared" ca="1" si="62"/>
        <v>#NAME?</v>
      </c>
      <c r="AE201" s="1" t="e">
        <f ca="1"/>
        <v>#NAME?</v>
      </c>
      <c r="AF201" s="1" t="e">
        <f t="shared" ca="1" si="63"/>
        <v>#NAME?</v>
      </c>
      <c r="AG201" s="1" t="e">
        <f ca="1"/>
        <v>#NAME?</v>
      </c>
      <c r="AH201" s="1" t="e">
        <f t="shared" ca="1" si="64"/>
        <v>#NAME?</v>
      </c>
      <c r="AI201" s="1" t="e">
        <f ca="1"/>
        <v>#NAME?</v>
      </c>
      <c r="AJ201" s="1" t="e">
        <f t="shared" ca="1" si="73"/>
        <v>#NAME?</v>
      </c>
      <c r="AK201" s="1" t="e">
        <f ca="1"/>
        <v>#NAME?</v>
      </c>
      <c r="AL201" s="1" t="e">
        <f t="shared" ca="1" si="65"/>
        <v>#NAME?</v>
      </c>
      <c r="AN201" s="1">
        <f t="shared" si="55"/>
        <v>3.5149130413864222</v>
      </c>
      <c r="AO201" s="1" t="e">
        <f ca="1"/>
        <v>#NAME?</v>
      </c>
      <c r="AP201" s="1" t="e">
        <f t="shared" ca="1" si="56"/>
        <v>#NAME?</v>
      </c>
    </row>
    <row r="202" spans="1:42" x14ac:dyDescent="0.25">
      <c r="A202" s="1" t="s">
        <v>217</v>
      </c>
      <c r="B202" s="1">
        <v>201</v>
      </c>
      <c r="C202" s="1">
        <v>15456.058999999999</v>
      </c>
      <c r="D202" s="1">
        <f t="shared" si="66"/>
        <v>4.1890987668952748</v>
      </c>
      <c r="E202" s="1">
        <v>10590.177</v>
      </c>
      <c r="F202" s="1">
        <f t="shared" si="67"/>
        <v>4.0249032187931233</v>
      </c>
      <c r="G202" s="1">
        <v>2087.1709999999998</v>
      </c>
      <c r="H202" s="1">
        <f t="shared" si="68"/>
        <v>3.3195580318704936</v>
      </c>
      <c r="I202" s="1">
        <v>3317.3470000000002</v>
      </c>
      <c r="J202" s="1">
        <f t="shared" si="69"/>
        <v>0.21463084477097302</v>
      </c>
      <c r="K202" s="1">
        <f t="shared" si="70"/>
        <v>3.5207909018189096</v>
      </c>
      <c r="L202" s="1">
        <v>1916.239</v>
      </c>
      <c r="M202" s="1">
        <f t="shared" si="71"/>
        <v>3.2824496748406378</v>
      </c>
      <c r="N202" s="1">
        <v>2448.0439999999999</v>
      </c>
      <c r="O202" s="1">
        <f t="shared" si="72"/>
        <v>3.3888192193499429</v>
      </c>
      <c r="P202" s="1">
        <v>-531.80499999999995</v>
      </c>
      <c r="Q202" s="1" t="e">
        <f ca="1"/>
        <v>#NAME?</v>
      </c>
      <c r="R202" s="1" t="e">
        <f t="shared" ca="1" si="57"/>
        <v>#NAME?</v>
      </c>
      <c r="S202" s="4">
        <v>2757249000000</v>
      </c>
      <c r="T202" s="1">
        <v>129787.33333333299</v>
      </c>
      <c r="U202" s="1" t="e">
        <f ca="1"/>
        <v>#NAME?</v>
      </c>
      <c r="V202" s="1" t="e">
        <f t="shared" ca="1" si="58"/>
        <v>#NAME?</v>
      </c>
      <c r="W202" s="1" t="e">
        <f ca="1"/>
        <v>#NAME?</v>
      </c>
      <c r="X202" s="1" t="e">
        <f t="shared" ca="1" si="59"/>
        <v>#NAME?</v>
      </c>
      <c r="Y202" s="1" t="e">
        <f ca="1"/>
        <v>#NAME?</v>
      </c>
      <c r="Z202" s="1" t="e">
        <f t="shared" ca="1" si="60"/>
        <v>#NAME?</v>
      </c>
      <c r="AA202" s="1" t="e">
        <f ca="1"/>
        <v>#NAME?</v>
      </c>
      <c r="AB202" s="1" t="e">
        <f t="shared" ca="1" si="61"/>
        <v>#NAME?</v>
      </c>
      <c r="AC202" s="1" t="e">
        <f ca="1"/>
        <v>#NAME?</v>
      </c>
      <c r="AD202" s="1" t="e">
        <f t="shared" ca="1" si="62"/>
        <v>#NAME?</v>
      </c>
      <c r="AE202" s="1" t="e">
        <f ca="1"/>
        <v>#NAME?</v>
      </c>
      <c r="AF202" s="1" t="e">
        <f t="shared" ca="1" si="63"/>
        <v>#NAME?</v>
      </c>
      <c r="AG202" s="1" t="e">
        <f ca="1"/>
        <v>#NAME?</v>
      </c>
      <c r="AH202" s="1" t="e">
        <f t="shared" ca="1" si="64"/>
        <v>#NAME?</v>
      </c>
      <c r="AI202" s="1" t="e">
        <f ca="1"/>
        <v>#NAME?</v>
      </c>
      <c r="AJ202" s="1" t="e">
        <f t="shared" ca="1" si="73"/>
        <v>#NAME?</v>
      </c>
      <c r="AK202" s="1" t="e">
        <f ca="1"/>
        <v>#NAME?</v>
      </c>
      <c r="AL202" s="1" t="e">
        <f t="shared" ca="1" si="65"/>
        <v>#NAME?</v>
      </c>
      <c r="AN202" s="1">
        <f t="shared" si="55"/>
        <v>3.5180587332908599</v>
      </c>
      <c r="AO202" s="1" t="e">
        <f ca="1"/>
        <v>#NAME?</v>
      </c>
      <c r="AP202" s="1" t="e">
        <f t="shared" ca="1" si="56"/>
        <v>#NAME?</v>
      </c>
    </row>
    <row r="203" spans="1:42" x14ac:dyDescent="0.25">
      <c r="A203" s="1" t="s">
        <v>218</v>
      </c>
      <c r="B203" s="1">
        <v>202</v>
      </c>
      <c r="C203" s="1">
        <v>15605.628000000001</v>
      </c>
      <c r="D203" s="1">
        <f t="shared" si="66"/>
        <v>4.1932812501847438</v>
      </c>
      <c r="E203" s="1">
        <v>10685.145</v>
      </c>
      <c r="F203" s="1">
        <f t="shared" si="67"/>
        <v>4.028780420021155</v>
      </c>
      <c r="G203" s="1">
        <v>2196.7060000000001</v>
      </c>
      <c r="H203" s="1">
        <f t="shared" si="68"/>
        <v>3.3417719362461318</v>
      </c>
      <c r="I203" s="1">
        <v>3327.5639999999999</v>
      </c>
      <c r="J203" s="1">
        <f t="shared" si="69"/>
        <v>0.21322845834848811</v>
      </c>
      <c r="K203" s="1">
        <f t="shared" si="70"/>
        <v>3.522126417138312</v>
      </c>
      <c r="L203" s="1">
        <v>1958.367</v>
      </c>
      <c r="M203" s="1">
        <f t="shared" si="71"/>
        <v>3.2918940823289002</v>
      </c>
      <c r="N203" s="1">
        <v>2559.69</v>
      </c>
      <c r="O203" s="1">
        <f t="shared" si="72"/>
        <v>3.4081873717799933</v>
      </c>
      <c r="P203" s="1">
        <v>-601.32299999999998</v>
      </c>
      <c r="Q203" s="1" t="e">
        <f ca="1"/>
        <v>#NAME?</v>
      </c>
      <c r="R203" s="1" t="e">
        <f t="shared" ca="1" si="57"/>
        <v>#NAME?</v>
      </c>
      <c r="S203" s="4">
        <v>2845626000000</v>
      </c>
      <c r="T203" s="1">
        <v>130420.33333333299</v>
      </c>
      <c r="U203" s="1" t="e">
        <f ca="1"/>
        <v>#NAME?</v>
      </c>
      <c r="V203" s="1" t="e">
        <f t="shared" ca="1" si="58"/>
        <v>#NAME?</v>
      </c>
      <c r="W203" s="1" t="e">
        <f ca="1"/>
        <v>#NAME?</v>
      </c>
      <c r="X203" s="1" t="e">
        <f t="shared" ca="1" si="59"/>
        <v>#NAME?</v>
      </c>
      <c r="Y203" s="1" t="e">
        <f ca="1"/>
        <v>#NAME?</v>
      </c>
      <c r="Z203" s="1" t="e">
        <f t="shared" ca="1" si="60"/>
        <v>#NAME?</v>
      </c>
      <c r="AA203" s="1" t="e">
        <f ca="1"/>
        <v>#NAME?</v>
      </c>
      <c r="AB203" s="1" t="e">
        <f t="shared" ca="1" si="61"/>
        <v>#NAME?</v>
      </c>
      <c r="AC203" s="1" t="e">
        <f ca="1"/>
        <v>#NAME?</v>
      </c>
      <c r="AD203" s="1" t="e">
        <f t="shared" ca="1" si="62"/>
        <v>#NAME?</v>
      </c>
      <c r="AE203" s="1" t="e">
        <f ca="1"/>
        <v>#NAME?</v>
      </c>
      <c r="AF203" s="1" t="e">
        <f t="shared" ca="1" si="63"/>
        <v>#NAME?</v>
      </c>
      <c r="AG203" s="1" t="e">
        <f ca="1"/>
        <v>#NAME?</v>
      </c>
      <c r="AH203" s="1" t="e">
        <f t="shared" ca="1" si="64"/>
        <v>#NAME?</v>
      </c>
      <c r="AI203" s="1" t="e">
        <f ca="1"/>
        <v>#NAME?</v>
      </c>
      <c r="AJ203" s="1" t="e">
        <f t="shared" ca="1" si="73"/>
        <v>#NAME?</v>
      </c>
      <c r="AK203" s="1" t="e">
        <f ca="1"/>
        <v>#NAME?</v>
      </c>
      <c r="AL203" s="1" t="e">
        <f t="shared" ca="1" si="65"/>
        <v>#NAME?</v>
      </c>
      <c r="AN203" s="1">
        <f t="shared" si="55"/>
        <v>3.5159562391372665</v>
      </c>
      <c r="AO203" s="1" t="e">
        <f ca="1"/>
        <v>#NAME?</v>
      </c>
      <c r="AP203" s="1" t="e">
        <f t="shared" ca="1" si="56"/>
        <v>#NAME?</v>
      </c>
    </row>
    <row r="204" spans="1:42" x14ac:dyDescent="0.25">
      <c r="A204" s="1" t="s">
        <v>219</v>
      </c>
      <c r="B204" s="1">
        <v>203</v>
      </c>
      <c r="C204" s="1">
        <v>15726.281999999999</v>
      </c>
      <c r="D204" s="1">
        <f t="shared" si="66"/>
        <v>4.1966260590668476</v>
      </c>
      <c r="E204" s="1">
        <v>10761.376</v>
      </c>
      <c r="F204" s="1">
        <f t="shared" si="67"/>
        <v>4.0318678058099424</v>
      </c>
      <c r="G204" s="1">
        <v>2294.672</v>
      </c>
      <c r="H204" s="1">
        <f t="shared" si="68"/>
        <v>3.3607206163349939</v>
      </c>
      <c r="I204" s="1">
        <v>3304.078</v>
      </c>
      <c r="J204" s="1">
        <f t="shared" si="69"/>
        <v>0.21009911942314147</v>
      </c>
      <c r="K204" s="1">
        <f t="shared" si="70"/>
        <v>3.5190502912420913</v>
      </c>
      <c r="L204" s="1">
        <v>2014.232</v>
      </c>
      <c r="M204" s="1">
        <f t="shared" si="71"/>
        <v>3.3041094913005202</v>
      </c>
      <c r="N204" s="1">
        <v>2649.1480000000001</v>
      </c>
      <c r="O204" s="1">
        <f t="shared" si="72"/>
        <v>3.4231062217128012</v>
      </c>
      <c r="P204" s="1">
        <v>-634.91600000000005</v>
      </c>
      <c r="Q204" s="1" t="e">
        <f ca="1"/>
        <v>#NAME?</v>
      </c>
      <c r="R204" s="1" t="e">
        <f t="shared" ca="1" si="57"/>
        <v>#NAME?</v>
      </c>
      <c r="S204" s="4">
        <v>2856404000000</v>
      </c>
      <c r="T204" s="1">
        <v>130394.33333333299</v>
      </c>
      <c r="U204" s="1" t="e">
        <f ca="1"/>
        <v>#NAME?</v>
      </c>
      <c r="V204" s="1" t="e">
        <f t="shared" ca="1" si="58"/>
        <v>#NAME?</v>
      </c>
      <c r="W204" s="1" t="e">
        <f ca="1"/>
        <v>#NAME?</v>
      </c>
      <c r="X204" s="1" t="e">
        <f t="shared" ca="1" si="59"/>
        <v>#NAME?</v>
      </c>
      <c r="Y204" s="1" t="e">
        <f ca="1"/>
        <v>#NAME?</v>
      </c>
      <c r="Z204" s="1" t="e">
        <f t="shared" ca="1" si="60"/>
        <v>#NAME?</v>
      </c>
      <c r="AA204" s="1" t="e">
        <f ca="1"/>
        <v>#NAME?</v>
      </c>
      <c r="AB204" s="1" t="e">
        <f t="shared" ca="1" si="61"/>
        <v>#NAME?</v>
      </c>
      <c r="AC204" s="1" t="e">
        <f ca="1"/>
        <v>#NAME?</v>
      </c>
      <c r="AD204" s="1" t="e">
        <f t="shared" ca="1" si="62"/>
        <v>#NAME?</v>
      </c>
      <c r="AE204" s="1" t="e">
        <f ca="1"/>
        <v>#NAME?</v>
      </c>
      <c r="AF204" s="1" t="e">
        <f t="shared" ca="1" si="63"/>
        <v>#NAME?</v>
      </c>
      <c r="AG204" s="1" t="e">
        <f ca="1"/>
        <v>#NAME?</v>
      </c>
      <c r="AH204" s="1" t="e">
        <f t="shared" ca="1" si="64"/>
        <v>#NAME?</v>
      </c>
      <c r="AI204" s="1" t="e">
        <f ca="1"/>
        <v>#NAME?</v>
      </c>
      <c r="AJ204" s="1" t="e">
        <f t="shared" ca="1" si="73"/>
        <v>#NAME?</v>
      </c>
      <c r="AK204" s="1" t="e">
        <f ca="1"/>
        <v>#NAME?</v>
      </c>
      <c r="AL204" s="1" t="e">
        <f t="shared" ca="1" si="65"/>
        <v>#NAME?</v>
      </c>
      <c r="AN204" s="1">
        <f t="shared" si="55"/>
        <v>3.518765411647486</v>
      </c>
      <c r="AO204" s="1" t="e">
        <f ca="1"/>
        <v>#NAME?</v>
      </c>
      <c r="AP204" s="1" t="e">
        <f t="shared" ca="1" si="56"/>
        <v>#NAME?</v>
      </c>
    </row>
    <row r="205" spans="1:42" x14ac:dyDescent="0.25">
      <c r="A205" s="1" t="s">
        <v>220</v>
      </c>
      <c r="B205" s="1">
        <v>204</v>
      </c>
      <c r="C205" s="1">
        <v>15807.995000000001</v>
      </c>
      <c r="D205" s="1">
        <f t="shared" si="66"/>
        <v>4.1988767898781205</v>
      </c>
      <c r="E205" s="1">
        <v>10827.332</v>
      </c>
      <c r="F205" s="1">
        <f t="shared" si="67"/>
        <v>4.0345214538159642</v>
      </c>
      <c r="G205" s="1">
        <v>2287.3620000000001</v>
      </c>
      <c r="H205" s="1">
        <f t="shared" si="68"/>
        <v>3.3593349018876095</v>
      </c>
      <c r="I205" s="1">
        <v>3283.0459999999998</v>
      </c>
      <c r="J205" s="1">
        <f t="shared" si="69"/>
        <v>0.20768263147856508</v>
      </c>
      <c r="K205" s="1">
        <f t="shared" si="70"/>
        <v>3.5162769678363186</v>
      </c>
      <c r="L205" s="1">
        <v>2069.3490000000002</v>
      </c>
      <c r="M205" s="1">
        <f t="shared" si="71"/>
        <v>3.3158337415078187</v>
      </c>
      <c r="N205" s="1">
        <v>2658.8850000000002</v>
      </c>
      <c r="O205" s="1">
        <f t="shared" si="72"/>
        <v>3.4246995539748655</v>
      </c>
      <c r="P205" s="1">
        <v>-589.53599999999994</v>
      </c>
      <c r="Q205" s="1" t="e">
        <f ca="1"/>
        <v>#NAME?</v>
      </c>
      <c r="R205" s="1" t="e">
        <f t="shared" ca="1" si="57"/>
        <v>#NAME?</v>
      </c>
      <c r="S205" s="4">
        <v>2892010000000</v>
      </c>
      <c r="T205" s="1">
        <v>130736.33333333299</v>
      </c>
      <c r="U205" s="1" t="e">
        <f ca="1"/>
        <v>#NAME?</v>
      </c>
      <c r="V205" s="1" t="e">
        <f t="shared" ca="1" si="58"/>
        <v>#NAME?</v>
      </c>
      <c r="W205" s="1" t="e">
        <f ca="1"/>
        <v>#NAME?</v>
      </c>
      <c r="X205" s="1" t="e">
        <f t="shared" ca="1" si="59"/>
        <v>#NAME?</v>
      </c>
      <c r="Y205" s="1" t="e">
        <f ca="1"/>
        <v>#NAME?</v>
      </c>
      <c r="Z205" s="1" t="e">
        <f t="shared" ca="1" si="60"/>
        <v>#NAME?</v>
      </c>
      <c r="AA205" s="1" t="e">
        <f ca="1"/>
        <v>#NAME?</v>
      </c>
      <c r="AB205" s="1" t="e">
        <f t="shared" ca="1" si="61"/>
        <v>#NAME?</v>
      </c>
      <c r="AC205" s="1" t="e">
        <f ca="1"/>
        <v>#NAME?</v>
      </c>
      <c r="AD205" s="1" t="e">
        <f t="shared" ca="1" si="62"/>
        <v>#NAME?</v>
      </c>
      <c r="AE205" s="1" t="e">
        <f ca="1"/>
        <v>#NAME?</v>
      </c>
      <c r="AF205" s="1" t="e">
        <f t="shared" ca="1" si="63"/>
        <v>#NAME?</v>
      </c>
      <c r="AG205" s="1" t="e">
        <f ca="1"/>
        <v>#NAME?</v>
      </c>
      <c r="AH205" s="1" t="e">
        <f t="shared" ca="1" si="64"/>
        <v>#NAME?</v>
      </c>
      <c r="AI205" s="1" t="e">
        <f ca="1"/>
        <v>#NAME?</v>
      </c>
      <c r="AJ205" s="1" t="e">
        <f t="shared" ca="1" si="73"/>
        <v>#NAME?</v>
      </c>
      <c r="AK205" s="1" t="e">
        <f ca="1"/>
        <v>#NAME?</v>
      </c>
      <c r="AL205" s="1" t="e">
        <f t="shared" ca="1" si="65"/>
        <v>#NAME?</v>
      </c>
      <c r="AN205" s="1">
        <f t="shared" si="55"/>
        <v>3.5183512330651103</v>
      </c>
      <c r="AO205" s="1" t="e">
        <f ca="1"/>
        <v>#NAME?</v>
      </c>
      <c r="AP205" s="1" t="e">
        <f t="shared" ca="1" si="56"/>
        <v>#NAME?</v>
      </c>
    </row>
    <row r="206" spans="1:42" x14ac:dyDescent="0.25">
      <c r="A206" s="1" t="s">
        <v>221</v>
      </c>
      <c r="B206" s="1">
        <v>205</v>
      </c>
      <c r="C206" s="1">
        <v>15769.911</v>
      </c>
      <c r="D206" s="1">
        <f t="shared" si="66"/>
        <v>4.1978292423258621</v>
      </c>
      <c r="E206" s="1">
        <v>10868.689</v>
      </c>
      <c r="F206" s="1">
        <f t="shared" si="67"/>
        <v>4.0361771618965072</v>
      </c>
      <c r="G206" s="1">
        <v>2244.241</v>
      </c>
      <c r="H206" s="1">
        <f t="shared" si="68"/>
        <v>3.3510694922232336</v>
      </c>
      <c r="I206" s="1">
        <v>3242.78</v>
      </c>
      <c r="J206" s="1">
        <f t="shared" si="69"/>
        <v>0.20563083710491456</v>
      </c>
      <c r="K206" s="1">
        <f t="shared" si="70"/>
        <v>3.5109174858216101</v>
      </c>
      <c r="L206" s="1">
        <v>2087.06</v>
      </c>
      <c r="M206" s="1">
        <f t="shared" si="71"/>
        <v>3.3195349345922152</v>
      </c>
      <c r="N206" s="1">
        <v>2671.8719999999998</v>
      </c>
      <c r="O206" s="1">
        <f t="shared" si="72"/>
        <v>3.4268156487791011</v>
      </c>
      <c r="P206" s="1">
        <v>-584.81200000000001</v>
      </c>
      <c r="Q206" s="1" t="e">
        <f ca="1"/>
        <v>#NAME?</v>
      </c>
      <c r="R206" s="1" t="e">
        <f t="shared" ca="1" si="57"/>
        <v>#NAME?</v>
      </c>
      <c r="S206" s="4">
        <v>2875086000000</v>
      </c>
      <c r="T206" s="1">
        <v>131057</v>
      </c>
      <c r="U206" s="1" t="e">
        <f ca="1"/>
        <v>#NAME?</v>
      </c>
      <c r="V206" s="1" t="e">
        <f t="shared" ca="1" si="58"/>
        <v>#NAME?</v>
      </c>
      <c r="W206" s="1" t="e">
        <f ca="1"/>
        <v>#NAME?</v>
      </c>
      <c r="X206" s="1" t="e">
        <f t="shared" ca="1" si="59"/>
        <v>#NAME?</v>
      </c>
      <c r="Y206" s="1" t="e">
        <f ca="1"/>
        <v>#NAME?</v>
      </c>
      <c r="Z206" s="1" t="e">
        <f t="shared" ca="1" si="60"/>
        <v>#NAME?</v>
      </c>
      <c r="AA206" s="1" t="e">
        <f ca="1"/>
        <v>#NAME?</v>
      </c>
      <c r="AB206" s="1" t="e">
        <f t="shared" ca="1" si="61"/>
        <v>#NAME?</v>
      </c>
      <c r="AC206" s="1" t="e">
        <f ca="1"/>
        <v>#NAME?</v>
      </c>
      <c r="AD206" s="1" t="e">
        <f t="shared" ca="1" si="62"/>
        <v>#NAME?</v>
      </c>
      <c r="AE206" s="1" t="e">
        <f ca="1"/>
        <v>#NAME?</v>
      </c>
      <c r="AF206" s="1" t="e">
        <f t="shared" ca="1" si="63"/>
        <v>#NAME?</v>
      </c>
      <c r="AG206" s="1" t="e">
        <f ca="1"/>
        <v>#NAME?</v>
      </c>
      <c r="AH206" s="1" t="e">
        <f t="shared" ca="1" si="64"/>
        <v>#NAME?</v>
      </c>
      <c r="AI206" s="1" t="e">
        <f ca="1"/>
        <v>#NAME?</v>
      </c>
      <c r="AJ206" s="1" t="e">
        <f t="shared" ca="1" si="73"/>
        <v>#NAME?</v>
      </c>
      <c r="AK206" s="1" t="e">
        <f ca="1"/>
        <v>#NAME?</v>
      </c>
      <c r="AL206" s="1" t="e">
        <f t="shared" ca="1" si="65"/>
        <v>#NAME?</v>
      </c>
      <c r="AN206" s="1">
        <f t="shared" si="55"/>
        <v>3.5175403976354804</v>
      </c>
      <c r="AO206" s="1" t="e">
        <f ca="1"/>
        <v>#NAME?</v>
      </c>
      <c r="AP206" s="1" t="e">
        <f t="shared" ca="1" si="56"/>
        <v>#NAME?</v>
      </c>
    </row>
    <row r="207" spans="1:42" x14ac:dyDescent="0.25">
      <c r="A207" s="1" t="s">
        <v>222</v>
      </c>
      <c r="B207" s="1">
        <v>206</v>
      </c>
      <c r="C207" s="1">
        <v>15876.839</v>
      </c>
      <c r="D207" s="1">
        <f t="shared" si="66"/>
        <v>4.2007640408173019</v>
      </c>
      <c r="E207" s="1">
        <v>10879.873</v>
      </c>
      <c r="F207" s="1">
        <f t="shared" si="67"/>
        <v>4.0366238259024998</v>
      </c>
      <c r="G207" s="1">
        <v>2336.0569999999998</v>
      </c>
      <c r="H207" s="1">
        <f t="shared" si="68"/>
        <v>3.3684834353938964</v>
      </c>
      <c r="I207" s="1">
        <v>3220.8159999999998</v>
      </c>
      <c r="J207" s="1">
        <f t="shared" si="69"/>
        <v>0.20286254713548457</v>
      </c>
      <c r="K207" s="1">
        <f t="shared" si="70"/>
        <v>3.5079659149882114</v>
      </c>
      <c r="L207" s="1">
        <v>2122.3209999999999</v>
      </c>
      <c r="M207" s="1">
        <f t="shared" si="71"/>
        <v>3.3268110713586414</v>
      </c>
      <c r="N207" s="1">
        <v>2681.8649999999998</v>
      </c>
      <c r="O207" s="1">
        <f t="shared" si="72"/>
        <v>3.4284369125048837</v>
      </c>
      <c r="P207" s="1">
        <v>-559.54399999999998</v>
      </c>
      <c r="Q207" s="1" t="e">
        <f ca="1"/>
        <v>#NAME?</v>
      </c>
      <c r="R207" s="1" t="e">
        <f t="shared" ca="1" si="57"/>
        <v>#NAME?</v>
      </c>
      <c r="S207" s="4">
        <v>2919513000000</v>
      </c>
      <c r="T207" s="1">
        <v>131748</v>
      </c>
      <c r="U207" s="1" t="e">
        <f ca="1"/>
        <v>#NAME?</v>
      </c>
      <c r="V207" s="1" t="e">
        <f t="shared" ca="1" si="58"/>
        <v>#NAME?</v>
      </c>
      <c r="W207" s="1" t="e">
        <f ca="1"/>
        <v>#NAME?</v>
      </c>
      <c r="X207" s="1" t="e">
        <f t="shared" ca="1" si="59"/>
        <v>#NAME?</v>
      </c>
      <c r="Y207" s="1" t="e">
        <f ca="1"/>
        <v>#NAME?</v>
      </c>
      <c r="Z207" s="1" t="e">
        <f t="shared" ca="1" si="60"/>
        <v>#NAME?</v>
      </c>
      <c r="AA207" s="1" t="e">
        <f ca="1"/>
        <v>#NAME?</v>
      </c>
      <c r="AB207" s="1" t="e">
        <f t="shared" ca="1" si="61"/>
        <v>#NAME?</v>
      </c>
      <c r="AC207" s="1" t="e">
        <f ca="1"/>
        <v>#NAME?</v>
      </c>
      <c r="AD207" s="1" t="e">
        <f t="shared" ca="1" si="62"/>
        <v>#NAME?</v>
      </c>
      <c r="AE207" s="1" t="e">
        <f ca="1"/>
        <v>#NAME?</v>
      </c>
      <c r="AF207" s="1" t="e">
        <f t="shared" ca="1" si="63"/>
        <v>#NAME?</v>
      </c>
      <c r="AG207" s="1" t="e">
        <f ca="1"/>
        <v>#NAME?</v>
      </c>
      <c r="AH207" s="1" t="e">
        <f t="shared" ca="1" si="64"/>
        <v>#NAME?</v>
      </c>
      <c r="AI207" s="1" t="e">
        <f ca="1"/>
        <v>#NAME?</v>
      </c>
      <c r="AJ207" s="1" t="e">
        <f t="shared" ca="1" si="73"/>
        <v>#NAME?</v>
      </c>
      <c r="AK207" s="1" t="e">
        <f ca="1"/>
        <v>#NAME?</v>
      </c>
      <c r="AL207" s="1" t="e">
        <f t="shared" ca="1" si="65"/>
        <v>#NAME?</v>
      </c>
      <c r="AN207" s="1">
        <f t="shared" si="55"/>
        <v>3.5166161120646766</v>
      </c>
      <c r="AO207" s="1" t="e">
        <f ca="1"/>
        <v>#NAME?</v>
      </c>
      <c r="AP207" s="1" t="e">
        <f t="shared" ca="1" si="56"/>
        <v>#NAME?</v>
      </c>
    </row>
    <row r="208" spans="1:42" x14ac:dyDescent="0.25">
      <c r="A208" s="1" t="s">
        <v>223</v>
      </c>
      <c r="B208" s="1">
        <v>207</v>
      </c>
      <c r="C208" s="1">
        <v>15870.683999999999</v>
      </c>
      <c r="D208" s="1">
        <f t="shared" si="66"/>
        <v>4.2005956445257482</v>
      </c>
      <c r="E208" s="1">
        <v>10912.991</v>
      </c>
      <c r="F208" s="1">
        <f t="shared" si="67"/>
        <v>4.0379437970383458</v>
      </c>
      <c r="G208" s="1">
        <v>2343.7860000000001</v>
      </c>
      <c r="H208" s="1">
        <f t="shared" si="68"/>
        <v>3.369917955783805</v>
      </c>
      <c r="I208" s="1">
        <v>3174.8009999999999</v>
      </c>
      <c r="J208" s="1">
        <f t="shared" si="69"/>
        <v>0.20004185074820971</v>
      </c>
      <c r="K208" s="1">
        <f t="shared" si="70"/>
        <v>3.5017165084278572</v>
      </c>
      <c r="L208" s="1">
        <v>2151.4740000000002</v>
      </c>
      <c r="M208" s="1">
        <f t="shared" si="71"/>
        <v>3.3327361021151778</v>
      </c>
      <c r="N208" s="1">
        <v>2711.6190000000001</v>
      </c>
      <c r="O208" s="1">
        <f t="shared" si="72"/>
        <v>3.4332286682991571</v>
      </c>
      <c r="P208" s="1">
        <v>-560.14499999999998</v>
      </c>
      <c r="Q208" s="1" t="e">
        <f ca="1"/>
        <v>#NAME?</v>
      </c>
      <c r="R208" s="1" t="e">
        <f t="shared" ca="1" si="57"/>
        <v>#NAME?</v>
      </c>
      <c r="S208" s="4">
        <v>3008949000000</v>
      </c>
      <c r="T208" s="1">
        <v>132153.33333333299</v>
      </c>
      <c r="U208" s="1" t="e">
        <f ca="1"/>
        <v>#NAME?</v>
      </c>
      <c r="V208" s="1" t="e">
        <f t="shared" ca="1" si="58"/>
        <v>#NAME?</v>
      </c>
      <c r="W208" s="1" t="e">
        <f ca="1"/>
        <v>#NAME?</v>
      </c>
      <c r="X208" s="1" t="e">
        <f t="shared" ca="1" si="59"/>
        <v>#NAME?</v>
      </c>
      <c r="Y208" s="1" t="e">
        <f ca="1"/>
        <v>#NAME?</v>
      </c>
      <c r="Z208" s="1" t="e">
        <f t="shared" ca="1" si="60"/>
        <v>#NAME?</v>
      </c>
      <c r="AA208" s="1" t="e">
        <f ca="1"/>
        <v>#NAME?</v>
      </c>
      <c r="AB208" s="1" t="e">
        <f t="shared" ca="1" si="61"/>
        <v>#NAME?</v>
      </c>
      <c r="AC208" s="1" t="e">
        <f ca="1"/>
        <v>#NAME?</v>
      </c>
      <c r="AD208" s="1" t="e">
        <f t="shared" ca="1" si="62"/>
        <v>#NAME?</v>
      </c>
      <c r="AE208" s="1" t="e">
        <f ca="1"/>
        <v>#NAME?</v>
      </c>
      <c r="AF208" s="1" t="e">
        <f t="shared" ca="1" si="63"/>
        <v>#NAME?</v>
      </c>
      <c r="AG208" s="1" t="e">
        <f ca="1"/>
        <v>#NAME?</v>
      </c>
      <c r="AH208" s="1" t="e">
        <f t="shared" ca="1" si="64"/>
        <v>#NAME?</v>
      </c>
      <c r="AI208" s="1" t="e">
        <f ca="1"/>
        <v>#NAME?</v>
      </c>
      <c r="AJ208" s="1" t="e">
        <f t="shared" ca="1" si="73"/>
        <v>#NAME?</v>
      </c>
      <c r="AK208" s="1" t="e">
        <f ca="1"/>
        <v>#NAME?</v>
      </c>
      <c r="AL208" s="1" t="e">
        <f t="shared" ca="1" si="65"/>
        <v>#NAME?</v>
      </c>
      <c r="AN208" s="1">
        <f t="shared" si="55"/>
        <v>3.5108763088695358</v>
      </c>
      <c r="AO208" s="1" t="e">
        <f ca="1"/>
        <v>#NAME?</v>
      </c>
      <c r="AP208" s="1" t="e">
        <f t="shared" ca="1" si="56"/>
        <v>#NAME?</v>
      </c>
    </row>
    <row r="209" spans="1:42" x14ac:dyDescent="0.25">
      <c r="A209" s="1" t="s">
        <v>224</v>
      </c>
      <c r="B209" s="1">
        <v>208</v>
      </c>
      <c r="C209" s="1">
        <v>16048.701999999999</v>
      </c>
      <c r="D209" s="1">
        <f t="shared" si="66"/>
        <v>4.2054399129382016</v>
      </c>
      <c r="E209" s="1">
        <v>10931.828</v>
      </c>
      <c r="F209" s="1">
        <f t="shared" si="67"/>
        <v>4.0386927899398932</v>
      </c>
      <c r="G209" s="1">
        <v>2524.4290000000001</v>
      </c>
      <c r="H209" s="1">
        <f t="shared" si="68"/>
        <v>3.4021631605962388</v>
      </c>
      <c r="I209" s="1">
        <v>3172.5349999999999</v>
      </c>
      <c r="J209" s="1">
        <f t="shared" si="69"/>
        <v>0.19768171905740414</v>
      </c>
      <c r="K209" s="1">
        <f t="shared" si="70"/>
        <v>3.5014064220111929</v>
      </c>
      <c r="L209" s="1">
        <v>2167.652</v>
      </c>
      <c r="M209" s="1">
        <f t="shared" si="71"/>
        <v>3.3359895607949483</v>
      </c>
      <c r="N209" s="1">
        <v>2747.221</v>
      </c>
      <c r="O209" s="1">
        <f t="shared" si="72"/>
        <v>3.4388935976149129</v>
      </c>
      <c r="P209" s="1">
        <v>-579.56899999999996</v>
      </c>
      <c r="Q209" s="1" t="e">
        <f ca="1"/>
        <v>#NAME?</v>
      </c>
      <c r="R209" s="1" t="e">
        <f t="shared" ca="1" si="57"/>
        <v>#NAME?</v>
      </c>
      <c r="S209" s="4">
        <v>3067232000000</v>
      </c>
      <c r="T209" s="1">
        <v>132719.66666666701</v>
      </c>
      <c r="U209" s="1" t="e">
        <f ca="1"/>
        <v>#NAME?</v>
      </c>
      <c r="V209" s="1" t="e">
        <f t="shared" ca="1" si="58"/>
        <v>#NAME?</v>
      </c>
      <c r="W209" s="1" t="e">
        <f ca="1"/>
        <v>#NAME?</v>
      </c>
      <c r="X209" s="1" t="e">
        <f t="shared" ca="1" si="59"/>
        <v>#NAME?</v>
      </c>
      <c r="Y209" s="1" t="e">
        <f ca="1"/>
        <v>#NAME?</v>
      </c>
      <c r="Z209" s="1" t="e">
        <f t="shared" ca="1" si="60"/>
        <v>#NAME?</v>
      </c>
      <c r="AA209" s="1" t="e">
        <f ca="1"/>
        <v>#NAME?</v>
      </c>
      <c r="AB209" s="1" t="e">
        <f t="shared" ca="1" si="61"/>
        <v>#NAME?</v>
      </c>
      <c r="AC209" s="1" t="e">
        <f ca="1"/>
        <v>#NAME?</v>
      </c>
      <c r="AD209" s="1" t="e">
        <f t="shared" ca="1" si="62"/>
        <v>#NAME?</v>
      </c>
      <c r="AE209" s="1" t="e">
        <f ca="1"/>
        <v>#NAME?</v>
      </c>
      <c r="AF209" s="1" t="e">
        <f t="shared" ca="1" si="63"/>
        <v>#NAME?</v>
      </c>
      <c r="AG209" s="1" t="e">
        <f ca="1"/>
        <v>#NAME?</v>
      </c>
      <c r="AH209" s="1" t="e">
        <f t="shared" ca="1" si="64"/>
        <v>#NAME?</v>
      </c>
      <c r="AI209" s="1" t="e">
        <f ca="1"/>
        <v>#NAME?</v>
      </c>
      <c r="AJ209" s="1" t="e">
        <f t="shared" ca="1" si="73"/>
        <v>#NAME?</v>
      </c>
      <c r="AK209" s="1" t="e">
        <f ca="1"/>
        <v>#NAME?</v>
      </c>
      <c r="AL209" s="1" t="e">
        <f t="shared" ca="1" si="65"/>
        <v>#NAME?</v>
      </c>
      <c r="AN209" s="1">
        <f t="shared" si="55"/>
        <v>3.5115325467542844</v>
      </c>
      <c r="AO209" s="1" t="e">
        <f ca="1"/>
        <v>#NAME?</v>
      </c>
      <c r="AP209" s="1" t="e">
        <f t="shared" ca="1" si="56"/>
        <v>#NAME?</v>
      </c>
    </row>
    <row r="210" spans="1:42" x14ac:dyDescent="0.25">
      <c r="A210" s="1" t="s">
        <v>225</v>
      </c>
      <c r="B210" s="1">
        <v>209</v>
      </c>
      <c r="C210" s="1">
        <v>16179.968000000001</v>
      </c>
      <c r="D210" s="1">
        <f t="shared" si="66"/>
        <v>4.2089776583493581</v>
      </c>
      <c r="E210" s="1">
        <v>11010.694</v>
      </c>
      <c r="F210" s="1">
        <f t="shared" si="67"/>
        <v>4.0418146932561898</v>
      </c>
      <c r="G210" s="1">
        <v>2577.1570000000002</v>
      </c>
      <c r="H210" s="1">
        <f t="shared" si="68"/>
        <v>3.4111408765085027</v>
      </c>
      <c r="I210" s="1">
        <v>3158.9389999999999</v>
      </c>
      <c r="J210" s="1">
        <f t="shared" si="69"/>
        <v>0.1952376543637169</v>
      </c>
      <c r="K210" s="1">
        <f t="shared" si="70"/>
        <v>3.4995412396376029</v>
      </c>
      <c r="L210" s="1">
        <v>2194.087</v>
      </c>
      <c r="M210" s="1">
        <f t="shared" si="71"/>
        <v>3.3412538442372415</v>
      </c>
      <c r="N210" s="1">
        <v>2760.748</v>
      </c>
      <c r="O210" s="1">
        <f t="shared" si="72"/>
        <v>3.4410267662176013</v>
      </c>
      <c r="P210" s="1">
        <v>-566.66099999999994</v>
      </c>
      <c r="Q210" s="1" t="e">
        <f ca="1"/>
        <v>#NAME?</v>
      </c>
      <c r="R210" s="1" t="e">
        <f t="shared" ca="1" si="57"/>
        <v>#NAME?</v>
      </c>
      <c r="S210" s="4">
        <v>3129950000000</v>
      </c>
      <c r="T210" s="1">
        <v>133502.66666666701</v>
      </c>
      <c r="U210" s="1" t="e">
        <f ca="1"/>
        <v>#NAME?</v>
      </c>
      <c r="V210" s="1" t="e">
        <f t="shared" ca="1" si="58"/>
        <v>#NAME?</v>
      </c>
      <c r="W210" s="1" t="e">
        <f ca="1"/>
        <v>#NAME?</v>
      </c>
      <c r="X210" s="1" t="e">
        <f t="shared" ca="1" si="59"/>
        <v>#NAME?</v>
      </c>
      <c r="Y210" s="1" t="e">
        <f ca="1"/>
        <v>#NAME?</v>
      </c>
      <c r="Z210" s="1" t="e">
        <f t="shared" ca="1" si="60"/>
        <v>#NAME?</v>
      </c>
      <c r="AA210" s="1" t="e">
        <f ca="1"/>
        <v>#NAME?</v>
      </c>
      <c r="AB210" s="1" t="e">
        <f t="shared" ca="1" si="61"/>
        <v>#NAME?</v>
      </c>
      <c r="AC210" s="1" t="e">
        <f ca="1"/>
        <v>#NAME?</v>
      </c>
      <c r="AD210" s="1" t="e">
        <f t="shared" ca="1" si="62"/>
        <v>#NAME?</v>
      </c>
      <c r="AE210" s="1" t="e">
        <f ca="1"/>
        <v>#NAME?</v>
      </c>
      <c r="AF210" s="1" t="e">
        <f t="shared" ca="1" si="63"/>
        <v>#NAME?</v>
      </c>
      <c r="AG210" s="1" t="e">
        <f ca="1"/>
        <v>#NAME?</v>
      </c>
      <c r="AH210" s="1" t="e">
        <f t="shared" ca="1" si="64"/>
        <v>#NAME?</v>
      </c>
      <c r="AI210" s="1" t="e">
        <f ca="1"/>
        <v>#NAME?</v>
      </c>
      <c r="AJ210" s="1" t="e">
        <f t="shared" ca="1" si="73"/>
        <v>#NAME?</v>
      </c>
      <c r="AK210" s="1" t="e">
        <f ca="1"/>
        <v>#NAME?</v>
      </c>
      <c r="AL210" s="1" t="e">
        <f t="shared" ca="1" si="65"/>
        <v>#NAME?</v>
      </c>
      <c r="AN210" s="1">
        <f t="shared" si="55"/>
        <v>3.5102706323704753</v>
      </c>
      <c r="AO210" s="1" t="e">
        <f ca="1"/>
        <v>#NAME?</v>
      </c>
      <c r="AP210" s="1" t="e">
        <f t="shared" ca="1" si="56"/>
        <v>#NAME?</v>
      </c>
    </row>
    <row r="211" spans="1:42" x14ac:dyDescent="0.25">
      <c r="A211" s="1" t="s">
        <v>226</v>
      </c>
      <c r="B211" s="1">
        <v>210</v>
      </c>
      <c r="C211" s="1">
        <v>16253.726000000001</v>
      </c>
      <c r="D211" s="1">
        <f t="shared" si="66"/>
        <v>4.2109529342841032</v>
      </c>
      <c r="E211" s="1">
        <v>11030.026</v>
      </c>
      <c r="F211" s="1">
        <f t="shared" si="67"/>
        <v>4.0425765361612438</v>
      </c>
      <c r="G211" s="1">
        <v>2636.4949999999999</v>
      </c>
      <c r="H211" s="1">
        <f t="shared" si="68"/>
        <v>3.4210269520473546</v>
      </c>
      <c r="I211" s="1">
        <v>3142.4180000000001</v>
      </c>
      <c r="J211" s="1">
        <f t="shared" si="69"/>
        <v>0.19333523894767268</v>
      </c>
      <c r="K211" s="1">
        <f t="shared" si="70"/>
        <v>3.4972639537845178</v>
      </c>
      <c r="L211" s="1">
        <v>2215.7530000000002</v>
      </c>
      <c r="M211" s="1">
        <f t="shared" si="71"/>
        <v>3.345521345986092</v>
      </c>
      <c r="N211" s="1">
        <v>2771.011</v>
      </c>
      <c r="O211" s="1">
        <f t="shared" si="72"/>
        <v>3.4426382497915493</v>
      </c>
      <c r="P211" s="1">
        <v>-555.25800000000004</v>
      </c>
      <c r="Q211" s="1" t="e">
        <f ca="1"/>
        <v>#NAME?</v>
      </c>
      <c r="R211" s="1" t="e">
        <f t="shared" ca="1" si="57"/>
        <v>#NAME?</v>
      </c>
      <c r="S211" s="4">
        <v>3177218000000</v>
      </c>
      <c r="T211" s="1">
        <v>133923</v>
      </c>
      <c r="U211" s="1" t="e">
        <f ca="1"/>
        <v>#NAME?</v>
      </c>
      <c r="V211" s="1" t="e">
        <f t="shared" ca="1" si="58"/>
        <v>#NAME?</v>
      </c>
      <c r="W211" s="1" t="e">
        <f ca="1"/>
        <v>#NAME?</v>
      </c>
      <c r="X211" s="1" t="e">
        <f t="shared" ca="1" si="59"/>
        <v>#NAME?</v>
      </c>
      <c r="Y211" s="1" t="e">
        <f ca="1"/>
        <v>#NAME?</v>
      </c>
      <c r="Z211" s="1" t="e">
        <f t="shared" ca="1" si="60"/>
        <v>#NAME?</v>
      </c>
      <c r="AA211" s="1" t="e">
        <f ca="1"/>
        <v>#NAME?</v>
      </c>
      <c r="AB211" s="1" t="e">
        <f t="shared" ca="1" si="61"/>
        <v>#NAME?</v>
      </c>
      <c r="AC211" s="1" t="e">
        <f ca="1"/>
        <v>#NAME?</v>
      </c>
      <c r="AD211" s="1" t="e">
        <f t="shared" ca="1" si="62"/>
        <v>#NAME?</v>
      </c>
      <c r="AE211" s="1" t="e">
        <f ca="1"/>
        <v>#NAME?</v>
      </c>
      <c r="AF211" s="1" t="e">
        <f t="shared" ca="1" si="63"/>
        <v>#NAME?</v>
      </c>
      <c r="AG211" s="1" t="e">
        <f ca="1"/>
        <v>#NAME?</v>
      </c>
      <c r="AH211" s="1" t="e">
        <f t="shared" ca="1" si="64"/>
        <v>#NAME?</v>
      </c>
      <c r="AI211" s="1" t="e">
        <f ca="1"/>
        <v>#NAME?</v>
      </c>
      <c r="AJ211" s="1" t="e">
        <f t="shared" ca="1" si="73"/>
        <v>#NAME?</v>
      </c>
      <c r="AK211" s="1" t="e">
        <f ca="1"/>
        <v>#NAME?</v>
      </c>
      <c r="AL211" s="1" t="e">
        <f t="shared" ca="1" si="65"/>
        <v>#NAME?</v>
      </c>
      <c r="AN211" s="1">
        <f t="shared" si="55"/>
        <v>3.5090287007434942</v>
      </c>
      <c r="AO211" s="1" t="e">
        <f ca="1"/>
        <v>#NAME?</v>
      </c>
      <c r="AP211" s="1" t="e">
        <f t="shared" ca="1" si="56"/>
        <v>#NAME?</v>
      </c>
    </row>
    <row r="212" spans="1:42" x14ac:dyDescent="0.25">
      <c r="A212" s="1" t="s">
        <v>227</v>
      </c>
      <c r="B212" s="1">
        <v>211</v>
      </c>
      <c r="C212" s="1">
        <v>16282.151</v>
      </c>
      <c r="D212" s="1">
        <f t="shared" si="66"/>
        <v>4.2117117780545605</v>
      </c>
      <c r="E212" s="1">
        <v>11052.368</v>
      </c>
      <c r="F212" s="1">
        <f t="shared" si="67"/>
        <v>4.0434553367682362</v>
      </c>
      <c r="G212" s="1">
        <v>2648.4589999999998</v>
      </c>
      <c r="H212" s="1">
        <f t="shared" si="68"/>
        <v>3.4229932541409451</v>
      </c>
      <c r="I212" s="1">
        <v>3137.6640000000002</v>
      </c>
      <c r="J212" s="1">
        <f t="shared" si="69"/>
        <v>0.1927057426257747</v>
      </c>
      <c r="K212" s="1">
        <f t="shared" si="70"/>
        <v>3.4966064348663433</v>
      </c>
      <c r="L212" s="1">
        <v>2229.3530000000001</v>
      </c>
      <c r="M212" s="1">
        <f t="shared" si="71"/>
        <v>3.3481788409405757</v>
      </c>
      <c r="N212" s="1">
        <v>2785.8829999999998</v>
      </c>
      <c r="O212" s="1">
        <f t="shared" si="72"/>
        <v>3.4449628732073401</v>
      </c>
      <c r="P212" s="1">
        <v>-556.53</v>
      </c>
      <c r="Q212" s="1" t="e">
        <f ca="1"/>
        <v>#NAME?</v>
      </c>
      <c r="R212" s="1" t="e">
        <f t="shared" ca="1" si="57"/>
        <v>#NAME?</v>
      </c>
      <c r="S212" s="4">
        <v>3170946000000</v>
      </c>
      <c r="T212" s="1">
        <v>134331.66666666701</v>
      </c>
      <c r="U212" s="1" t="e">
        <f ca="1"/>
        <v>#NAME?</v>
      </c>
      <c r="V212" s="1" t="e">
        <f t="shared" ca="1" si="58"/>
        <v>#NAME?</v>
      </c>
      <c r="W212" s="1" t="e">
        <f ca="1"/>
        <v>#NAME?</v>
      </c>
      <c r="X212" s="1" t="e">
        <f t="shared" ca="1" si="59"/>
        <v>#NAME?</v>
      </c>
      <c r="Y212" s="1" t="e">
        <f ca="1"/>
        <v>#NAME?</v>
      </c>
      <c r="Z212" s="1" t="e">
        <f t="shared" ca="1" si="60"/>
        <v>#NAME?</v>
      </c>
      <c r="AA212" s="1" t="e">
        <f ca="1"/>
        <v>#NAME?</v>
      </c>
      <c r="AB212" s="1" t="e">
        <f t="shared" ca="1" si="61"/>
        <v>#NAME?</v>
      </c>
      <c r="AC212" s="1" t="e">
        <f ca="1"/>
        <v>#NAME?</v>
      </c>
      <c r="AD212" s="1" t="e">
        <f t="shared" ca="1" si="62"/>
        <v>#NAME?</v>
      </c>
      <c r="AE212" s="1" t="e">
        <f ca="1"/>
        <v>#NAME?</v>
      </c>
      <c r="AF212" s="1" t="e">
        <f t="shared" ca="1" si="63"/>
        <v>#NAME?</v>
      </c>
      <c r="AG212" s="1" t="e">
        <f ca="1"/>
        <v>#NAME?</v>
      </c>
      <c r="AH212" s="1" t="e">
        <f t="shared" ca="1" si="64"/>
        <v>#NAME?</v>
      </c>
      <c r="AI212" s="1" t="e">
        <f ca="1"/>
        <v>#NAME?</v>
      </c>
      <c r="AJ212" s="1" t="e">
        <f t="shared" ca="1" si="73"/>
        <v>#NAME?</v>
      </c>
      <c r="AK212" s="1" t="e">
        <f ca="1"/>
        <v>#NAME?</v>
      </c>
      <c r="AL212" s="1" t="e">
        <f t="shared" ca="1" si="65"/>
        <v>#NAME?</v>
      </c>
      <c r="AN212" s="1">
        <f t="shared" si="55"/>
        <v>3.5092496154189003</v>
      </c>
      <c r="AO212" s="1" t="e">
        <f ca="1"/>
        <v>#NAME?</v>
      </c>
      <c r="AP212" s="1" t="e">
        <f t="shared" ca="1" si="56"/>
        <v>#NAME?</v>
      </c>
    </row>
    <row r="213" spans="1:42" x14ac:dyDescent="0.25">
      <c r="A213" s="1" t="s">
        <v>228</v>
      </c>
      <c r="B213" s="1">
        <v>212</v>
      </c>
      <c r="C213" s="1">
        <v>16300.035</v>
      </c>
      <c r="D213" s="1">
        <f t="shared" si="66"/>
        <v>4.2121885369371199</v>
      </c>
      <c r="E213" s="1">
        <v>11096.365</v>
      </c>
      <c r="F213" s="1">
        <f t="shared" si="67"/>
        <v>4.0451807338329608</v>
      </c>
      <c r="G213" s="1">
        <v>2624.9050000000002</v>
      </c>
      <c r="H213" s="1">
        <f t="shared" si="68"/>
        <v>3.4191135901334531</v>
      </c>
      <c r="I213" s="1">
        <v>3106.86</v>
      </c>
      <c r="J213" s="1">
        <f t="shared" si="69"/>
        <v>0.19060449870199667</v>
      </c>
      <c r="K213" s="1">
        <f t="shared" si="70"/>
        <v>3.4923216837032056</v>
      </c>
      <c r="L213" s="1">
        <v>2231.607</v>
      </c>
      <c r="M213" s="1">
        <f t="shared" si="71"/>
        <v>3.3486177150149965</v>
      </c>
      <c r="N213" s="1">
        <v>2759.627</v>
      </c>
      <c r="O213" s="1">
        <f t="shared" si="72"/>
        <v>3.4408503854025638</v>
      </c>
      <c r="P213" s="1">
        <v>-528.02</v>
      </c>
      <c r="Q213" s="1" t="e">
        <f ca="1"/>
        <v>#NAME?</v>
      </c>
      <c r="R213" s="1" t="e">
        <f t="shared" ca="1" si="57"/>
        <v>#NAME?</v>
      </c>
      <c r="S213" s="4">
        <v>3208178000000</v>
      </c>
      <c r="T213" s="1">
        <v>134860</v>
      </c>
      <c r="U213" s="1" t="e">
        <f ca="1"/>
        <v>#NAME?</v>
      </c>
      <c r="V213" s="1" t="e">
        <f t="shared" ca="1" si="58"/>
        <v>#NAME?</v>
      </c>
      <c r="W213" s="1" t="e">
        <f ca="1"/>
        <v>#NAME?</v>
      </c>
      <c r="X213" s="1" t="e">
        <f t="shared" ca="1" si="59"/>
        <v>#NAME?</v>
      </c>
      <c r="Y213" s="1" t="e">
        <f ca="1"/>
        <v>#NAME?</v>
      </c>
      <c r="Z213" s="1" t="e">
        <f t="shared" ca="1" si="60"/>
        <v>#NAME?</v>
      </c>
      <c r="AA213" s="1" t="e">
        <f ca="1"/>
        <v>#NAME?</v>
      </c>
      <c r="AB213" s="1" t="e">
        <f t="shared" ca="1" si="61"/>
        <v>#NAME?</v>
      </c>
      <c r="AC213" s="1" t="e">
        <f ca="1"/>
        <v>#NAME?</v>
      </c>
      <c r="AD213" s="1" t="e">
        <f t="shared" ca="1" si="62"/>
        <v>#NAME?</v>
      </c>
      <c r="AE213" s="1" t="e">
        <f ca="1"/>
        <v>#NAME?</v>
      </c>
      <c r="AF213" s="1" t="e">
        <f t="shared" ca="1" si="63"/>
        <v>#NAME?</v>
      </c>
      <c r="AG213" s="1" t="e">
        <f ca="1"/>
        <v>#NAME?</v>
      </c>
      <c r="AH213" s="1" t="e">
        <f t="shared" ca="1" si="64"/>
        <v>#NAME?</v>
      </c>
      <c r="AI213" s="1" t="e">
        <f ca="1"/>
        <v>#NAME?</v>
      </c>
      <c r="AJ213" s="1" t="e">
        <f t="shared" ca="1" si="73"/>
        <v>#NAME?</v>
      </c>
      <c r="AK213" s="1" t="e">
        <f ca="1"/>
        <v>#NAME?</v>
      </c>
      <c r="AL213" s="1" t="e">
        <f t="shared" ca="1" si="65"/>
        <v>#NAME?</v>
      </c>
      <c r="AN213" s="1">
        <f t="shared" si="55"/>
        <v>3.5068102732400694</v>
      </c>
      <c r="AO213" s="1" t="e">
        <f ca="1"/>
        <v>#NAME?</v>
      </c>
      <c r="AP213" s="1" t="e">
        <f t="shared" ca="1" si="56"/>
        <v>#NAME?</v>
      </c>
    </row>
    <row r="214" spans="1:42" x14ac:dyDescent="0.25">
      <c r="A214" s="1" t="s">
        <v>229</v>
      </c>
      <c r="B214" s="1">
        <v>213</v>
      </c>
      <c r="C214" s="1">
        <v>16441.485000000001</v>
      </c>
      <c r="D214" s="1">
        <f t="shared" si="66"/>
        <v>4.2159410405872269</v>
      </c>
      <c r="E214" s="1">
        <v>11155.481</v>
      </c>
      <c r="F214" s="1">
        <f t="shared" si="67"/>
        <v>4.0474883008540266</v>
      </c>
      <c r="G214" s="1">
        <v>2722.7779999999998</v>
      </c>
      <c r="H214" s="1">
        <f t="shared" si="68"/>
        <v>3.435012232854699</v>
      </c>
      <c r="I214" s="1">
        <v>3078.855</v>
      </c>
      <c r="J214" s="1">
        <f t="shared" si="69"/>
        <v>0.18726136963905632</v>
      </c>
      <c r="K214" s="1">
        <f t="shared" si="70"/>
        <v>3.4883892360994579</v>
      </c>
      <c r="L214" s="1">
        <v>2242.308</v>
      </c>
      <c r="M214" s="1">
        <f t="shared" si="71"/>
        <v>3.3506952663826319</v>
      </c>
      <c r="N214" s="1">
        <v>2757.2649999999999</v>
      </c>
      <c r="O214" s="1">
        <f t="shared" si="72"/>
        <v>3.4404785080379416</v>
      </c>
      <c r="P214" s="1">
        <v>-514.95699999999999</v>
      </c>
      <c r="Q214" s="1" t="e">
        <f ca="1"/>
        <v>#NAME?</v>
      </c>
      <c r="R214" s="1" t="e">
        <f t="shared" ca="1" si="57"/>
        <v>#NAME?</v>
      </c>
      <c r="S214" s="4">
        <v>3239229000000</v>
      </c>
      <c r="T214" s="1">
        <v>135499.33333333299</v>
      </c>
      <c r="U214" s="1" t="e">
        <f ca="1"/>
        <v>#NAME?</v>
      </c>
      <c r="V214" s="1" t="e">
        <f t="shared" ca="1" si="58"/>
        <v>#NAME?</v>
      </c>
      <c r="W214" s="1" t="e">
        <f ca="1"/>
        <v>#NAME?</v>
      </c>
      <c r="X214" s="1" t="e">
        <f t="shared" ca="1" si="59"/>
        <v>#NAME?</v>
      </c>
      <c r="Y214" s="1" t="e">
        <f ca="1"/>
        <v>#NAME?</v>
      </c>
      <c r="Z214" s="1" t="e">
        <f t="shared" ca="1" si="60"/>
        <v>#NAME?</v>
      </c>
      <c r="AA214" s="1" t="e">
        <f ca="1"/>
        <v>#NAME?</v>
      </c>
      <c r="AB214" s="1" t="e">
        <f t="shared" ca="1" si="61"/>
        <v>#NAME?</v>
      </c>
      <c r="AC214" s="1" t="e">
        <f ca="1"/>
        <v>#NAME?</v>
      </c>
      <c r="AD214" s="1" t="e">
        <f t="shared" ca="1" si="62"/>
        <v>#NAME?</v>
      </c>
      <c r="AE214" s="1" t="e">
        <f ca="1"/>
        <v>#NAME?</v>
      </c>
      <c r="AF214" s="1" t="e">
        <f t="shared" ca="1" si="63"/>
        <v>#NAME?</v>
      </c>
      <c r="AG214" s="1" t="e">
        <f ca="1"/>
        <v>#NAME?</v>
      </c>
      <c r="AH214" s="1" t="e">
        <f t="shared" ca="1" si="64"/>
        <v>#NAME?</v>
      </c>
      <c r="AI214" s="1" t="e">
        <f ca="1"/>
        <v>#NAME?</v>
      </c>
      <c r="AJ214" s="1" t="e">
        <f t="shared" ca="1" si="73"/>
        <v>#NAME?</v>
      </c>
      <c r="AK214" s="1" t="e">
        <f ca="1"/>
        <v>#NAME?</v>
      </c>
      <c r="AL214" s="1" t="e">
        <f t="shared" ca="1" si="65"/>
        <v>#NAME?</v>
      </c>
      <c r="AN214" s="1">
        <f t="shared" si="55"/>
        <v>3.5077422644896519</v>
      </c>
      <c r="AO214" s="1" t="e">
        <f ca="1"/>
        <v>#NAME?</v>
      </c>
      <c r="AP214" s="1" t="e">
        <f t="shared" ca="1" si="56"/>
        <v>#NAME?</v>
      </c>
    </row>
    <row r="215" spans="1:42" x14ac:dyDescent="0.25">
      <c r="A215" s="1" t="s">
        <v>230</v>
      </c>
      <c r="B215" s="1">
        <v>214</v>
      </c>
      <c r="C215" s="1">
        <v>16464.401999999998</v>
      </c>
      <c r="D215" s="1">
        <f t="shared" si="66"/>
        <v>4.2165459614180136</v>
      </c>
      <c r="E215" s="1">
        <v>11172.647000000001</v>
      </c>
      <c r="F215" s="1">
        <f t="shared" si="67"/>
        <v>4.0481560774401482</v>
      </c>
      <c r="G215" s="1">
        <v>2753.2370000000001</v>
      </c>
      <c r="H215" s="1">
        <f t="shared" si="68"/>
        <v>3.4398435972858281</v>
      </c>
      <c r="I215" s="1">
        <v>3073.6770000000001</v>
      </c>
      <c r="J215" s="1">
        <f t="shared" si="69"/>
        <v>0.18668622158278209</v>
      </c>
      <c r="K215" s="1">
        <f t="shared" si="70"/>
        <v>3.487658227351115</v>
      </c>
      <c r="L215" s="1">
        <v>2262.5239999999999</v>
      </c>
      <c r="M215" s="1">
        <f t="shared" si="71"/>
        <v>3.3545931947334986</v>
      </c>
      <c r="N215" s="1">
        <v>2797.3</v>
      </c>
      <c r="O215" s="1">
        <f t="shared" si="72"/>
        <v>3.4467390453339339</v>
      </c>
      <c r="P215" s="1">
        <v>-534.77599999999995</v>
      </c>
      <c r="Q215" s="1" t="e">
        <f ca="1"/>
        <v>#NAME?</v>
      </c>
      <c r="R215" s="1" t="e">
        <f t="shared" ca="1" si="57"/>
        <v>#NAME?</v>
      </c>
      <c r="S215" s="4">
        <v>3257752000000</v>
      </c>
      <c r="T215" s="1">
        <v>136078.66666666701</v>
      </c>
      <c r="U215" s="1" t="e">
        <f ca="1"/>
        <v>#NAME?</v>
      </c>
      <c r="V215" s="1" t="e">
        <f t="shared" ca="1" si="58"/>
        <v>#NAME?</v>
      </c>
      <c r="W215" s="1" t="e">
        <f ca="1"/>
        <v>#NAME?</v>
      </c>
      <c r="X215" s="1" t="e">
        <f t="shared" ca="1" si="59"/>
        <v>#NAME?</v>
      </c>
      <c r="Y215" s="1" t="e">
        <f ca="1"/>
        <v>#NAME?</v>
      </c>
      <c r="Z215" s="1" t="e">
        <f t="shared" ca="1" si="60"/>
        <v>#NAME?</v>
      </c>
      <c r="AA215" s="1" t="e">
        <f ca="1"/>
        <v>#NAME?</v>
      </c>
      <c r="AB215" s="1" t="e">
        <f t="shared" ca="1" si="61"/>
        <v>#NAME?</v>
      </c>
      <c r="AC215" s="1" t="e">
        <f ca="1"/>
        <v>#NAME?</v>
      </c>
      <c r="AD215" s="1" t="e">
        <f t="shared" ca="1" si="62"/>
        <v>#NAME?</v>
      </c>
      <c r="AE215" s="1" t="e">
        <f ca="1"/>
        <v>#NAME?</v>
      </c>
      <c r="AF215" s="1" t="e">
        <f t="shared" ca="1" si="63"/>
        <v>#NAME?</v>
      </c>
      <c r="AG215" s="1" t="e">
        <f ca="1"/>
        <v>#NAME?</v>
      </c>
      <c r="AH215" s="1" t="e">
        <f t="shared" ca="1" si="64"/>
        <v>#NAME?</v>
      </c>
      <c r="AI215" s="1" t="e">
        <f ca="1"/>
        <v>#NAME?</v>
      </c>
      <c r="AJ215" s="1" t="e">
        <f t="shared" ca="1" si="73"/>
        <v>#NAME?</v>
      </c>
      <c r="AK215" s="1" t="e">
        <f ca="1"/>
        <v>#NAME?</v>
      </c>
      <c r="AL215" s="1" t="e">
        <f t="shared" ca="1" si="65"/>
        <v>#NAME?</v>
      </c>
      <c r="AN215" s="1">
        <f t="shared" si="55"/>
        <v>3.5062698451988004</v>
      </c>
      <c r="AO215" s="1" t="e">
        <f ca="1"/>
        <v>#NAME?</v>
      </c>
      <c r="AP215" s="1" t="e">
        <f t="shared" ca="1" si="56"/>
        <v>#NAME?</v>
      </c>
    </row>
    <row r="216" spans="1:42" x14ac:dyDescent="0.25">
      <c r="A216" s="1" t="s">
        <v>231</v>
      </c>
      <c r="B216" s="1">
        <v>215</v>
      </c>
      <c r="C216" s="1">
        <v>16594.742999999999</v>
      </c>
      <c r="D216" s="1">
        <f t="shared" si="66"/>
        <v>4.2199705309509428</v>
      </c>
      <c r="E216" s="1">
        <v>11214.416999999999</v>
      </c>
      <c r="F216" s="1">
        <f t="shared" si="67"/>
        <v>4.0497767009895007</v>
      </c>
      <c r="G216" s="1">
        <v>2859.7510000000002</v>
      </c>
      <c r="H216" s="1">
        <f t="shared" si="68"/>
        <v>3.4563282205298362</v>
      </c>
      <c r="I216" s="1">
        <v>3057.212</v>
      </c>
      <c r="J216" s="1">
        <f t="shared" si="69"/>
        <v>0.18422774007407047</v>
      </c>
      <c r="K216" s="1">
        <f t="shared" si="70"/>
        <v>3.4853255555850398</v>
      </c>
      <c r="L216" s="1">
        <v>2281.9789999999998</v>
      </c>
      <c r="M216" s="1">
        <f t="shared" si="71"/>
        <v>3.3583116434888196</v>
      </c>
      <c r="N216" s="1">
        <v>2817.3989999999999</v>
      </c>
      <c r="O216" s="1">
        <f t="shared" si="72"/>
        <v>3.4498483561187152</v>
      </c>
      <c r="P216" s="1">
        <v>-535.41999999999996</v>
      </c>
      <c r="Q216" s="1" t="e">
        <f ca="1"/>
        <v>#NAME?</v>
      </c>
      <c r="R216" s="1" t="e">
        <f t="shared" ca="1" si="57"/>
        <v>#NAME?</v>
      </c>
      <c r="S216" s="4">
        <v>3305841000000</v>
      </c>
      <c r="T216" s="1">
        <v>136615</v>
      </c>
      <c r="U216" s="1" t="e">
        <f ca="1"/>
        <v>#NAME?</v>
      </c>
      <c r="V216" s="1" t="e">
        <f t="shared" ca="1" si="58"/>
        <v>#NAME?</v>
      </c>
      <c r="W216" s="1" t="e">
        <f ca="1"/>
        <v>#NAME?</v>
      </c>
      <c r="X216" s="1" t="e">
        <f t="shared" ca="1" si="59"/>
        <v>#NAME?</v>
      </c>
      <c r="Y216" s="1" t="e">
        <f ca="1"/>
        <v>#NAME?</v>
      </c>
      <c r="Z216" s="1" t="e">
        <f t="shared" ca="1" si="60"/>
        <v>#NAME?</v>
      </c>
      <c r="AA216" s="1" t="e">
        <f ca="1"/>
        <v>#NAME?</v>
      </c>
      <c r="AB216" s="1" t="e">
        <f t="shared" ca="1" si="61"/>
        <v>#NAME?</v>
      </c>
      <c r="AC216" s="1" t="e">
        <f ca="1"/>
        <v>#NAME?</v>
      </c>
      <c r="AD216" s="1" t="e">
        <f t="shared" ca="1" si="62"/>
        <v>#NAME?</v>
      </c>
      <c r="AE216" s="1" t="e">
        <f ca="1"/>
        <v>#NAME?</v>
      </c>
      <c r="AF216" s="1" t="e">
        <f t="shared" ca="1" si="63"/>
        <v>#NAME?</v>
      </c>
      <c r="AG216" s="1" t="e">
        <f ca="1"/>
        <v>#NAME?</v>
      </c>
      <c r="AH216" s="1" t="e">
        <f t="shared" ca="1" si="64"/>
        <v>#NAME?</v>
      </c>
      <c r="AI216" s="1" t="e">
        <f ca="1"/>
        <v>#NAME?</v>
      </c>
      <c r="AJ216" s="1" t="e">
        <f t="shared" ca="1" si="73"/>
        <v>#NAME?</v>
      </c>
      <c r="AK216" s="1" t="e">
        <f ca="1"/>
        <v>#NAME?</v>
      </c>
      <c r="AL216" s="1" t="e">
        <f t="shared" ca="1" si="65"/>
        <v>#NAME?</v>
      </c>
      <c r="AN216" s="1">
        <f t="shared" si="55"/>
        <v>3.5063100574374433</v>
      </c>
      <c r="AO216" s="1" t="e">
        <f ca="1"/>
        <v>#NAME?</v>
      </c>
      <c r="AP216" s="1" t="e">
        <f t="shared" ca="1" si="56"/>
        <v>#NAME?</v>
      </c>
    </row>
    <row r="217" spans="1:42" x14ac:dyDescent="0.25">
      <c r="A217" s="1" t="s">
        <v>232</v>
      </c>
      <c r="B217" s="1">
        <v>216</v>
      </c>
      <c r="C217" s="1">
        <v>16712.759999999998</v>
      </c>
      <c r="D217" s="1">
        <f t="shared" si="66"/>
        <v>4.2230481766312655</v>
      </c>
      <c r="E217" s="1">
        <v>11304.3</v>
      </c>
      <c r="F217" s="1">
        <f t="shared" si="67"/>
        <v>4.0532436745496074</v>
      </c>
      <c r="G217" s="1">
        <v>2870.127</v>
      </c>
      <c r="H217" s="1">
        <f t="shared" si="68"/>
        <v>3.4579011142179299</v>
      </c>
      <c r="I217" s="1">
        <v>3033.1179999999999</v>
      </c>
      <c r="J217" s="1">
        <f t="shared" si="69"/>
        <v>0.18148516462870287</v>
      </c>
      <c r="K217" s="1">
        <f t="shared" si="70"/>
        <v>3.4818893063713308</v>
      </c>
      <c r="L217" s="1">
        <v>2347.5790000000002</v>
      </c>
      <c r="M217" s="1">
        <f t="shared" si="71"/>
        <v>3.3706202159271927</v>
      </c>
      <c r="N217" s="1">
        <v>2839.6709999999998</v>
      </c>
      <c r="O217" s="1">
        <f t="shared" si="72"/>
        <v>3.453268026257839</v>
      </c>
      <c r="P217" s="1">
        <v>-492.09199999999998</v>
      </c>
      <c r="Q217" s="1" t="e">
        <f ca="1"/>
        <v>#NAME?</v>
      </c>
      <c r="R217" s="1" t="e">
        <f t="shared" ca="1" si="57"/>
        <v>#NAME?</v>
      </c>
      <c r="S217" s="4">
        <v>3336170000000</v>
      </c>
      <c r="T217" s="1">
        <v>137240.33333333299</v>
      </c>
      <c r="U217" s="1" t="e">
        <f ca="1"/>
        <v>#NAME?</v>
      </c>
      <c r="V217" s="1" t="e">
        <f t="shared" ca="1" si="58"/>
        <v>#NAME?</v>
      </c>
      <c r="W217" s="1" t="e">
        <f ca="1"/>
        <v>#NAME?</v>
      </c>
      <c r="X217" s="1" t="e">
        <f t="shared" ca="1" si="59"/>
        <v>#NAME?</v>
      </c>
      <c r="Y217" s="1" t="e">
        <f ca="1"/>
        <v>#NAME?</v>
      </c>
      <c r="Z217" s="1" t="e">
        <f t="shared" ca="1" si="60"/>
        <v>#NAME?</v>
      </c>
      <c r="AA217" s="1" t="e">
        <f ca="1"/>
        <v>#NAME?</v>
      </c>
      <c r="AB217" s="1" t="e">
        <f t="shared" ca="1" si="61"/>
        <v>#NAME?</v>
      </c>
      <c r="AC217" s="1" t="e">
        <f ca="1"/>
        <v>#NAME?</v>
      </c>
      <c r="AD217" s="1" t="e">
        <f t="shared" ca="1" si="62"/>
        <v>#NAME?</v>
      </c>
      <c r="AE217" s="1" t="e">
        <f ca="1"/>
        <v>#NAME?</v>
      </c>
      <c r="AF217" s="1" t="e">
        <f t="shared" ca="1" si="63"/>
        <v>#NAME?</v>
      </c>
      <c r="AG217" s="1" t="e">
        <f ca="1"/>
        <v>#NAME?</v>
      </c>
      <c r="AH217" s="1" t="e">
        <f t="shared" ca="1" si="64"/>
        <v>#NAME?</v>
      </c>
      <c r="AI217" s="1" t="e">
        <f ca="1"/>
        <v>#NAME?</v>
      </c>
      <c r="AJ217" s="1" t="e">
        <f t="shared" ca="1" si="73"/>
        <v>#NAME?</v>
      </c>
      <c r="AK217" s="1" t="e">
        <f ca="1"/>
        <v>#NAME?</v>
      </c>
      <c r="AL217" s="1" t="e">
        <f t="shared" ca="1" si="65"/>
        <v>#NAME?</v>
      </c>
      <c r="AN217" s="1">
        <f t="shared" si="55"/>
        <v>3.5066905053577093</v>
      </c>
      <c r="AO217" s="1" t="e">
        <f ca="1"/>
        <v>#NAME?</v>
      </c>
      <c r="AP217" s="1" t="e">
        <f t="shared" ca="1" si="56"/>
        <v>#NAME?</v>
      </c>
    </row>
    <row r="218" spans="1:42" x14ac:dyDescent="0.25">
      <c r="A218" s="1" t="s">
        <v>233</v>
      </c>
      <c r="B218" s="1">
        <v>217</v>
      </c>
      <c r="C218" s="1">
        <v>16654.246999999999</v>
      </c>
      <c r="D218" s="1">
        <f t="shared" si="66"/>
        <v>4.221525001414002</v>
      </c>
      <c r="E218" s="1">
        <v>11347.636</v>
      </c>
      <c r="F218" s="1">
        <f t="shared" si="67"/>
        <v>4.0549053964111943</v>
      </c>
      <c r="G218" s="1">
        <v>2838.2869999999998</v>
      </c>
      <c r="H218" s="1">
        <f t="shared" si="68"/>
        <v>3.4530563080398253</v>
      </c>
      <c r="I218" s="1">
        <v>3020.58</v>
      </c>
      <c r="J218" s="1">
        <f t="shared" si="69"/>
        <v>0.1813699532617716</v>
      </c>
      <c r="K218" s="1">
        <f t="shared" si="70"/>
        <v>3.4800903424983463</v>
      </c>
      <c r="L218" s="1">
        <v>2324.808</v>
      </c>
      <c r="M218" s="1">
        <f t="shared" si="71"/>
        <v>3.3663870914265361</v>
      </c>
      <c r="N218" s="1">
        <v>2876.337</v>
      </c>
      <c r="O218" s="1">
        <f t="shared" si="72"/>
        <v>3.4588397678952147</v>
      </c>
      <c r="P218" s="1">
        <v>-551.529</v>
      </c>
      <c r="Q218" s="1" t="e">
        <f ca="1"/>
        <v>#NAME?</v>
      </c>
      <c r="R218" s="1" t="e">
        <f t="shared" ca="1" si="57"/>
        <v>#NAME?</v>
      </c>
      <c r="S218" s="4">
        <v>3348459000000</v>
      </c>
      <c r="T218" s="1">
        <v>137748.33333333299</v>
      </c>
      <c r="U218" s="1" t="e">
        <f ca="1"/>
        <v>#NAME?</v>
      </c>
      <c r="V218" s="1" t="e">
        <f t="shared" ca="1" si="58"/>
        <v>#NAME?</v>
      </c>
      <c r="W218" s="1" t="e">
        <f ca="1"/>
        <v>#NAME?</v>
      </c>
      <c r="X218" s="1" t="e">
        <f t="shared" ca="1" si="59"/>
        <v>#NAME?</v>
      </c>
      <c r="Y218" s="1" t="e">
        <f ca="1"/>
        <v>#NAME?</v>
      </c>
      <c r="Z218" s="1" t="e">
        <f t="shared" ca="1" si="60"/>
        <v>#NAME?</v>
      </c>
      <c r="AA218" s="1" t="e">
        <f ca="1"/>
        <v>#NAME?</v>
      </c>
      <c r="AB218" s="1" t="e">
        <f t="shared" ca="1" si="61"/>
        <v>#NAME?</v>
      </c>
      <c r="AC218" s="1" t="e">
        <f ca="1"/>
        <v>#NAME?</v>
      </c>
      <c r="AD218" s="1" t="e">
        <f t="shared" ca="1" si="62"/>
        <v>#NAME?</v>
      </c>
      <c r="AE218" s="1" t="e">
        <f ca="1"/>
        <v>#NAME?</v>
      </c>
      <c r="AF218" s="1" t="e">
        <f t="shared" ca="1" si="63"/>
        <v>#NAME?</v>
      </c>
      <c r="AG218" s="1" t="e">
        <f ca="1"/>
        <v>#NAME?</v>
      </c>
      <c r="AH218" s="1" t="e">
        <f t="shared" ca="1" si="64"/>
        <v>#NAME?</v>
      </c>
      <c r="AI218" s="1" t="e">
        <f ca="1"/>
        <v>#NAME?</v>
      </c>
      <c r="AJ218" s="1" t="e">
        <f t="shared" ca="1" si="73"/>
        <v>#NAME?</v>
      </c>
      <c r="AK218" s="1" t="e">
        <f ca="1"/>
        <v>#NAME?</v>
      </c>
      <c r="AL218" s="1" t="e">
        <f t="shared" ca="1" si="65"/>
        <v>#NAME?</v>
      </c>
      <c r="AN218" s="1">
        <f t="shared" si="55"/>
        <v>3.5035655407563988</v>
      </c>
      <c r="AO218" s="1" t="e">
        <f ca="1"/>
        <v>#NAME?</v>
      </c>
      <c r="AP218" s="1" t="e">
        <f t="shared" ca="1" si="56"/>
        <v>#NAME?</v>
      </c>
    </row>
    <row r="219" spans="1:42" x14ac:dyDescent="0.25">
      <c r="A219" s="1" t="s">
        <v>234</v>
      </c>
      <c r="B219" s="1">
        <v>218</v>
      </c>
      <c r="C219" s="1">
        <v>16868.109</v>
      </c>
      <c r="D219" s="1">
        <f t="shared" si="66"/>
        <v>4.2270663987185424</v>
      </c>
      <c r="E219" s="1">
        <v>11453.013999999999</v>
      </c>
      <c r="F219" s="1">
        <f t="shared" si="67"/>
        <v>4.058919791594553</v>
      </c>
      <c r="G219" s="1">
        <v>2958.0680000000002</v>
      </c>
      <c r="H219" s="1">
        <f t="shared" si="68"/>
        <v>3.4710081533273125</v>
      </c>
      <c r="I219" s="1">
        <v>3024.424</v>
      </c>
      <c r="J219" s="1">
        <f t="shared" si="69"/>
        <v>0.17929834340055545</v>
      </c>
      <c r="K219" s="1">
        <f t="shared" si="70"/>
        <v>3.4806426757022466</v>
      </c>
      <c r="L219" s="1">
        <v>2375.1210000000001</v>
      </c>
      <c r="M219" s="1">
        <f t="shared" si="71"/>
        <v>3.3756857395582425</v>
      </c>
      <c r="N219" s="1">
        <v>2941.8389999999999</v>
      </c>
      <c r="O219" s="1">
        <f t="shared" si="72"/>
        <v>3.4686189011158928</v>
      </c>
      <c r="P219" s="1">
        <v>-566.71799999999996</v>
      </c>
      <c r="Q219" s="1" t="e">
        <f ca="1"/>
        <v>#NAME?</v>
      </c>
      <c r="R219" s="1" t="e">
        <f t="shared" ca="1" si="57"/>
        <v>#NAME?</v>
      </c>
      <c r="S219" s="4">
        <v>3437808000000</v>
      </c>
      <c r="T219" s="1">
        <v>138544</v>
      </c>
      <c r="U219" s="1" t="e">
        <f ca="1"/>
        <v>#NAME?</v>
      </c>
      <c r="V219" s="1" t="e">
        <f t="shared" ca="1" si="58"/>
        <v>#NAME?</v>
      </c>
      <c r="W219" s="1" t="e">
        <f ca="1"/>
        <v>#NAME?</v>
      </c>
      <c r="X219" s="1" t="e">
        <f t="shared" ca="1" si="59"/>
        <v>#NAME?</v>
      </c>
      <c r="Y219" s="1" t="e">
        <f ca="1"/>
        <v>#NAME?</v>
      </c>
      <c r="Z219" s="1" t="e">
        <f t="shared" ca="1" si="60"/>
        <v>#NAME?</v>
      </c>
      <c r="AA219" s="1" t="e">
        <f ca="1"/>
        <v>#NAME?</v>
      </c>
      <c r="AB219" s="1" t="e">
        <f t="shared" ca="1" si="61"/>
        <v>#NAME?</v>
      </c>
      <c r="AC219" s="1" t="e">
        <f ca="1"/>
        <v>#NAME?</v>
      </c>
      <c r="AD219" s="1" t="e">
        <f t="shared" ca="1" si="62"/>
        <v>#NAME?</v>
      </c>
      <c r="AE219" s="1" t="e">
        <f ca="1"/>
        <v>#NAME?</v>
      </c>
      <c r="AF219" s="1" t="e">
        <f t="shared" ca="1" si="63"/>
        <v>#NAME?</v>
      </c>
      <c r="AG219" s="1" t="e">
        <f ca="1"/>
        <v>#NAME?</v>
      </c>
      <c r="AH219" s="1" t="e">
        <f t="shared" ca="1" si="64"/>
        <v>#NAME?</v>
      </c>
      <c r="AI219" s="1" t="e">
        <f ca="1"/>
        <v>#NAME?</v>
      </c>
      <c r="AJ219" s="1" t="e">
        <f t="shared" ca="1" si="73"/>
        <v>#NAME?</v>
      </c>
      <c r="AK219" s="1" t="e">
        <f ca="1"/>
        <v>#NAME?</v>
      </c>
      <c r="AL219" s="1" t="e">
        <f t="shared" ca="1" si="65"/>
        <v>#NAME?</v>
      </c>
      <c r="AN219" s="1">
        <f t="shared" si="55"/>
        <v>3.503388874009933</v>
      </c>
      <c r="AO219" s="1" t="e">
        <f ca="1"/>
        <v>#NAME?</v>
      </c>
      <c r="AP219" s="1" t="e">
        <f t="shared" ca="1" si="56"/>
        <v>#NAME?</v>
      </c>
    </row>
    <row r="220" spans="1:42" x14ac:dyDescent="0.25">
      <c r="A220" s="1" t="s">
        <v>235</v>
      </c>
      <c r="B220" s="1">
        <v>219</v>
      </c>
      <c r="C220" s="1">
        <v>17064.616000000002</v>
      </c>
      <c r="D220" s="1">
        <f t="shared" si="66"/>
        <v>4.2320965199245073</v>
      </c>
      <c r="E220" s="1">
        <v>11565.682000000001</v>
      </c>
      <c r="F220" s="1">
        <f t="shared" si="67"/>
        <v>4.0631712471458705</v>
      </c>
      <c r="G220" s="1">
        <v>3018.5819999999999</v>
      </c>
      <c r="H220" s="1">
        <f t="shared" si="68"/>
        <v>3.4798029779909854</v>
      </c>
      <c r="I220" s="1">
        <v>3044.694</v>
      </c>
      <c r="J220" s="1">
        <f t="shared" si="69"/>
        <v>0.17842147751815801</v>
      </c>
      <c r="K220" s="1">
        <f t="shared" si="70"/>
        <v>3.4835436513894695</v>
      </c>
      <c r="L220" s="1">
        <v>2384.779</v>
      </c>
      <c r="M220" s="1">
        <f t="shared" si="71"/>
        <v>3.3774481387104704</v>
      </c>
      <c r="N220" s="1">
        <v>2947.3519999999999</v>
      </c>
      <c r="O220" s="1">
        <f t="shared" si="72"/>
        <v>3.4694320064059463</v>
      </c>
      <c r="P220" s="1">
        <v>-562.57299999999998</v>
      </c>
      <c r="Q220" s="1" t="e">
        <f ca="1"/>
        <v>#NAME?</v>
      </c>
      <c r="R220" s="1" t="e">
        <f t="shared" ca="1" si="57"/>
        <v>#NAME?</v>
      </c>
      <c r="S220" s="4">
        <v>3494148000000</v>
      </c>
      <c r="T220" s="1">
        <v>139299</v>
      </c>
      <c r="U220" s="1" t="e">
        <f ca="1"/>
        <v>#NAME?</v>
      </c>
      <c r="V220" s="1" t="e">
        <f t="shared" ca="1" si="58"/>
        <v>#NAME?</v>
      </c>
      <c r="W220" s="1" t="e">
        <f ca="1"/>
        <v>#NAME?</v>
      </c>
      <c r="X220" s="1" t="e">
        <f t="shared" ca="1" si="59"/>
        <v>#NAME?</v>
      </c>
      <c r="Y220" s="1" t="e">
        <f ca="1"/>
        <v>#NAME?</v>
      </c>
      <c r="Z220" s="1" t="e">
        <f t="shared" ca="1" si="60"/>
        <v>#NAME?</v>
      </c>
      <c r="AA220" s="1" t="e">
        <f ca="1"/>
        <v>#NAME?</v>
      </c>
      <c r="AB220" s="1" t="e">
        <f t="shared" ca="1" si="61"/>
        <v>#NAME?</v>
      </c>
      <c r="AC220" s="1" t="e">
        <f ca="1"/>
        <v>#NAME?</v>
      </c>
      <c r="AD220" s="1" t="e">
        <f t="shared" ca="1" si="62"/>
        <v>#NAME?</v>
      </c>
      <c r="AE220" s="1" t="e">
        <f ca="1"/>
        <v>#NAME?</v>
      </c>
      <c r="AF220" s="1" t="e">
        <f t="shared" ca="1" si="63"/>
        <v>#NAME?</v>
      </c>
      <c r="AG220" s="1" t="e">
        <f ca="1"/>
        <v>#NAME?</v>
      </c>
      <c r="AH220" s="1" t="e">
        <f t="shared" ca="1" si="64"/>
        <v>#NAME?</v>
      </c>
      <c r="AI220" s="1" t="e">
        <f ca="1"/>
        <v>#NAME?</v>
      </c>
      <c r="AJ220" s="1" t="e">
        <f t="shared" ca="1" si="73"/>
        <v>#NAME?</v>
      </c>
      <c r="AK220" s="1" t="e">
        <f ca="1"/>
        <v>#NAME?</v>
      </c>
      <c r="AL220" s="1" t="e">
        <f t="shared" ca="1" si="65"/>
        <v>#NAME?</v>
      </c>
      <c r="AN220" s="1">
        <f t="shared" si="55"/>
        <v>3.5043669340947092</v>
      </c>
      <c r="AO220" s="1" t="e">
        <f ca="1"/>
        <v>#NAME?</v>
      </c>
      <c r="AP220" s="1" t="e">
        <f t="shared" ca="1" si="56"/>
        <v>#NAME?</v>
      </c>
    </row>
    <row r="221" spans="1:42" x14ac:dyDescent="0.25">
      <c r="A221" s="1" t="s">
        <v>236</v>
      </c>
      <c r="B221" s="1">
        <v>220</v>
      </c>
      <c r="C221" s="1">
        <v>17141.235000000001</v>
      </c>
      <c r="D221" s="1">
        <f t="shared" si="66"/>
        <v>4.2340421089735827</v>
      </c>
      <c r="E221" s="1">
        <v>11694.916999999999</v>
      </c>
      <c r="F221" s="1">
        <f t="shared" si="67"/>
        <v>4.0679971439245728</v>
      </c>
      <c r="G221" s="1">
        <v>3021.857</v>
      </c>
      <c r="H221" s="1">
        <f t="shared" si="68"/>
        <v>3.4802739088513417</v>
      </c>
      <c r="I221" s="1">
        <v>3043.2150000000001</v>
      </c>
      <c r="J221" s="1">
        <f t="shared" si="69"/>
        <v>0.17753767450244981</v>
      </c>
      <c r="K221" s="1">
        <f t="shared" si="70"/>
        <v>3.4833326358991359</v>
      </c>
      <c r="L221" s="1">
        <v>2404.4299999999998</v>
      </c>
      <c r="M221" s="1">
        <f t="shared" si="71"/>
        <v>3.3810121380094289</v>
      </c>
      <c r="N221" s="1">
        <v>3024.6819999999998</v>
      </c>
      <c r="O221" s="1">
        <f t="shared" si="72"/>
        <v>3.4806797218298562</v>
      </c>
      <c r="P221" s="1">
        <v>-620.25199999999995</v>
      </c>
      <c r="Q221" s="1" t="e">
        <f ca="1"/>
        <v>#NAME?</v>
      </c>
      <c r="R221" s="1" t="e">
        <f t="shared" ca="1" si="57"/>
        <v>#NAME?</v>
      </c>
      <c r="S221" s="4">
        <v>3533057000000</v>
      </c>
      <c r="T221" s="1">
        <v>140086.66666666701</v>
      </c>
      <c r="U221" s="1" t="e">
        <f ca="1"/>
        <v>#NAME?</v>
      </c>
      <c r="V221" s="1" t="e">
        <f t="shared" ca="1" si="58"/>
        <v>#NAME?</v>
      </c>
      <c r="W221" s="1" t="e">
        <f ca="1"/>
        <v>#NAME?</v>
      </c>
      <c r="X221" s="1" t="e">
        <f t="shared" ca="1" si="59"/>
        <v>#NAME?</v>
      </c>
      <c r="Y221" s="1" t="e">
        <f ca="1"/>
        <v>#NAME?</v>
      </c>
      <c r="Z221" s="1" t="e">
        <f t="shared" ca="1" si="60"/>
        <v>#NAME?</v>
      </c>
      <c r="AA221" s="1" t="e">
        <f ca="1"/>
        <v>#NAME?</v>
      </c>
      <c r="AB221" s="1" t="e">
        <f t="shared" ca="1" si="61"/>
        <v>#NAME?</v>
      </c>
      <c r="AC221" s="1" t="e">
        <f ca="1"/>
        <v>#NAME?</v>
      </c>
      <c r="AD221" s="1" t="e">
        <f t="shared" ca="1" si="62"/>
        <v>#NAME?</v>
      </c>
      <c r="AE221" s="1" t="e">
        <f ca="1"/>
        <v>#NAME?</v>
      </c>
      <c r="AF221" s="1" t="e">
        <f t="shared" ca="1" si="63"/>
        <v>#NAME?</v>
      </c>
      <c r="AG221" s="1" t="e">
        <f ca="1"/>
        <v>#NAME?</v>
      </c>
      <c r="AH221" s="1" t="e">
        <f t="shared" ca="1" si="64"/>
        <v>#NAME?</v>
      </c>
      <c r="AI221" s="1" t="e">
        <f ca="1"/>
        <v>#NAME?</v>
      </c>
      <c r="AJ221" s="1" t="e">
        <f t="shared" ca="1" si="73"/>
        <v>#NAME?</v>
      </c>
      <c r="AK221" s="1" t="e">
        <f ca="1"/>
        <v>#NAME?</v>
      </c>
      <c r="AL221" s="1" t="e">
        <f t="shared" ca="1" si="65"/>
        <v>#NAME?</v>
      </c>
      <c r="AN221" s="1">
        <f t="shared" si="55"/>
        <v>3.5030139241577976</v>
      </c>
      <c r="AO221" s="1" t="e">
        <f ca="1"/>
        <v>#NAME?</v>
      </c>
      <c r="AP221" s="1" t="e">
        <f t="shared" ca="1" si="56"/>
        <v>#NAME?</v>
      </c>
    </row>
    <row r="222" spans="1:42" x14ac:dyDescent="0.25">
      <c r="A222" s="1" t="s">
        <v>237</v>
      </c>
      <c r="B222" s="1">
        <v>221</v>
      </c>
      <c r="C222" s="1">
        <v>17280.647000000001</v>
      </c>
      <c r="D222" s="1">
        <f t="shared" si="66"/>
        <v>4.2375599987487496</v>
      </c>
      <c r="E222" s="1">
        <v>11772.949000000001</v>
      </c>
      <c r="F222" s="1">
        <f t="shared" si="67"/>
        <v>4.0708852626742313</v>
      </c>
      <c r="G222" s="1">
        <v>3127.2739999999999</v>
      </c>
      <c r="H222" s="1">
        <f t="shared" si="68"/>
        <v>3.4951659341610233</v>
      </c>
      <c r="I222" s="1">
        <v>3058.973</v>
      </c>
      <c r="J222" s="1">
        <f t="shared" si="69"/>
        <v>0.17701727255929711</v>
      </c>
      <c r="K222" s="1">
        <f t="shared" si="70"/>
        <v>3.485575643704927</v>
      </c>
      <c r="L222" s="1">
        <v>2384.8429999999998</v>
      </c>
      <c r="M222" s="1">
        <f t="shared" si="71"/>
        <v>3.3774597936579038</v>
      </c>
      <c r="N222" s="1">
        <v>3068.49</v>
      </c>
      <c r="O222" s="1">
        <f t="shared" si="72"/>
        <v>3.486924712286108</v>
      </c>
      <c r="P222" s="1">
        <v>-683.64700000000005</v>
      </c>
      <c r="Q222" s="1" t="e">
        <f ca="1"/>
        <v>#NAME?</v>
      </c>
      <c r="R222" s="1" t="e">
        <f t="shared" ca="1" si="57"/>
        <v>#NAME?</v>
      </c>
      <c r="S222" s="4">
        <v>3536690000000</v>
      </c>
      <c r="T222" s="1">
        <v>140771.66666666701</v>
      </c>
      <c r="U222" s="1" t="e">
        <f ca="1"/>
        <v>#NAME?</v>
      </c>
      <c r="V222" s="1" t="e">
        <f t="shared" ca="1" si="58"/>
        <v>#NAME?</v>
      </c>
      <c r="W222" s="1" t="e">
        <f ca="1"/>
        <v>#NAME?</v>
      </c>
      <c r="X222" s="1" t="e">
        <f t="shared" ca="1" si="59"/>
        <v>#NAME?</v>
      </c>
      <c r="Y222" s="1" t="e">
        <f ca="1"/>
        <v>#NAME?</v>
      </c>
      <c r="Z222" s="1" t="e">
        <f t="shared" ca="1" si="60"/>
        <v>#NAME?</v>
      </c>
      <c r="AA222" s="1" t="e">
        <f ca="1"/>
        <v>#NAME?</v>
      </c>
      <c r="AB222" s="1" t="e">
        <f t="shared" ca="1" si="61"/>
        <v>#NAME?</v>
      </c>
      <c r="AC222" s="1" t="e">
        <f ca="1"/>
        <v>#NAME?</v>
      </c>
      <c r="AD222" s="1" t="e">
        <f t="shared" ca="1" si="62"/>
        <v>#NAME?</v>
      </c>
      <c r="AE222" s="1" t="e">
        <f ca="1"/>
        <v>#NAME?</v>
      </c>
      <c r="AF222" s="1" t="e">
        <f t="shared" ca="1" si="63"/>
        <v>#NAME?</v>
      </c>
      <c r="AG222" s="1" t="e">
        <f ca="1"/>
        <v>#NAME?</v>
      </c>
      <c r="AH222" s="1" t="e">
        <f t="shared" ca="1" si="64"/>
        <v>#NAME?</v>
      </c>
      <c r="AI222" s="1" t="e">
        <f ca="1"/>
        <v>#NAME?</v>
      </c>
      <c r="AJ222" s="1" t="e">
        <f t="shared" ca="1" si="73"/>
        <v>#NAME?</v>
      </c>
      <c r="AK222" s="1" t="e">
        <f ca="1"/>
        <v>#NAME?</v>
      </c>
      <c r="AL222" s="1" t="e">
        <f t="shared" ca="1" si="65"/>
        <v>#NAME?</v>
      </c>
      <c r="AN222" s="1">
        <f t="shared" si="55"/>
        <v>3.505015319163749</v>
      </c>
      <c r="AO222" s="1" t="e">
        <f ca="1"/>
        <v>#NAME?</v>
      </c>
      <c r="AP222" s="1" t="e">
        <f t="shared" ca="1" si="56"/>
        <v>#NAME?</v>
      </c>
    </row>
    <row r="223" spans="1:42" x14ac:dyDescent="0.25">
      <c r="A223" s="1" t="s">
        <v>238</v>
      </c>
      <c r="B223" s="1">
        <v>222</v>
      </c>
      <c r="C223" s="1">
        <v>17380.875</v>
      </c>
      <c r="D223" s="1">
        <f t="shared" si="66"/>
        <v>4.2400716362154212</v>
      </c>
      <c r="E223" s="1">
        <v>11852.652</v>
      </c>
      <c r="F223" s="1">
        <f t="shared" si="67"/>
        <v>4.0738155334774291</v>
      </c>
      <c r="G223" s="1">
        <v>3136.6880000000001</v>
      </c>
      <c r="H223" s="1">
        <f t="shared" si="68"/>
        <v>3.4964713224538562</v>
      </c>
      <c r="I223" s="1">
        <v>3085.0889999999999</v>
      </c>
      <c r="J223" s="1">
        <f t="shared" si="69"/>
        <v>0.17749906146842434</v>
      </c>
      <c r="K223" s="1">
        <f t="shared" si="70"/>
        <v>3.4892676972675929</v>
      </c>
      <c r="L223" s="1">
        <v>2391.145</v>
      </c>
      <c r="M223" s="1">
        <f t="shared" si="71"/>
        <v>3.3786059127073651</v>
      </c>
      <c r="N223" s="1">
        <v>3091.0830000000001</v>
      </c>
      <c r="O223" s="1">
        <f t="shared" si="72"/>
        <v>3.4901106666479196</v>
      </c>
      <c r="P223" s="1">
        <v>-699.93799999999999</v>
      </c>
      <c r="Q223" s="1" t="e">
        <f ca="1"/>
        <v>#NAME?</v>
      </c>
      <c r="R223" s="1" t="e">
        <f t="shared" ca="1" si="57"/>
        <v>#NAME?</v>
      </c>
      <c r="S223" s="4">
        <v>3579129000000</v>
      </c>
      <c r="T223" s="1">
        <v>141479</v>
      </c>
      <c r="U223" s="1" t="e">
        <f ca="1"/>
        <v>#NAME?</v>
      </c>
      <c r="V223" s="1" t="e">
        <f t="shared" ca="1" si="58"/>
        <v>#NAME?</v>
      </c>
      <c r="W223" s="1" t="e">
        <f ca="1"/>
        <v>#NAME?</v>
      </c>
      <c r="X223" s="1" t="e">
        <f t="shared" ca="1" si="59"/>
        <v>#NAME?</v>
      </c>
      <c r="Y223" s="1" t="e">
        <f ca="1"/>
        <v>#NAME?</v>
      </c>
      <c r="Z223" s="1" t="e">
        <f t="shared" ca="1" si="60"/>
        <v>#NAME?</v>
      </c>
      <c r="AA223" s="1" t="e">
        <f ca="1"/>
        <v>#NAME?</v>
      </c>
      <c r="AB223" s="1" t="e">
        <f t="shared" ca="1" si="61"/>
        <v>#NAME?</v>
      </c>
      <c r="AC223" s="1" t="e">
        <f ca="1"/>
        <v>#NAME?</v>
      </c>
      <c r="AD223" s="1" t="e">
        <f t="shared" ca="1" si="62"/>
        <v>#NAME?</v>
      </c>
      <c r="AE223" s="1" t="e">
        <f ca="1"/>
        <v>#NAME?</v>
      </c>
      <c r="AF223" s="1" t="e">
        <f t="shared" ca="1" si="63"/>
        <v>#NAME?</v>
      </c>
      <c r="AG223" s="1" t="e">
        <f ca="1"/>
        <v>#NAME?</v>
      </c>
      <c r="AH223" s="1" t="e">
        <f t="shared" ca="1" si="64"/>
        <v>#NAME?</v>
      </c>
      <c r="AI223" s="1" t="e">
        <f ca="1"/>
        <v>#NAME?</v>
      </c>
      <c r="AJ223" s="1" t="e">
        <f t="shared" ca="1" si="73"/>
        <v>#NAME?</v>
      </c>
      <c r="AK223" s="1" t="e">
        <f ca="1"/>
        <v>#NAME?</v>
      </c>
      <c r="AL223" s="1" t="e">
        <f t="shared" ca="1" si="65"/>
        <v>#NAME?</v>
      </c>
      <c r="AN223" s="1">
        <f t="shared" si="55"/>
        <v>3.5042689214787561</v>
      </c>
      <c r="AO223" s="1" t="e">
        <f ca="1"/>
        <v>#NAME?</v>
      </c>
      <c r="AP223" s="1" t="e">
        <f t="shared" ca="1" si="56"/>
        <v>#NAME?</v>
      </c>
    </row>
    <row r="224" spans="1:42" x14ac:dyDescent="0.25">
      <c r="A224" s="1" t="s">
        <v>239</v>
      </c>
      <c r="B224" s="1">
        <v>223</v>
      </c>
      <c r="C224" s="1">
        <v>17437.080000000002</v>
      </c>
      <c r="D224" s="1">
        <f t="shared" si="66"/>
        <v>4.2414737600654648</v>
      </c>
      <c r="E224" s="1">
        <v>11943.043</v>
      </c>
      <c r="F224" s="1">
        <f t="shared" si="67"/>
        <v>4.0771149959501729</v>
      </c>
      <c r="G224" s="1">
        <v>3130.3539999999998</v>
      </c>
      <c r="H224" s="1">
        <f t="shared" si="68"/>
        <v>3.4955934530586887</v>
      </c>
      <c r="I224" s="1">
        <v>3099.0819999999999</v>
      </c>
      <c r="J224" s="1">
        <f t="shared" si="69"/>
        <v>0.17772941341096099</v>
      </c>
      <c r="K224" s="1">
        <f t="shared" si="70"/>
        <v>3.4912330675837078</v>
      </c>
      <c r="L224" s="1">
        <v>2371.2049999999999</v>
      </c>
      <c r="M224" s="1">
        <f t="shared" si="71"/>
        <v>3.3749691020676722</v>
      </c>
      <c r="N224" s="1">
        <v>3117.7620000000002</v>
      </c>
      <c r="O224" s="1">
        <f t="shared" si="72"/>
        <v>3.4938429594635481</v>
      </c>
      <c r="P224" s="1">
        <v>-746.55700000000002</v>
      </c>
      <c r="Q224" s="1" t="e">
        <f ca="1"/>
        <v>#NAME?</v>
      </c>
      <c r="R224" s="1" t="e">
        <f t="shared" ca="1" si="57"/>
        <v>#NAME?</v>
      </c>
      <c r="S224" s="4">
        <v>3607061000000</v>
      </c>
      <c r="T224" s="1">
        <v>142128</v>
      </c>
      <c r="U224" s="1" t="e">
        <f ca="1"/>
        <v>#NAME?</v>
      </c>
      <c r="V224" s="1" t="e">
        <f t="shared" ca="1" si="58"/>
        <v>#NAME?</v>
      </c>
      <c r="W224" s="1" t="e">
        <f ca="1"/>
        <v>#NAME?</v>
      </c>
      <c r="X224" s="1" t="e">
        <f t="shared" ca="1" si="59"/>
        <v>#NAME?</v>
      </c>
      <c r="Y224" s="1" t="e">
        <f ca="1"/>
        <v>#NAME?</v>
      </c>
      <c r="Z224" s="1" t="e">
        <f t="shared" ca="1" si="60"/>
        <v>#NAME?</v>
      </c>
      <c r="AA224" s="1" t="e">
        <f ca="1"/>
        <v>#NAME?</v>
      </c>
      <c r="AB224" s="1" t="e">
        <f t="shared" ca="1" si="61"/>
        <v>#NAME?</v>
      </c>
      <c r="AC224" s="1" t="e">
        <f ca="1"/>
        <v>#NAME?</v>
      </c>
      <c r="AD224" s="1" t="e">
        <f t="shared" ca="1" si="62"/>
        <v>#NAME?</v>
      </c>
      <c r="AE224" s="1" t="e">
        <f ca="1"/>
        <v>#NAME?</v>
      </c>
      <c r="AF224" s="1" t="e">
        <f t="shared" ca="1" si="63"/>
        <v>#NAME?</v>
      </c>
      <c r="AG224" s="1" t="e">
        <f ca="1"/>
        <v>#NAME?</v>
      </c>
      <c r="AH224" s="1" t="e">
        <f t="shared" ca="1" si="64"/>
        <v>#NAME?</v>
      </c>
      <c r="AI224" s="1" t="e">
        <f ca="1"/>
        <v>#NAME?</v>
      </c>
      <c r="AJ224" s="1" t="e">
        <f t="shared" ca="1" si="73"/>
        <v>#NAME?</v>
      </c>
      <c r="AK224" s="1" t="e">
        <f ca="1"/>
        <v>#NAME?</v>
      </c>
      <c r="AL224" s="1" t="e">
        <f t="shared" ca="1" si="65"/>
        <v>#NAME?</v>
      </c>
      <c r="AN224" s="1">
        <f t="shared" si="55"/>
        <v>3.5031835321485643</v>
      </c>
      <c r="AO224" s="1" t="e">
        <f ca="1"/>
        <v>#NAME?</v>
      </c>
      <c r="AP224" s="1" t="e">
        <f t="shared" ca="1" si="56"/>
        <v>#NAME?</v>
      </c>
    </row>
    <row r="225" spans="1:42" x14ac:dyDescent="0.25">
      <c r="A225" s="1" t="s">
        <v>240</v>
      </c>
      <c r="B225" s="1">
        <v>224</v>
      </c>
      <c r="C225" s="1">
        <v>17462.579000000002</v>
      </c>
      <c r="D225" s="1">
        <f t="shared" si="66"/>
        <v>4.2421083838573255</v>
      </c>
      <c r="E225" s="1">
        <v>12003.146000000001</v>
      </c>
      <c r="F225" s="1">
        <f t="shared" si="67"/>
        <v>4.0792950886620796</v>
      </c>
      <c r="G225" s="1">
        <v>3092.7069999999999</v>
      </c>
      <c r="H225" s="1">
        <f t="shared" si="68"/>
        <v>3.4903387773227084</v>
      </c>
      <c r="I225" s="1">
        <v>3110.2570000000001</v>
      </c>
      <c r="J225" s="1">
        <f t="shared" si="69"/>
        <v>0.17810983131414895</v>
      </c>
      <c r="K225" s="1">
        <f t="shared" si="70"/>
        <v>3.4927962761877418</v>
      </c>
      <c r="L225" s="1">
        <v>2367.6669999999999</v>
      </c>
      <c r="M225" s="1">
        <f t="shared" si="71"/>
        <v>3.3743206210947903</v>
      </c>
      <c r="N225" s="1">
        <v>3124.3560000000002</v>
      </c>
      <c r="O225" s="1">
        <f t="shared" si="72"/>
        <v>3.4947605130499775</v>
      </c>
      <c r="P225" s="1">
        <v>-756.68899999999996</v>
      </c>
      <c r="Q225" s="1" t="e">
        <f ca="1"/>
        <v>#NAME?</v>
      </c>
      <c r="R225" s="1" t="e">
        <f t="shared" ca="1" si="57"/>
        <v>#NAME?</v>
      </c>
      <c r="S225" s="4">
        <v>3594983000000</v>
      </c>
      <c r="T225" s="1">
        <v>142826</v>
      </c>
      <c r="U225" s="1" t="e">
        <f ca="1"/>
        <v>#NAME?</v>
      </c>
      <c r="V225" s="1" t="e">
        <f t="shared" ca="1" si="58"/>
        <v>#NAME?</v>
      </c>
      <c r="W225" s="1" t="e">
        <f ca="1"/>
        <v>#NAME?</v>
      </c>
      <c r="X225" s="1" t="e">
        <f t="shared" ca="1" si="59"/>
        <v>#NAME?</v>
      </c>
      <c r="Y225" s="1" t="e">
        <f ca="1"/>
        <v>#NAME?</v>
      </c>
      <c r="Z225" s="1" t="e">
        <f t="shared" ca="1" si="60"/>
        <v>#NAME?</v>
      </c>
      <c r="AA225" s="1" t="e">
        <f ca="1"/>
        <v>#NAME?</v>
      </c>
      <c r="AB225" s="1" t="e">
        <f t="shared" ca="1" si="61"/>
        <v>#NAME?</v>
      </c>
      <c r="AC225" s="1" t="e">
        <f ca="1"/>
        <v>#NAME?</v>
      </c>
      <c r="AD225" s="1" t="e">
        <f t="shared" ca="1" si="62"/>
        <v>#NAME?</v>
      </c>
      <c r="AE225" s="1" t="e">
        <f ca="1"/>
        <v>#NAME?</v>
      </c>
      <c r="AF225" s="1" t="e">
        <f t="shared" ca="1" si="63"/>
        <v>#NAME?</v>
      </c>
      <c r="AG225" s="1" t="e">
        <f ca="1"/>
        <v>#NAME?</v>
      </c>
      <c r="AH225" s="1" t="e">
        <f t="shared" ca="1" si="64"/>
        <v>#NAME?</v>
      </c>
      <c r="AI225" s="1" t="e">
        <f ca="1"/>
        <v>#NAME?</v>
      </c>
      <c r="AJ225" s="1" t="e">
        <f t="shared" ca="1" si="73"/>
        <v>#NAME?</v>
      </c>
      <c r="AK225" s="1" t="e">
        <f ca="1"/>
        <v>#NAME?</v>
      </c>
      <c r="AL225" s="1" t="e">
        <f t="shared" ca="1" si="65"/>
        <v>#NAME?</v>
      </c>
      <c r="AN225" s="1">
        <f t="shared" si="55"/>
        <v>3.5029808660685449</v>
      </c>
      <c r="AO225" s="1" t="e">
        <f ca="1"/>
        <v>#NAME?</v>
      </c>
      <c r="AP225" s="1" t="e">
        <f t="shared" ca="1" si="56"/>
        <v>#NAME?</v>
      </c>
    </row>
    <row r="226" spans="1:42" x14ac:dyDescent="0.25">
      <c r="A226" s="1" t="s">
        <v>241</v>
      </c>
      <c r="B226" s="1">
        <v>225</v>
      </c>
      <c r="C226" s="1">
        <v>17565.465</v>
      </c>
      <c r="D226" s="1">
        <f t="shared" si="66"/>
        <v>4.2446596510970762</v>
      </c>
      <c r="E226" s="1">
        <v>12091.178</v>
      </c>
      <c r="F226" s="1">
        <f t="shared" si="67"/>
        <v>4.0824686146719591</v>
      </c>
      <c r="G226" s="1">
        <v>3079.4490000000001</v>
      </c>
      <c r="H226" s="1">
        <f t="shared" si="68"/>
        <v>3.4884730159593191</v>
      </c>
      <c r="I226" s="1">
        <v>3142.8409999999999</v>
      </c>
      <c r="J226" s="1">
        <f t="shared" si="69"/>
        <v>0.17892159416218129</v>
      </c>
      <c r="K226" s="1">
        <f t="shared" si="70"/>
        <v>3.4973224101078362</v>
      </c>
      <c r="L226" s="1">
        <v>2360.7049999999999</v>
      </c>
      <c r="M226" s="1">
        <f t="shared" si="71"/>
        <v>3.3730417198712974</v>
      </c>
      <c r="N226" s="1">
        <v>3119.9780000000001</v>
      </c>
      <c r="O226" s="1">
        <f t="shared" si="72"/>
        <v>3.4941515316747607</v>
      </c>
      <c r="P226" s="1">
        <v>-759.27300000000002</v>
      </c>
      <c r="Q226" s="1" t="e">
        <f ca="1"/>
        <v>#NAME?</v>
      </c>
      <c r="R226" s="1" t="e">
        <f t="shared" ca="1" si="57"/>
        <v>#NAME?</v>
      </c>
      <c r="S226" s="4">
        <v>3627831000000</v>
      </c>
      <c r="T226" s="1">
        <v>143424.66666666701</v>
      </c>
      <c r="U226" s="1" t="e">
        <f ca="1"/>
        <v>#NAME?</v>
      </c>
      <c r="V226" s="1" t="e">
        <f t="shared" ca="1" si="58"/>
        <v>#NAME?</v>
      </c>
      <c r="W226" s="1" t="e">
        <f ca="1"/>
        <v>#NAME?</v>
      </c>
      <c r="X226" s="1" t="e">
        <f t="shared" ca="1" si="59"/>
        <v>#NAME?</v>
      </c>
      <c r="Y226" s="1" t="e">
        <f ca="1"/>
        <v>#NAME?</v>
      </c>
      <c r="Z226" s="1" t="e">
        <f t="shared" ca="1" si="60"/>
        <v>#NAME?</v>
      </c>
      <c r="AA226" s="1" t="e">
        <f ca="1"/>
        <v>#NAME?</v>
      </c>
      <c r="AB226" s="1" t="e">
        <f t="shared" ca="1" si="61"/>
        <v>#NAME?</v>
      </c>
      <c r="AC226" s="1" t="e">
        <f ca="1"/>
        <v>#NAME?</v>
      </c>
      <c r="AD226" s="1" t="e">
        <f t="shared" ca="1" si="62"/>
        <v>#NAME?</v>
      </c>
      <c r="AE226" s="1" t="e">
        <f ca="1"/>
        <v>#NAME?</v>
      </c>
      <c r="AF226" s="1" t="e">
        <f t="shared" ca="1" si="63"/>
        <v>#NAME?</v>
      </c>
      <c r="AG226" s="1" t="e">
        <f ca="1"/>
        <v>#NAME?</v>
      </c>
      <c r="AH226" s="1" t="e">
        <f t="shared" ca="1" si="64"/>
        <v>#NAME?</v>
      </c>
      <c r="AI226" s="1" t="e">
        <f ca="1"/>
        <v>#NAME?</v>
      </c>
      <c r="AJ226" s="1" t="e">
        <f t="shared" ca="1" si="73"/>
        <v>#NAME?</v>
      </c>
      <c r="AK226" s="1" t="e">
        <f ca="1"/>
        <v>#NAME?</v>
      </c>
      <c r="AL226" s="1" t="e">
        <f t="shared" ca="1" si="65"/>
        <v>#NAME?</v>
      </c>
      <c r="AN226" s="1">
        <f t="shared" si="55"/>
        <v>3.5029474504832736</v>
      </c>
      <c r="AO226" s="1" t="e">
        <f ca="1"/>
        <v>#NAME?</v>
      </c>
      <c r="AP226" s="1" t="e">
        <f t="shared" ca="1" si="56"/>
        <v>#NAME?</v>
      </c>
    </row>
    <row r="227" spans="1:42" x14ac:dyDescent="0.25">
      <c r="A227" s="1" t="s">
        <v>242</v>
      </c>
      <c r="B227" s="1">
        <v>226</v>
      </c>
      <c r="C227" s="1">
        <v>17618.580999999998</v>
      </c>
      <c r="D227" s="1">
        <f t="shared" si="66"/>
        <v>4.2459709274196111</v>
      </c>
      <c r="E227" s="1">
        <v>12152.627</v>
      </c>
      <c r="F227" s="1">
        <f t="shared" si="67"/>
        <v>4.0846701683280244</v>
      </c>
      <c r="G227" s="1">
        <v>3063.3330000000001</v>
      </c>
      <c r="H227" s="1">
        <f t="shared" si="68"/>
        <v>3.4861942094091578</v>
      </c>
      <c r="I227" s="1">
        <v>3137.91</v>
      </c>
      <c r="J227" s="1">
        <f t="shared" si="69"/>
        <v>0.17810231141770158</v>
      </c>
      <c r="K227" s="1">
        <f t="shared" si="70"/>
        <v>3.4966404832076114</v>
      </c>
      <c r="L227" s="1">
        <v>2378.6120000000001</v>
      </c>
      <c r="M227" s="1">
        <f t="shared" si="71"/>
        <v>3.3763236055506622</v>
      </c>
      <c r="N227" s="1">
        <v>3123.2449999999999</v>
      </c>
      <c r="O227" s="1">
        <f t="shared" si="72"/>
        <v>3.4946060533863461</v>
      </c>
      <c r="P227" s="1">
        <v>-744.63300000000004</v>
      </c>
      <c r="Q227" s="1" t="e">
        <f ca="1"/>
        <v>#NAME?</v>
      </c>
      <c r="R227" s="1" t="e">
        <f t="shared" ca="1" si="57"/>
        <v>#NAME?</v>
      </c>
      <c r="S227" s="4">
        <v>3637582000000</v>
      </c>
      <c r="T227" s="1">
        <v>143969.66666666701</v>
      </c>
      <c r="U227" s="1" t="e">
        <f ca="1"/>
        <v>#NAME?</v>
      </c>
      <c r="V227" s="1" t="e">
        <f t="shared" ca="1" si="58"/>
        <v>#NAME?</v>
      </c>
      <c r="W227" s="1" t="e">
        <f ca="1"/>
        <v>#NAME?</v>
      </c>
      <c r="X227" s="1" t="e">
        <f t="shared" ca="1" si="59"/>
        <v>#NAME?</v>
      </c>
      <c r="Y227" s="1" t="e">
        <f ca="1"/>
        <v>#NAME?</v>
      </c>
      <c r="Z227" s="1" t="e">
        <f t="shared" ca="1" si="60"/>
        <v>#NAME?</v>
      </c>
      <c r="AA227" s="1" t="e">
        <f ca="1"/>
        <v>#NAME?</v>
      </c>
      <c r="AB227" s="1" t="e">
        <f t="shared" ca="1" si="61"/>
        <v>#NAME?</v>
      </c>
      <c r="AC227" s="1" t="e">
        <f ca="1"/>
        <v>#NAME?</v>
      </c>
      <c r="AD227" s="1" t="e">
        <f t="shared" ca="1" si="62"/>
        <v>#NAME?</v>
      </c>
      <c r="AE227" s="1" t="e">
        <f ca="1"/>
        <v>#NAME?</v>
      </c>
      <c r="AF227" s="1" t="e">
        <f t="shared" ca="1" si="63"/>
        <v>#NAME?</v>
      </c>
      <c r="AG227" s="1" t="e">
        <f ca="1"/>
        <v>#NAME?</v>
      </c>
      <c r="AH227" s="1" t="e">
        <f t="shared" ca="1" si="64"/>
        <v>#NAME?</v>
      </c>
      <c r="AI227" s="1" t="e">
        <f ca="1"/>
        <v>#NAME?</v>
      </c>
      <c r="AJ227" s="1" t="e">
        <f t="shared" ca="1" si="73"/>
        <v>#NAME?</v>
      </c>
      <c r="AK227" s="1" t="e">
        <f ca="1"/>
        <v>#NAME?</v>
      </c>
      <c r="AL227" s="1" t="e">
        <f t="shared" ca="1" si="65"/>
        <v>#NAME?</v>
      </c>
      <c r="AN227" s="1">
        <f t="shared" si="55"/>
        <v>3.5027848827970258</v>
      </c>
      <c r="AO227" s="1" t="e">
        <f ca="1"/>
        <v>#NAME?</v>
      </c>
      <c r="AP227" s="1" t="e">
        <f t="shared" ca="1" si="56"/>
        <v>#NAME?</v>
      </c>
    </row>
    <row r="228" spans="1:42" x14ac:dyDescent="0.25">
      <c r="A228" s="1" t="s">
        <v>243</v>
      </c>
      <c r="B228" s="1">
        <v>227</v>
      </c>
      <c r="C228" s="1">
        <v>17724.489000000001</v>
      </c>
      <c r="D228" s="1">
        <f t="shared" si="66"/>
        <v>4.2485737232526057</v>
      </c>
      <c r="E228" s="1">
        <v>12223.822</v>
      </c>
      <c r="F228" s="1">
        <f t="shared" si="67"/>
        <v>4.087207017198514</v>
      </c>
      <c r="G228" s="1">
        <v>3069.2979999999998</v>
      </c>
      <c r="H228" s="1">
        <f t="shared" si="68"/>
        <v>3.4870390563929443</v>
      </c>
      <c r="I228" s="1">
        <v>3153.8939999999998</v>
      </c>
      <c r="J228" s="1">
        <f t="shared" si="69"/>
        <v>0.17793991127191308</v>
      </c>
      <c r="K228" s="1">
        <f t="shared" si="70"/>
        <v>3.4988470929279893</v>
      </c>
      <c r="L228" s="1">
        <v>2415.5520000000001</v>
      </c>
      <c r="M228" s="1">
        <f t="shared" si="71"/>
        <v>3.3830163910545732</v>
      </c>
      <c r="N228" s="1">
        <v>3145.9769999999999</v>
      </c>
      <c r="O228" s="1">
        <f t="shared" si="72"/>
        <v>3.4977555432047516</v>
      </c>
      <c r="P228" s="1">
        <v>-730.42499999999995</v>
      </c>
      <c r="Q228" s="1" t="e">
        <f ca="1"/>
        <v>#NAME?</v>
      </c>
      <c r="R228" s="1" t="e">
        <f t="shared" ca="1" si="57"/>
        <v>#NAME?</v>
      </c>
      <c r="S228" s="4">
        <v>3663937000000</v>
      </c>
      <c r="T228" s="1">
        <v>144713.33333333299</v>
      </c>
      <c r="U228" s="1" t="e">
        <f ca="1"/>
        <v>#NAME?</v>
      </c>
      <c r="V228" s="1" t="e">
        <f t="shared" ca="1" si="58"/>
        <v>#NAME?</v>
      </c>
      <c r="W228" s="1" t="e">
        <f ca="1"/>
        <v>#NAME?</v>
      </c>
      <c r="X228" s="1" t="e">
        <f t="shared" ca="1" si="59"/>
        <v>#NAME?</v>
      </c>
      <c r="Y228" s="1" t="e">
        <f ca="1"/>
        <v>#NAME?</v>
      </c>
      <c r="Z228" s="1" t="e">
        <f t="shared" ca="1" si="60"/>
        <v>#NAME?</v>
      </c>
      <c r="AA228" s="1" t="e">
        <f ca="1"/>
        <v>#NAME?</v>
      </c>
      <c r="AB228" s="1" t="e">
        <f t="shared" ca="1" si="61"/>
        <v>#NAME?</v>
      </c>
      <c r="AC228" s="1" t="e">
        <f ca="1"/>
        <v>#NAME?</v>
      </c>
      <c r="AD228" s="1" t="e">
        <f t="shared" ca="1" si="62"/>
        <v>#NAME?</v>
      </c>
      <c r="AE228" s="1" t="e">
        <f ca="1"/>
        <v>#NAME?</v>
      </c>
      <c r="AF228" s="1" t="e">
        <f t="shared" ca="1" si="63"/>
        <v>#NAME?</v>
      </c>
      <c r="AG228" s="1" t="e">
        <f ca="1"/>
        <v>#NAME?</v>
      </c>
      <c r="AH228" s="1" t="e">
        <f t="shared" ca="1" si="64"/>
        <v>#NAME?</v>
      </c>
      <c r="AI228" s="1" t="e">
        <f ca="1"/>
        <v>#NAME?</v>
      </c>
      <c r="AJ228" s="1" t="e">
        <f t="shared" ca="1" si="73"/>
        <v>#NAME?</v>
      </c>
      <c r="AK228" s="1" t="e">
        <f ca="1"/>
        <v>#NAME?</v>
      </c>
      <c r="AL228" s="1" t="e">
        <f t="shared" ca="1" si="65"/>
        <v>#NAME?</v>
      </c>
      <c r="AN228" s="1">
        <f t="shared" si="55"/>
        <v>3.5028269739357283</v>
      </c>
      <c r="AO228" s="1" t="e">
        <f ca="1"/>
        <v>#NAME?</v>
      </c>
      <c r="AP228" s="1" t="e">
        <f t="shared" ca="1" si="56"/>
        <v>#NAME?</v>
      </c>
    </row>
    <row r="229" spans="1:42" x14ac:dyDescent="0.25">
      <c r="A229" s="1" t="s">
        <v>244</v>
      </c>
      <c r="B229" s="1">
        <v>228</v>
      </c>
      <c r="C229" s="1">
        <v>17812.560000000001</v>
      </c>
      <c r="D229" s="1">
        <f t="shared" si="66"/>
        <v>4.2507263402367972</v>
      </c>
      <c r="E229" s="1">
        <v>12283.075999999999</v>
      </c>
      <c r="F229" s="1">
        <f t="shared" si="67"/>
        <v>4.0893071389990974</v>
      </c>
      <c r="G229" s="1">
        <v>3147.576</v>
      </c>
      <c r="H229" s="1">
        <f t="shared" si="68"/>
        <v>3.4979762251920188</v>
      </c>
      <c r="I229" s="1">
        <v>3160.471</v>
      </c>
      <c r="J229" s="1">
        <f t="shared" si="69"/>
        <v>0.17742935322042422</v>
      </c>
      <c r="K229" s="1">
        <f t="shared" si="70"/>
        <v>3.4997518096621176</v>
      </c>
      <c r="L229" s="1">
        <v>2398.5520000000001</v>
      </c>
      <c r="M229" s="1">
        <f t="shared" si="71"/>
        <v>3.3799491382983748</v>
      </c>
      <c r="N229" s="1">
        <v>3192.5250000000001</v>
      </c>
      <c r="O229" s="1">
        <f t="shared" si="72"/>
        <v>3.5041343068186279</v>
      </c>
      <c r="P229" s="1">
        <v>-793.97299999999996</v>
      </c>
      <c r="Q229" s="1" t="e">
        <f ca="1"/>
        <v>#NAME?</v>
      </c>
      <c r="R229" s="1" t="e">
        <f t="shared" ca="1" si="57"/>
        <v>#NAME?</v>
      </c>
      <c r="S229" s="4">
        <v>3693210000000</v>
      </c>
      <c r="T229" s="1">
        <v>145222</v>
      </c>
      <c r="U229" s="1" t="e">
        <f ca="1"/>
        <v>#NAME?</v>
      </c>
      <c r="V229" s="1" t="e">
        <f t="shared" ca="1" si="58"/>
        <v>#NAME?</v>
      </c>
      <c r="W229" s="1" t="e">
        <f ca="1"/>
        <v>#NAME?</v>
      </c>
      <c r="X229" s="1" t="e">
        <f t="shared" ca="1" si="59"/>
        <v>#NAME?</v>
      </c>
      <c r="Y229" s="1" t="e">
        <f ca="1"/>
        <v>#NAME?</v>
      </c>
      <c r="Z229" s="1" t="e">
        <f t="shared" ca="1" si="60"/>
        <v>#NAME?</v>
      </c>
      <c r="AA229" s="1" t="e">
        <f ca="1"/>
        <v>#NAME?</v>
      </c>
      <c r="AB229" s="1" t="e">
        <f t="shared" ca="1" si="61"/>
        <v>#NAME?</v>
      </c>
      <c r="AC229" s="1" t="e">
        <f ca="1"/>
        <v>#NAME?</v>
      </c>
      <c r="AD229" s="1" t="e">
        <f t="shared" ca="1" si="62"/>
        <v>#NAME?</v>
      </c>
      <c r="AE229" s="1" t="e">
        <f ca="1"/>
        <v>#NAME?</v>
      </c>
      <c r="AF229" s="1" t="e">
        <f t="shared" ca="1" si="63"/>
        <v>#NAME?</v>
      </c>
      <c r="AG229" s="1" t="e">
        <f ca="1"/>
        <v>#NAME?</v>
      </c>
      <c r="AH229" s="1" t="e">
        <f t="shared" ca="1" si="64"/>
        <v>#NAME?</v>
      </c>
      <c r="AI229" s="1" t="e">
        <f ca="1"/>
        <v>#NAME?</v>
      </c>
      <c r="AJ229" s="1" t="e">
        <f t="shared" ca="1" si="73"/>
        <v>#NAME?</v>
      </c>
      <c r="AK229" s="1" t="e">
        <f ca="1"/>
        <v>#NAME?</v>
      </c>
      <c r="AL229" s="1" t="e">
        <f t="shared" ca="1" si="65"/>
        <v>#NAME?</v>
      </c>
      <c r="AN229" s="1">
        <f t="shared" si="55"/>
        <v>3.5027601545354381</v>
      </c>
      <c r="AO229" s="1" t="e">
        <f ca="1"/>
        <v>#NAME?</v>
      </c>
      <c r="AP229" s="1" t="e">
        <f t="shared" ca="1" si="56"/>
        <v>#NAME?</v>
      </c>
    </row>
    <row r="230" spans="1:42" x14ac:dyDescent="0.25">
      <c r="A230" s="1" t="s">
        <v>245</v>
      </c>
      <c r="B230" s="1">
        <v>229</v>
      </c>
      <c r="C230" s="1">
        <v>17889.094000000001</v>
      </c>
      <c r="D230" s="1">
        <f t="shared" si="66"/>
        <v>4.252588346114373</v>
      </c>
      <c r="E230" s="1">
        <v>12369.906999999999</v>
      </c>
      <c r="F230" s="1">
        <f t="shared" si="67"/>
        <v>4.0923664345087776</v>
      </c>
      <c r="G230" s="1">
        <v>3131.9169999999999</v>
      </c>
      <c r="H230" s="1">
        <f t="shared" si="68"/>
        <v>3.4958102441523065</v>
      </c>
      <c r="I230" s="1">
        <v>3152.232</v>
      </c>
      <c r="J230" s="1">
        <f t="shared" si="69"/>
        <v>0.17620970631603813</v>
      </c>
      <c r="K230" s="1">
        <f t="shared" si="70"/>
        <v>3.4986181734786683</v>
      </c>
      <c r="L230" s="1">
        <v>2460.7539999999999</v>
      </c>
      <c r="M230" s="1">
        <f t="shared" si="71"/>
        <v>3.391068199731833</v>
      </c>
      <c r="N230" s="1">
        <v>3241.8359999999998</v>
      </c>
      <c r="O230" s="1">
        <f t="shared" si="72"/>
        <v>3.5107910407109628</v>
      </c>
      <c r="P230" s="1">
        <v>-781.08199999999999</v>
      </c>
      <c r="Q230" s="1" t="e">
        <f ca="1"/>
        <v>#NAME?</v>
      </c>
      <c r="R230" s="1" t="e">
        <f t="shared" ca="1" si="57"/>
        <v>#NAME?</v>
      </c>
      <c r="S230" s="4">
        <v>3737811000000</v>
      </c>
      <c r="T230" s="1">
        <v>145819.66666666701</v>
      </c>
      <c r="U230" s="1" t="e">
        <f ca="1"/>
        <v>#NAME?</v>
      </c>
      <c r="V230" s="1" t="e">
        <f t="shared" ca="1" si="58"/>
        <v>#NAME?</v>
      </c>
      <c r="W230" s="1" t="e">
        <f ca="1"/>
        <v>#NAME?</v>
      </c>
      <c r="X230" s="1" t="e">
        <f t="shared" ca="1" si="59"/>
        <v>#NAME?</v>
      </c>
      <c r="Y230" s="1" t="e">
        <f ca="1"/>
        <v>#NAME?</v>
      </c>
      <c r="Z230" s="1" t="e">
        <f t="shared" ca="1" si="60"/>
        <v>#NAME?</v>
      </c>
      <c r="AA230" s="1" t="e">
        <f ca="1"/>
        <v>#NAME?</v>
      </c>
      <c r="AB230" s="1" t="e">
        <f t="shared" ca="1" si="61"/>
        <v>#NAME?</v>
      </c>
      <c r="AC230" s="1" t="e">
        <f ca="1"/>
        <v>#NAME?</v>
      </c>
      <c r="AD230" s="1" t="e">
        <f t="shared" ca="1" si="62"/>
        <v>#NAME?</v>
      </c>
      <c r="AE230" s="1" t="e">
        <f ca="1"/>
        <v>#NAME?</v>
      </c>
      <c r="AF230" s="1" t="e">
        <f t="shared" ca="1" si="63"/>
        <v>#NAME?</v>
      </c>
      <c r="AG230" s="1" t="e">
        <f ca="1"/>
        <v>#NAME?</v>
      </c>
      <c r="AH230" s="1" t="e">
        <f t="shared" ca="1" si="64"/>
        <v>#NAME?</v>
      </c>
      <c r="AI230" s="1" t="e">
        <f ca="1"/>
        <v>#NAME?</v>
      </c>
      <c r="AJ230" s="1" t="e">
        <f t="shared" ca="1" si="73"/>
        <v>#NAME?</v>
      </c>
      <c r="AK230" s="1" t="e">
        <f ca="1"/>
        <v>#NAME?</v>
      </c>
      <c r="AL230" s="1" t="e">
        <f t="shared" ca="1" si="65"/>
        <v>#NAME?</v>
      </c>
      <c r="AN230" s="1">
        <f t="shared" si="55"/>
        <v>3.501603799788362</v>
      </c>
      <c r="AO230" s="1" t="e">
        <f ca="1"/>
        <v>#NAME?</v>
      </c>
      <c r="AP230" s="1" t="e">
        <f t="shared" ca="1" si="56"/>
        <v>#NAME?</v>
      </c>
    </row>
    <row r="231" spans="1:42" x14ac:dyDescent="0.25">
      <c r="A231" s="1" t="s">
        <v>246</v>
      </c>
      <c r="B231" s="1">
        <v>230</v>
      </c>
      <c r="C231" s="1">
        <v>17979.218000000001</v>
      </c>
      <c r="D231" s="1">
        <f t="shared" si="66"/>
        <v>4.2547707983165353</v>
      </c>
      <c r="E231" s="1">
        <v>12419.406999999999</v>
      </c>
      <c r="F231" s="1">
        <f t="shared" si="67"/>
        <v>4.0941008597072219</v>
      </c>
      <c r="G231" s="1">
        <v>3187.7809999999999</v>
      </c>
      <c r="H231" s="1">
        <f t="shared" si="68"/>
        <v>3.5034884777935544</v>
      </c>
      <c r="I231" s="1">
        <v>3157.8739999999998</v>
      </c>
      <c r="J231" s="1">
        <f t="shared" si="69"/>
        <v>0.17564023084874991</v>
      </c>
      <c r="K231" s="1">
        <f t="shared" si="70"/>
        <v>3.4993947975543533</v>
      </c>
      <c r="L231" s="1">
        <v>2468.9459999999999</v>
      </c>
      <c r="M231" s="1">
        <f t="shared" si="71"/>
        <v>3.3925115912853192</v>
      </c>
      <c r="N231" s="1">
        <v>3273.4029999999998</v>
      </c>
      <c r="O231" s="1">
        <f t="shared" si="72"/>
        <v>3.5149994760999577</v>
      </c>
      <c r="P231" s="1">
        <v>-804.45699999999999</v>
      </c>
      <c r="Q231" s="1" t="e">
        <f ca="1"/>
        <v>#NAME?</v>
      </c>
      <c r="R231" s="1" t="e">
        <f t="shared" ca="1" si="57"/>
        <v>#NAME?</v>
      </c>
      <c r="S231" s="4">
        <v>3774719000000</v>
      </c>
      <c r="T231" s="1">
        <v>146383</v>
      </c>
      <c r="U231" s="1" t="e">
        <f ca="1"/>
        <v>#NAME?</v>
      </c>
      <c r="V231" s="1" t="e">
        <f t="shared" ca="1" si="58"/>
        <v>#NAME?</v>
      </c>
      <c r="W231" s="1" t="e">
        <f ca="1"/>
        <v>#NAME?</v>
      </c>
      <c r="X231" s="1" t="e">
        <f t="shared" ca="1" si="59"/>
        <v>#NAME?</v>
      </c>
      <c r="Y231" s="1" t="e">
        <f ca="1"/>
        <v>#NAME?</v>
      </c>
      <c r="Z231" s="1" t="e">
        <f t="shared" ca="1" si="60"/>
        <v>#NAME?</v>
      </c>
      <c r="AA231" s="1" t="e">
        <f ca="1"/>
        <v>#NAME?</v>
      </c>
      <c r="AB231" s="1" t="e">
        <f t="shared" ca="1" si="61"/>
        <v>#NAME?</v>
      </c>
      <c r="AC231" s="1" t="e">
        <f ca="1"/>
        <v>#NAME?</v>
      </c>
      <c r="AD231" s="1" t="e">
        <f t="shared" ca="1" si="62"/>
        <v>#NAME?</v>
      </c>
      <c r="AE231" s="1" t="e">
        <f ca="1"/>
        <v>#NAME?</v>
      </c>
      <c r="AF231" s="1" t="e">
        <f t="shared" ca="1" si="63"/>
        <v>#NAME?</v>
      </c>
      <c r="AG231" s="1" t="e">
        <f ca="1"/>
        <v>#NAME?</v>
      </c>
      <c r="AH231" s="1" t="e">
        <f t="shared" ca="1" si="64"/>
        <v>#NAME?</v>
      </c>
      <c r="AI231" s="1" t="e">
        <f ca="1"/>
        <v>#NAME?</v>
      </c>
      <c r="AJ231" s="1" t="e">
        <f t="shared" ca="1" si="73"/>
        <v>#NAME?</v>
      </c>
      <c r="AK231" s="1" t="e">
        <f ca="1"/>
        <v>#NAME?</v>
      </c>
      <c r="AL231" s="1" t="e">
        <f t="shared" ca="1" si="65"/>
        <v>#NAME?</v>
      </c>
      <c r="AN231" s="1">
        <f t="shared" si="55"/>
        <v>3.5011783207525449</v>
      </c>
      <c r="AO231" s="1" t="e">
        <f ca="1"/>
        <v>#NAME?</v>
      </c>
      <c r="AP231" s="1" t="e">
        <f t="shared" ca="1" si="56"/>
        <v>#NAME?</v>
      </c>
    </row>
    <row r="232" spans="1:42" x14ac:dyDescent="0.25">
      <c r="A232" s="1" t="s">
        <v>247</v>
      </c>
      <c r="B232" s="1">
        <v>231</v>
      </c>
      <c r="C232" s="1">
        <v>18127.993999999999</v>
      </c>
      <c r="D232" s="1">
        <f t="shared" si="66"/>
        <v>4.2583497487766406</v>
      </c>
      <c r="E232" s="1">
        <v>12493.466</v>
      </c>
      <c r="F232" s="1">
        <f t="shared" si="67"/>
        <v>4.0966829392433048</v>
      </c>
      <c r="G232" s="1">
        <v>3250.8249999999998</v>
      </c>
      <c r="H232" s="1">
        <f t="shared" si="68"/>
        <v>3.5119935909726041</v>
      </c>
      <c r="I232" s="1">
        <v>3157.0859999999998</v>
      </c>
      <c r="J232" s="1">
        <f t="shared" si="69"/>
        <v>0.17415528712112327</v>
      </c>
      <c r="K232" s="1">
        <f t="shared" si="70"/>
        <v>3.4992864123694853</v>
      </c>
      <c r="L232" s="1">
        <v>2483.4670000000001</v>
      </c>
      <c r="M232" s="1">
        <f t="shared" si="71"/>
        <v>3.3950583935186303</v>
      </c>
      <c r="N232" s="1">
        <v>3270.7570000000001</v>
      </c>
      <c r="O232" s="1">
        <f t="shared" si="72"/>
        <v>3.5146482795333283</v>
      </c>
      <c r="P232" s="1">
        <v>-787.29</v>
      </c>
      <c r="Q232" s="1" t="e">
        <f ca="1"/>
        <v>#NAME?</v>
      </c>
      <c r="R232" s="1" t="e">
        <f t="shared" ca="1" si="57"/>
        <v>#NAME?</v>
      </c>
      <c r="S232" s="4">
        <v>3793556000000</v>
      </c>
      <c r="T232" s="1">
        <v>146892.66666666701</v>
      </c>
      <c r="U232" s="1" t="e">
        <f ca="1"/>
        <v>#NAME?</v>
      </c>
      <c r="V232" s="1" t="e">
        <f t="shared" ca="1" si="58"/>
        <v>#NAME?</v>
      </c>
      <c r="W232" s="1" t="e">
        <f ca="1"/>
        <v>#NAME?</v>
      </c>
      <c r="X232" s="1" t="e">
        <f t="shared" ca="1" si="59"/>
        <v>#NAME?</v>
      </c>
      <c r="Y232" s="1" t="e">
        <f ca="1"/>
        <v>#NAME?</v>
      </c>
      <c r="Z232" s="1" t="e">
        <f t="shared" ca="1" si="60"/>
        <v>#NAME?</v>
      </c>
      <c r="AA232" s="1" t="e">
        <f ca="1"/>
        <v>#NAME?</v>
      </c>
      <c r="AB232" s="1" t="e">
        <f t="shared" ca="1" si="61"/>
        <v>#NAME?</v>
      </c>
      <c r="AC232" s="1" t="e">
        <f ca="1"/>
        <v>#NAME?</v>
      </c>
      <c r="AD232" s="1" t="e">
        <f t="shared" ca="1" si="62"/>
        <v>#NAME?</v>
      </c>
      <c r="AE232" s="1" t="e">
        <f ca="1"/>
        <v>#NAME?</v>
      </c>
      <c r="AF232" s="1" t="e">
        <f t="shared" ca="1" si="63"/>
        <v>#NAME?</v>
      </c>
      <c r="AG232" s="1" t="e">
        <f ca="1"/>
        <v>#NAME?</v>
      </c>
      <c r="AH232" s="1" t="e">
        <f t="shared" ca="1" si="64"/>
        <v>#NAME?</v>
      </c>
      <c r="AI232" s="1" t="e">
        <f ca="1"/>
        <v>#NAME?</v>
      </c>
      <c r="AJ232" s="1" t="e">
        <f t="shared" ca="1" si="73"/>
        <v>#NAME?</v>
      </c>
      <c r="AK232" s="1" t="e">
        <f ca="1"/>
        <v>#NAME?</v>
      </c>
      <c r="AL232" s="1" t="e">
        <f t="shared" ca="1" si="65"/>
        <v>#NAME?</v>
      </c>
      <c r="AN232" s="1">
        <f t="shared" si="55"/>
        <v>3.5030129353648274</v>
      </c>
      <c r="AO232" s="1" t="e">
        <f ca="1"/>
        <v>#NAME?</v>
      </c>
      <c r="AP232" s="1" t="e">
        <f t="shared" ca="1" si="56"/>
        <v>#NAME?</v>
      </c>
    </row>
    <row r="233" spans="1:42" x14ac:dyDescent="0.25">
      <c r="A233" s="1" t="s">
        <v>248</v>
      </c>
      <c r="B233" s="1">
        <v>232</v>
      </c>
      <c r="C233" s="1">
        <v>18310.3</v>
      </c>
      <c r="D233" s="1">
        <f t="shared" si="66"/>
        <v>4.2626954599367171</v>
      </c>
      <c r="E233" s="1">
        <v>12630.132</v>
      </c>
      <c r="F233" s="1">
        <f t="shared" si="67"/>
        <v>4.1014078894763157</v>
      </c>
      <c r="G233" s="1">
        <v>3293.4409999999998</v>
      </c>
      <c r="H233" s="1">
        <f t="shared" si="68"/>
        <v>3.5176498877247182</v>
      </c>
      <c r="I233" s="1">
        <v>3181.9989999999998</v>
      </c>
      <c r="J233" s="1">
        <f t="shared" si="69"/>
        <v>0.17378191509696728</v>
      </c>
      <c r="K233" s="1">
        <f t="shared" si="70"/>
        <v>3.5027000388257887</v>
      </c>
      <c r="L233" s="1">
        <v>2547.9969999999998</v>
      </c>
      <c r="M233" s="1">
        <f t="shared" si="71"/>
        <v>3.4061989123272793</v>
      </c>
      <c r="N233" s="1">
        <v>3362.9569999999999</v>
      </c>
      <c r="O233" s="1">
        <f t="shared" si="72"/>
        <v>3.5267213143018159</v>
      </c>
      <c r="P233" s="1">
        <v>-814.96</v>
      </c>
      <c r="Q233" s="1" t="e">
        <f ca="1"/>
        <v>#NAME?</v>
      </c>
      <c r="R233" s="1" t="e">
        <f t="shared" ca="1" si="57"/>
        <v>#NAME?</v>
      </c>
      <c r="S233" s="4">
        <v>3878187000000</v>
      </c>
      <c r="T233" s="1">
        <v>147348.33333333299</v>
      </c>
      <c r="U233" s="1" t="e">
        <f ca="1"/>
        <v>#NAME?</v>
      </c>
      <c r="V233" s="1" t="e">
        <f t="shared" ca="1" si="58"/>
        <v>#NAME?</v>
      </c>
      <c r="W233" s="1" t="e">
        <f ca="1"/>
        <v>#NAME?</v>
      </c>
      <c r="X233" s="1" t="e">
        <f t="shared" ca="1" si="59"/>
        <v>#NAME?</v>
      </c>
      <c r="Y233" s="1" t="e">
        <f ca="1"/>
        <v>#NAME?</v>
      </c>
      <c r="Z233" s="1" t="e">
        <f t="shared" ca="1" si="60"/>
        <v>#NAME?</v>
      </c>
      <c r="AA233" s="1" t="e">
        <f ca="1"/>
        <v>#NAME?</v>
      </c>
      <c r="AB233" s="1" t="e">
        <f t="shared" ca="1" si="61"/>
        <v>#NAME?</v>
      </c>
      <c r="AC233" s="1" t="e">
        <f ca="1"/>
        <v>#NAME?</v>
      </c>
      <c r="AD233" s="1" t="e">
        <f t="shared" ca="1" si="62"/>
        <v>#NAME?</v>
      </c>
      <c r="AE233" s="1" t="e">
        <f ca="1"/>
        <v>#NAME?</v>
      </c>
      <c r="AF233" s="1" t="e">
        <f t="shared" ca="1" si="63"/>
        <v>#NAME?</v>
      </c>
      <c r="AG233" s="1" t="e">
        <f ca="1"/>
        <v>#NAME?</v>
      </c>
      <c r="AH233" s="1" t="e">
        <f t="shared" ca="1" si="64"/>
        <v>#NAME?</v>
      </c>
      <c r="AI233" s="1" t="e">
        <f ca="1"/>
        <v>#NAME?</v>
      </c>
      <c r="AJ233" s="1" t="e">
        <f t="shared" ca="1" si="73"/>
        <v>#NAME?</v>
      </c>
      <c r="AK233" s="1" t="e">
        <f ca="1"/>
        <v>#NAME?</v>
      </c>
      <c r="AL233" s="1" t="e">
        <f t="shared" ca="1" si="65"/>
        <v>#NAME?</v>
      </c>
      <c r="AN233" s="1">
        <f t="shared" si="55"/>
        <v>3.5030481654484289</v>
      </c>
      <c r="AO233" s="1" t="e">
        <f ca="1"/>
        <v>#NAME?</v>
      </c>
      <c r="AP233" s="1" t="e">
        <f t="shared" ca="1" si="56"/>
        <v>#NAME?</v>
      </c>
    </row>
    <row r="234" spans="1:42" x14ac:dyDescent="0.25">
      <c r="A234" s="1" t="s">
        <v>249</v>
      </c>
      <c r="B234" s="1">
        <v>233</v>
      </c>
      <c r="C234" s="1">
        <v>18437.127</v>
      </c>
      <c r="D234" s="1">
        <f t="shared" si="66"/>
        <v>4.2656932472351681</v>
      </c>
      <c r="E234" s="1">
        <v>12713.156000000001</v>
      </c>
      <c r="F234" s="1">
        <f t="shared" si="67"/>
        <v>4.1042533761435553</v>
      </c>
      <c r="G234" s="1">
        <v>3342.884</v>
      </c>
      <c r="H234" s="1">
        <f t="shared" si="68"/>
        <v>3.5241213065853993</v>
      </c>
      <c r="I234" s="1">
        <v>3187.7139999999999</v>
      </c>
      <c r="J234" s="1">
        <f t="shared" si="69"/>
        <v>0.17289646049517368</v>
      </c>
      <c r="K234" s="1">
        <f t="shared" si="70"/>
        <v>3.5034793498026175</v>
      </c>
      <c r="L234" s="1">
        <v>2564.6610000000001</v>
      </c>
      <c r="M234" s="1">
        <f t="shared" si="71"/>
        <v>3.4090299676703766</v>
      </c>
      <c r="N234" s="1">
        <v>3391.2579999999998</v>
      </c>
      <c r="O234" s="1">
        <f t="shared" si="72"/>
        <v>3.5303608312744097</v>
      </c>
      <c r="P234" s="1">
        <v>-826.59699999999998</v>
      </c>
      <c r="Q234" s="1" t="e">
        <f ca="1"/>
        <v>#NAME?</v>
      </c>
      <c r="R234" s="1" t="e">
        <f t="shared" ca="1" si="57"/>
        <v>#NAME?</v>
      </c>
      <c r="S234" s="4">
        <v>3921039000000</v>
      </c>
      <c r="T234" s="1">
        <v>148003</v>
      </c>
      <c r="U234" s="1" t="e">
        <f ca="1"/>
        <v>#NAME?</v>
      </c>
      <c r="V234" s="1" t="e">
        <f t="shared" ca="1" si="58"/>
        <v>#NAME?</v>
      </c>
      <c r="W234" s="1" t="e">
        <f ca="1"/>
        <v>#NAME?</v>
      </c>
      <c r="X234" s="1" t="e">
        <f t="shared" ca="1" si="59"/>
        <v>#NAME?</v>
      </c>
      <c r="Y234" s="1" t="e">
        <f ca="1"/>
        <v>#NAME?</v>
      </c>
      <c r="Z234" s="1" t="e">
        <f t="shared" ca="1" si="60"/>
        <v>#NAME?</v>
      </c>
      <c r="AA234" s="1" t="e">
        <f ca="1"/>
        <v>#NAME?</v>
      </c>
      <c r="AB234" s="1" t="e">
        <f t="shared" ca="1" si="61"/>
        <v>#NAME?</v>
      </c>
      <c r="AC234" s="1" t="e">
        <f ca="1"/>
        <v>#NAME?</v>
      </c>
      <c r="AD234" s="1" t="e">
        <f t="shared" ca="1" si="62"/>
        <v>#NAME?</v>
      </c>
      <c r="AE234" s="1" t="e">
        <f ca="1"/>
        <v>#NAME?</v>
      </c>
      <c r="AF234" s="1" t="e">
        <f t="shared" ca="1" si="63"/>
        <v>#NAME?</v>
      </c>
      <c r="AG234" s="1" t="e">
        <f ca="1"/>
        <v>#NAME?</v>
      </c>
      <c r="AH234" s="1" t="e">
        <f t="shared" ca="1" si="64"/>
        <v>#NAME?</v>
      </c>
      <c r="AI234" s="1" t="e">
        <f ca="1"/>
        <v>#NAME?</v>
      </c>
      <c r="AJ234" s="1" t="e">
        <f t="shared" ca="1" si="73"/>
        <v>#NAME?</v>
      </c>
      <c r="AK234" s="1" t="e">
        <f ca="1"/>
        <v>#NAME?</v>
      </c>
      <c r="AL234" s="1" t="e">
        <f t="shared" ca="1" si="65"/>
        <v>#NAME?</v>
      </c>
      <c r="AN234" s="1">
        <f t="shared" si="55"/>
        <v>3.5030956970419886</v>
      </c>
      <c r="AO234" s="1" t="e">
        <f ca="1"/>
        <v>#NAME?</v>
      </c>
      <c r="AP234" s="1" t="e">
        <f t="shared" ca="1" si="56"/>
        <v>#NAME?</v>
      </c>
    </row>
    <row r="235" spans="1:42" x14ac:dyDescent="0.25">
      <c r="A235" s="1" t="s">
        <v>250</v>
      </c>
      <c r="B235" s="1">
        <v>234</v>
      </c>
      <c r="C235" s="1">
        <v>18565.697</v>
      </c>
      <c r="D235" s="1">
        <f t="shared" si="66"/>
        <v>4.2687112583061433</v>
      </c>
      <c r="E235" s="1">
        <v>12805.609</v>
      </c>
      <c r="F235" s="1">
        <f t="shared" si="67"/>
        <v>4.1074002371621425</v>
      </c>
      <c r="G235" s="1">
        <v>3349.047</v>
      </c>
      <c r="H235" s="1">
        <f t="shared" si="68"/>
        <v>3.5249212424032352</v>
      </c>
      <c r="I235" s="1">
        <v>3210.0369999999998</v>
      </c>
      <c r="J235" s="1">
        <f t="shared" si="69"/>
        <v>0.1729015075491106</v>
      </c>
      <c r="K235" s="1">
        <f t="shared" si="70"/>
        <v>3.5065100382625736</v>
      </c>
      <c r="L235" s="1">
        <v>2578.61</v>
      </c>
      <c r="M235" s="1">
        <f t="shared" si="71"/>
        <v>3.4113856625505838</v>
      </c>
      <c r="N235" s="1">
        <v>3395.2829999999999</v>
      </c>
      <c r="O235" s="1">
        <f t="shared" si="72"/>
        <v>3.5308759789747235</v>
      </c>
      <c r="P235" s="1">
        <v>-816.673</v>
      </c>
      <c r="Q235" s="1" t="e">
        <f ca="1"/>
        <v>#NAME?</v>
      </c>
      <c r="R235" s="1" t="e">
        <f t="shared" ca="1" si="57"/>
        <v>#NAME?</v>
      </c>
      <c r="S235" s="4">
        <v>3979866000000</v>
      </c>
      <c r="T235" s="1">
        <v>148715.66666666701</v>
      </c>
      <c r="U235" s="1" t="e">
        <f ca="1"/>
        <v>#NAME?</v>
      </c>
      <c r="V235" s="1" t="e">
        <f t="shared" ca="1" si="58"/>
        <v>#NAME?</v>
      </c>
      <c r="W235" s="1" t="e">
        <f ca="1"/>
        <v>#NAME?</v>
      </c>
      <c r="X235" s="1" t="e">
        <f t="shared" ca="1" si="59"/>
        <v>#NAME?</v>
      </c>
      <c r="Y235" s="1" t="e">
        <f ca="1"/>
        <v>#NAME?</v>
      </c>
      <c r="Z235" s="1" t="e">
        <f t="shared" ca="1" si="60"/>
        <v>#NAME?</v>
      </c>
      <c r="AA235" s="1" t="e">
        <f ca="1"/>
        <v>#NAME?</v>
      </c>
      <c r="AB235" s="1" t="e">
        <f t="shared" ca="1" si="61"/>
        <v>#NAME?</v>
      </c>
      <c r="AC235" s="1" t="e">
        <f ca="1"/>
        <v>#NAME?</v>
      </c>
      <c r="AD235" s="1" t="e">
        <f t="shared" ca="1" si="62"/>
        <v>#NAME?</v>
      </c>
      <c r="AE235" s="1" t="e">
        <f ca="1"/>
        <v>#NAME?</v>
      </c>
      <c r="AF235" s="1" t="e">
        <f t="shared" ca="1" si="63"/>
        <v>#NAME?</v>
      </c>
      <c r="AG235" s="1" t="e">
        <f ca="1"/>
        <v>#NAME?</v>
      </c>
      <c r="AH235" s="1" t="e">
        <f t="shared" ca="1" si="64"/>
        <v>#NAME?</v>
      </c>
      <c r="AI235" s="1" t="e">
        <f ca="1"/>
        <v>#NAME?</v>
      </c>
      <c r="AJ235" s="1" t="e">
        <f t="shared" ca="1" si="73"/>
        <v>#NAME?</v>
      </c>
      <c r="AK235" s="1" t="e">
        <f ca="1"/>
        <v>#NAME?</v>
      </c>
      <c r="AL235" s="1" t="e">
        <f t="shared" ca="1" si="65"/>
        <v>#NAME?</v>
      </c>
      <c r="AN235" s="1">
        <f t="shared" si="55"/>
        <v>3.5024503140799661</v>
      </c>
      <c r="AO235" s="1" t="e">
        <f ca="1"/>
        <v>#NAME?</v>
      </c>
      <c r="AP235" s="1" t="e">
        <f t="shared" ca="1" si="56"/>
        <v>#NAME?</v>
      </c>
    </row>
    <row r="236" spans="1:42" x14ac:dyDescent="0.25">
      <c r="A236" s="1" t="s">
        <v>251</v>
      </c>
      <c r="B236" s="1">
        <v>235</v>
      </c>
      <c r="C236" s="1">
        <v>18699.748</v>
      </c>
      <c r="D236" s="1">
        <f t="shared" si="66"/>
        <v>4.2718357539724954</v>
      </c>
      <c r="E236" s="1">
        <v>12887.074000000001</v>
      </c>
      <c r="F236" s="1">
        <f t="shared" si="67"/>
        <v>4.1101543223259371</v>
      </c>
      <c r="G236" s="1">
        <v>3453.0590000000002</v>
      </c>
      <c r="H236" s="1">
        <f t="shared" si="68"/>
        <v>3.5382039988984051</v>
      </c>
      <c r="I236" s="1">
        <v>3231.3359999999998</v>
      </c>
      <c r="J236" s="1">
        <f t="shared" si="69"/>
        <v>0.17280104523333684</v>
      </c>
      <c r="K236" s="1">
        <f t="shared" si="70"/>
        <v>3.5093821190696386</v>
      </c>
      <c r="L236" s="1">
        <v>2544.5520000000001</v>
      </c>
      <c r="M236" s="1">
        <f t="shared" si="71"/>
        <v>3.4056113304627242</v>
      </c>
      <c r="N236" s="1">
        <v>3441.0680000000002</v>
      </c>
      <c r="O236" s="1">
        <f t="shared" si="72"/>
        <v>3.5366932549321688</v>
      </c>
      <c r="P236" s="1">
        <v>-896.51599999999996</v>
      </c>
      <c r="Q236" s="1" t="e">
        <f ca="1"/>
        <v>#NAME?</v>
      </c>
      <c r="R236" s="1" t="e">
        <f t="shared" ca="1" si="57"/>
        <v>#NAME?</v>
      </c>
      <c r="S236" s="4">
        <v>3995151000000</v>
      </c>
      <c r="T236" s="1">
        <v>149218.33333333299</v>
      </c>
      <c r="U236" s="1" t="e">
        <f ca="1"/>
        <v>#NAME?</v>
      </c>
      <c r="V236" s="1" t="e">
        <f t="shared" ca="1" si="58"/>
        <v>#NAME?</v>
      </c>
      <c r="W236" s="1" t="e">
        <f ca="1"/>
        <v>#NAME?</v>
      </c>
      <c r="X236" s="1" t="e">
        <f t="shared" ca="1" si="59"/>
        <v>#NAME?</v>
      </c>
      <c r="Y236" s="1" t="e">
        <f ca="1"/>
        <v>#NAME?</v>
      </c>
      <c r="Z236" s="1" t="e">
        <f t="shared" ca="1" si="60"/>
        <v>#NAME?</v>
      </c>
      <c r="AA236" s="1" t="e">
        <f ca="1"/>
        <v>#NAME?</v>
      </c>
      <c r="AB236" s="1" t="e">
        <f t="shared" ca="1" si="61"/>
        <v>#NAME?</v>
      </c>
      <c r="AC236" s="1" t="e">
        <f ca="1"/>
        <v>#NAME?</v>
      </c>
      <c r="AD236" s="1" t="e">
        <f t="shared" ca="1" si="62"/>
        <v>#NAME?</v>
      </c>
      <c r="AE236" s="1" t="e">
        <f ca="1"/>
        <v>#NAME?</v>
      </c>
      <c r="AF236" s="1" t="e">
        <f t="shared" ca="1" si="63"/>
        <v>#NAME?</v>
      </c>
      <c r="AG236" s="1" t="e">
        <f ca="1"/>
        <v>#NAME?</v>
      </c>
      <c r="AH236" s="1" t="e">
        <f t="shared" ca="1" si="64"/>
        <v>#NAME?</v>
      </c>
      <c r="AI236" s="1" t="e">
        <f ca="1"/>
        <v>#NAME?</v>
      </c>
      <c r="AJ236" s="1" t="e">
        <f t="shared" ca="1" si="73"/>
        <v>#NAME?</v>
      </c>
      <c r="AK236" s="1" t="e">
        <f ca="1"/>
        <v>#NAME?</v>
      </c>
      <c r="AL236" s="1" t="e">
        <f t="shared" ca="1" si="65"/>
        <v>#NAME?</v>
      </c>
      <c r="AN236" s="1">
        <f t="shared" si="55"/>
        <v>3.5040376041799011</v>
      </c>
      <c r="AO236" s="1" t="e">
        <f ca="1"/>
        <v>#NAME?</v>
      </c>
      <c r="AP236" s="1" t="e">
        <f t="shared" ca="1" si="56"/>
        <v>#NAME?</v>
      </c>
    </row>
    <row r="237" spans="1:42" x14ac:dyDescent="0.25">
      <c r="A237" s="1" t="s">
        <v>252</v>
      </c>
      <c r="B237" s="1">
        <v>236</v>
      </c>
      <c r="C237" s="1">
        <v>18733.741000000002</v>
      </c>
      <c r="D237" s="1">
        <f t="shared" si="66"/>
        <v>4.2726245116745272</v>
      </c>
      <c r="E237" s="1">
        <v>12943.375</v>
      </c>
      <c r="F237" s="1">
        <f t="shared" si="67"/>
        <v>4.1120475338877513</v>
      </c>
      <c r="G237" s="1">
        <v>3450.6080000000002</v>
      </c>
      <c r="H237" s="1">
        <f t="shared" si="68"/>
        <v>3.5378956248647593</v>
      </c>
      <c r="I237" s="1">
        <v>3232.3029999999999</v>
      </c>
      <c r="J237" s="1">
        <f t="shared" si="69"/>
        <v>0.17253911004748063</v>
      </c>
      <c r="K237" s="1">
        <f t="shared" si="70"/>
        <v>3.5095120653018257</v>
      </c>
      <c r="L237" s="1">
        <v>2552.4369999999999</v>
      </c>
      <c r="M237" s="1">
        <f t="shared" si="71"/>
        <v>3.406955031507227</v>
      </c>
      <c r="N237" s="1">
        <v>3474.268</v>
      </c>
      <c r="O237" s="1">
        <f t="shared" si="72"/>
        <v>3.5408633162503778</v>
      </c>
      <c r="P237" s="1">
        <v>-921.83100000000002</v>
      </c>
      <c r="Q237" s="1" t="e">
        <f ca="1"/>
        <v>#NAME?</v>
      </c>
      <c r="R237" s="1" t="e">
        <f t="shared" ca="1" si="57"/>
        <v>#NAME?</v>
      </c>
      <c r="S237" s="4">
        <v>3995039000000</v>
      </c>
      <c r="T237" s="1">
        <v>149651</v>
      </c>
      <c r="U237" s="1" t="e">
        <f ca="1"/>
        <v>#NAME?</v>
      </c>
      <c r="V237" s="1" t="e">
        <f t="shared" ca="1" si="58"/>
        <v>#NAME?</v>
      </c>
      <c r="W237" s="1" t="e">
        <f ca="1"/>
        <v>#NAME?</v>
      </c>
      <c r="X237" s="1" t="e">
        <f t="shared" ca="1" si="59"/>
        <v>#NAME?</v>
      </c>
      <c r="Y237" s="1" t="e">
        <f ca="1"/>
        <v>#NAME?</v>
      </c>
      <c r="Z237" s="1" t="e">
        <f t="shared" ca="1" si="60"/>
        <v>#NAME?</v>
      </c>
      <c r="AA237" s="1" t="e">
        <f ca="1"/>
        <v>#NAME?</v>
      </c>
      <c r="AB237" s="1" t="e">
        <f t="shared" ca="1" si="61"/>
        <v>#NAME?</v>
      </c>
      <c r="AC237" s="1" t="e">
        <f ca="1"/>
        <v>#NAME?</v>
      </c>
      <c r="AD237" s="1" t="e">
        <f t="shared" ca="1" si="62"/>
        <v>#NAME?</v>
      </c>
      <c r="AE237" s="1" t="e">
        <f ca="1"/>
        <v>#NAME?</v>
      </c>
      <c r="AF237" s="1" t="e">
        <f t="shared" ca="1" si="63"/>
        <v>#NAME?</v>
      </c>
      <c r="AG237" s="1" t="e">
        <f ca="1"/>
        <v>#NAME?</v>
      </c>
      <c r="AH237" s="1" t="e">
        <f t="shared" ca="1" si="64"/>
        <v>#NAME?</v>
      </c>
      <c r="AI237" s="1" t="e">
        <f ca="1"/>
        <v>#NAME?</v>
      </c>
      <c r="AJ237" s="1" t="e">
        <f t="shared" ca="1" si="73"/>
        <v>#NAME?</v>
      </c>
      <c r="AK237" s="1" t="e">
        <f ca="1"/>
        <v>#NAME?</v>
      </c>
      <c r="AL237" s="1" t="e">
        <f t="shared" ca="1" si="65"/>
        <v>#NAME?</v>
      </c>
      <c r="AN237" s="1">
        <f t="shared" si="55"/>
        <v>3.5040259844163781</v>
      </c>
      <c r="AO237" s="1" t="e">
        <f ca="1"/>
        <v>#NAME?</v>
      </c>
      <c r="AP237" s="1" t="e">
        <f t="shared" ca="1" si="56"/>
        <v>#NAME?</v>
      </c>
    </row>
    <row r="238" spans="1:42" x14ac:dyDescent="0.25">
      <c r="A238" s="1" t="s">
        <v>253</v>
      </c>
      <c r="B238" s="1">
        <v>237</v>
      </c>
      <c r="C238" s="1">
        <v>18835.411</v>
      </c>
      <c r="D238" s="1">
        <f t="shared" si="66"/>
        <v>4.2749751012095603</v>
      </c>
      <c r="E238" s="1">
        <v>12955.727000000001</v>
      </c>
      <c r="F238" s="1">
        <f t="shared" si="67"/>
        <v>4.1124617880844569</v>
      </c>
      <c r="G238" s="1">
        <v>3484.3490000000002</v>
      </c>
      <c r="H238" s="1">
        <f t="shared" si="68"/>
        <v>3.5421216483973939</v>
      </c>
      <c r="I238" s="1">
        <v>3270.9659999999999</v>
      </c>
      <c r="J238" s="1">
        <f t="shared" si="69"/>
        <v>0.17366045264422422</v>
      </c>
      <c r="K238" s="1">
        <f t="shared" si="70"/>
        <v>3.514676029881898</v>
      </c>
      <c r="L238" s="1">
        <v>2582.2849999999999</v>
      </c>
      <c r="M238" s="1">
        <f t="shared" si="71"/>
        <v>3.412004172514751</v>
      </c>
      <c r="N238" s="1">
        <v>3485.931</v>
      </c>
      <c r="O238" s="1">
        <f t="shared" si="72"/>
        <v>3.5423187864986376</v>
      </c>
      <c r="P238" s="1">
        <v>-903.64599999999996</v>
      </c>
      <c r="Q238" s="1" t="e">
        <f ca="1"/>
        <v>#NAME?</v>
      </c>
      <c r="R238" s="1" t="e">
        <f t="shared" ca="1" si="57"/>
        <v>#NAME?</v>
      </c>
      <c r="S238" s="4">
        <v>4024414000000</v>
      </c>
      <c r="T238" s="1">
        <v>150175.33333333299</v>
      </c>
      <c r="U238" s="1" t="e">
        <f ca="1"/>
        <v>#NAME?</v>
      </c>
      <c r="V238" s="1" t="e">
        <f t="shared" ca="1" si="58"/>
        <v>#NAME?</v>
      </c>
      <c r="W238" s="1" t="e">
        <f ca="1"/>
        <v>#NAME?</v>
      </c>
      <c r="X238" s="1" t="e">
        <f t="shared" ca="1" si="59"/>
        <v>#NAME?</v>
      </c>
      <c r="Y238" s="1" t="e">
        <f ca="1"/>
        <v>#NAME?</v>
      </c>
      <c r="Z238" s="1" t="e">
        <f t="shared" ca="1" si="60"/>
        <v>#NAME?</v>
      </c>
      <c r="AA238" s="1" t="e">
        <f ca="1"/>
        <v>#NAME?</v>
      </c>
      <c r="AB238" s="1" t="e">
        <f t="shared" ca="1" si="61"/>
        <v>#NAME?</v>
      </c>
      <c r="AC238" s="1" t="e">
        <f ca="1"/>
        <v>#NAME?</v>
      </c>
      <c r="AD238" s="1" t="e">
        <f t="shared" ca="1" si="62"/>
        <v>#NAME?</v>
      </c>
      <c r="AE238" s="1" t="e">
        <f ca="1"/>
        <v>#NAME?</v>
      </c>
      <c r="AF238" s="1" t="e">
        <f t="shared" ca="1" si="63"/>
        <v>#NAME?</v>
      </c>
      <c r="AG238" s="1" t="e">
        <f ca="1"/>
        <v>#NAME?</v>
      </c>
      <c r="AH238" s="1" t="e">
        <f t="shared" ca="1" si="64"/>
        <v>#NAME?</v>
      </c>
      <c r="AI238" s="1" t="e">
        <f ca="1"/>
        <v>#NAME?</v>
      </c>
      <c r="AJ238" s="1" t="e">
        <f t="shared" ca="1" si="73"/>
        <v>#NAME?</v>
      </c>
      <c r="AK238" s="1" t="e">
        <f ca="1"/>
        <v>#NAME?</v>
      </c>
      <c r="AL238" s="1" t="e">
        <f t="shared" ca="1" si="65"/>
        <v>#NAME?</v>
      </c>
      <c r="AN238" s="1">
        <f t="shared" si="55"/>
        <v>3.5042590398599058</v>
      </c>
      <c r="AO238" s="1" t="e">
        <f ca="1"/>
        <v>#NAME?</v>
      </c>
      <c r="AP238" s="1" t="e">
        <f t="shared" ca="1" si="56"/>
        <v>#NAME?</v>
      </c>
    </row>
    <row r="239" spans="1:42" x14ac:dyDescent="0.25">
      <c r="A239" s="1" t="s">
        <v>254</v>
      </c>
      <c r="B239" s="1">
        <v>238</v>
      </c>
      <c r="C239" s="1">
        <v>18962.174999999999</v>
      </c>
      <c r="D239" s="1">
        <f t="shared" si="66"/>
        <v>4.2778881503186534</v>
      </c>
      <c r="E239" s="1">
        <v>13038.853999999999</v>
      </c>
      <c r="F239" s="1">
        <f t="shared" si="67"/>
        <v>4.1152394224275426</v>
      </c>
      <c r="G239" s="1">
        <v>3504.855</v>
      </c>
      <c r="H239" s="1">
        <f t="shared" si="68"/>
        <v>3.5446700553975461</v>
      </c>
      <c r="I239" s="1">
        <v>3313.8</v>
      </c>
      <c r="J239" s="1">
        <f t="shared" si="69"/>
        <v>0.17475843356576976</v>
      </c>
      <c r="K239" s="1">
        <f t="shared" si="70"/>
        <v>3.520326293607321</v>
      </c>
      <c r="L239" s="1">
        <v>2567.2809999999999</v>
      </c>
      <c r="M239" s="1">
        <f t="shared" si="71"/>
        <v>3.4094734066809669</v>
      </c>
      <c r="N239" s="1">
        <v>3491.7510000000002</v>
      </c>
      <c r="O239" s="1">
        <f t="shared" si="72"/>
        <v>3.5430432661957143</v>
      </c>
      <c r="P239" s="1">
        <v>-924.47</v>
      </c>
      <c r="Q239" s="1" t="e">
        <f ca="1"/>
        <v>#NAME?</v>
      </c>
      <c r="R239" s="1" t="e">
        <f t="shared" ca="1" si="57"/>
        <v>#NAME?</v>
      </c>
      <c r="S239" s="4">
        <v>4070406000000</v>
      </c>
      <c r="T239" s="1">
        <v>150663.33333333299</v>
      </c>
      <c r="U239" s="1" t="e">
        <f ca="1"/>
        <v>#NAME?</v>
      </c>
      <c r="V239" s="1" t="e">
        <f t="shared" ca="1" si="58"/>
        <v>#NAME?</v>
      </c>
      <c r="W239" s="1" t="e">
        <f ca="1"/>
        <v>#NAME?</v>
      </c>
      <c r="X239" s="1" t="e">
        <f t="shared" ca="1" si="59"/>
        <v>#NAME?</v>
      </c>
      <c r="Y239" s="1" t="e">
        <f ca="1"/>
        <v>#NAME?</v>
      </c>
      <c r="Z239" s="1" t="e">
        <f t="shared" ca="1" si="60"/>
        <v>#NAME?</v>
      </c>
      <c r="AA239" s="1" t="e">
        <f ca="1"/>
        <v>#NAME?</v>
      </c>
      <c r="AB239" s="1" t="e">
        <f t="shared" ca="1" si="61"/>
        <v>#NAME?</v>
      </c>
      <c r="AC239" s="1" t="e">
        <f ca="1"/>
        <v>#NAME?</v>
      </c>
      <c r="AD239" s="1" t="e">
        <f t="shared" ca="1" si="62"/>
        <v>#NAME?</v>
      </c>
      <c r="AE239" s="1" t="e">
        <f ca="1"/>
        <v>#NAME?</v>
      </c>
      <c r="AF239" s="1" t="e">
        <f t="shared" ca="1" si="63"/>
        <v>#NAME?</v>
      </c>
      <c r="AG239" s="1" t="e">
        <f ca="1"/>
        <v>#NAME?</v>
      </c>
      <c r="AH239" s="1" t="e">
        <f t="shared" ca="1" si="64"/>
        <v>#NAME?</v>
      </c>
      <c r="AI239" s="1" t="e">
        <f ca="1"/>
        <v>#NAME?</v>
      </c>
      <c r="AJ239" s="1" t="e">
        <f t="shared" ca="1" si="73"/>
        <v>#NAME?</v>
      </c>
      <c r="AK239" s="1" t="e">
        <f ca="1"/>
        <v>#NAME?</v>
      </c>
      <c r="AL239" s="1" t="e">
        <f t="shared" ca="1" si="65"/>
        <v>#NAME?</v>
      </c>
      <c r="AN239" s="1">
        <f t="shared" si="55"/>
        <v>3.5044937217000429</v>
      </c>
      <c r="AO239" s="1" t="e">
        <f ca="1"/>
        <v>#NAME?</v>
      </c>
      <c r="AP239" s="1" t="e">
        <f t="shared" ca="1" si="56"/>
        <v>#NAME?</v>
      </c>
    </row>
    <row r="240" spans="1:42" x14ac:dyDescent="0.25">
      <c r="A240" s="1" t="s">
        <v>255</v>
      </c>
      <c r="B240" s="1">
        <v>239</v>
      </c>
      <c r="C240" s="1">
        <v>19130.932000000001</v>
      </c>
      <c r="D240" s="1">
        <f t="shared" si="66"/>
        <v>4.2817361280303059</v>
      </c>
      <c r="E240" s="1">
        <v>13148.857</v>
      </c>
      <c r="F240" s="1">
        <f t="shared" si="67"/>
        <v>4.1188880022426906</v>
      </c>
      <c r="G240" s="1">
        <v>3527.1930000000002</v>
      </c>
      <c r="H240" s="1">
        <f t="shared" si="68"/>
        <v>3.5474292239265703</v>
      </c>
      <c r="I240" s="1">
        <v>3341.2289999999998</v>
      </c>
      <c r="J240" s="1">
        <f t="shared" si="69"/>
        <v>0.17465061294452355</v>
      </c>
      <c r="K240" s="1">
        <f t="shared" si="70"/>
        <v>3.5239062421835143</v>
      </c>
      <c r="L240" s="1">
        <v>2567.0100000000002</v>
      </c>
      <c r="M240" s="1">
        <f t="shared" si="71"/>
        <v>3.4094275605048519</v>
      </c>
      <c r="N240" s="1">
        <v>3476.3820000000001</v>
      </c>
      <c r="O240" s="1">
        <f t="shared" si="72"/>
        <v>3.5411274925685792</v>
      </c>
      <c r="P240" s="1">
        <v>-909.37199999999996</v>
      </c>
      <c r="Q240" s="1" t="e">
        <f ca="1"/>
        <v>#NAME?</v>
      </c>
      <c r="R240" s="1" t="e">
        <f t="shared" ca="1" si="57"/>
        <v>#NAME?</v>
      </c>
      <c r="S240" s="4">
        <v>4111611000000</v>
      </c>
      <c r="T240" s="1">
        <v>151102.66666666701</v>
      </c>
      <c r="U240" s="1" t="e">
        <f ca="1"/>
        <v>#NAME?</v>
      </c>
      <c r="V240" s="1" t="e">
        <f t="shared" ca="1" si="58"/>
        <v>#NAME?</v>
      </c>
      <c r="W240" s="1" t="e">
        <f ca="1"/>
        <v>#NAME?</v>
      </c>
      <c r="X240" s="1" t="e">
        <f t="shared" ca="1" si="59"/>
        <v>#NAME?</v>
      </c>
      <c r="Y240" s="1" t="e">
        <f ca="1"/>
        <v>#NAME?</v>
      </c>
      <c r="Z240" s="1" t="e">
        <f t="shared" ca="1" si="60"/>
        <v>#NAME?</v>
      </c>
      <c r="AA240" s="1" t="e">
        <f ca="1"/>
        <v>#NAME?</v>
      </c>
      <c r="AB240" s="1" t="e">
        <f t="shared" ca="1" si="61"/>
        <v>#NAME?</v>
      </c>
      <c r="AC240" s="1" t="e">
        <f ca="1"/>
        <v>#NAME?</v>
      </c>
      <c r="AD240" s="1" t="e">
        <f t="shared" ca="1" si="62"/>
        <v>#NAME?</v>
      </c>
      <c r="AE240" s="1" t="e">
        <f ca="1"/>
        <v>#NAME?</v>
      </c>
      <c r="AF240" s="1" t="e">
        <f t="shared" ca="1" si="63"/>
        <v>#NAME?</v>
      </c>
      <c r="AG240" s="1" t="e">
        <f ca="1"/>
        <v>#NAME?</v>
      </c>
      <c r="AH240" s="1" t="e">
        <f t="shared" ca="1" si="64"/>
        <v>#NAME?</v>
      </c>
      <c r="AI240" s="1" t="e">
        <f ca="1"/>
        <v>#NAME?</v>
      </c>
      <c r="AJ240" s="1" t="e">
        <f t="shared" ca="1" si="73"/>
        <v>#NAME?</v>
      </c>
      <c r="AK240" s="1" t="e">
        <f ca="1"/>
        <v>#NAME?</v>
      </c>
      <c r="AL240" s="1" t="e">
        <f t="shared" ca="1" si="65"/>
        <v>#NAME?</v>
      </c>
      <c r="AN240" s="1">
        <f t="shared" si="55"/>
        <v>3.5059576386225837</v>
      </c>
      <c r="AO240" s="1" t="e">
        <f ca="1"/>
        <v>#NAME?</v>
      </c>
      <c r="AP240" s="1" t="e">
        <f t="shared" ca="1" si="56"/>
        <v>#NAME?</v>
      </c>
    </row>
    <row r="241" spans="1:42" x14ac:dyDescent="0.25">
      <c r="A241" s="1" t="s">
        <v>256</v>
      </c>
      <c r="B241" s="1">
        <v>240</v>
      </c>
      <c r="C241" s="1">
        <v>19215.690999999999</v>
      </c>
      <c r="D241" s="1">
        <f t="shared" si="66"/>
        <v>4.2836560063955353</v>
      </c>
      <c r="E241" s="1">
        <v>13225.609</v>
      </c>
      <c r="F241" s="1">
        <f t="shared" si="67"/>
        <v>4.1214156791382255</v>
      </c>
      <c r="G241" s="1">
        <v>3454.3539999999998</v>
      </c>
      <c r="H241" s="1">
        <f t="shared" si="68"/>
        <v>3.5383668417342551</v>
      </c>
      <c r="I241" s="1">
        <v>3360.85</v>
      </c>
      <c r="J241" s="1">
        <f t="shared" si="69"/>
        <v>0.17490133453956977</v>
      </c>
      <c r="K241" s="1">
        <f t="shared" si="70"/>
        <v>3.5264491296590021</v>
      </c>
      <c r="L241" s="1">
        <v>2571.8449999999998</v>
      </c>
      <c r="M241" s="1">
        <f t="shared" si="71"/>
        <v>3.4102447909733571</v>
      </c>
      <c r="N241" s="1">
        <v>3404.66</v>
      </c>
      <c r="O241" s="1">
        <f t="shared" si="72"/>
        <v>3.5320737484084215</v>
      </c>
      <c r="P241" s="1">
        <v>-832.81500000000005</v>
      </c>
      <c r="Q241" s="1" t="e">
        <f ca="1"/>
        <v>#NAME?</v>
      </c>
      <c r="R241" s="1" t="e">
        <f t="shared" ca="1" si="57"/>
        <v>#NAME?</v>
      </c>
      <c r="S241" s="4">
        <v>4103288000000</v>
      </c>
      <c r="T241" s="1">
        <v>151624.33333333299</v>
      </c>
      <c r="U241" s="1" t="e">
        <f ca="1"/>
        <v>#NAME?</v>
      </c>
      <c r="V241" s="1" t="e">
        <f t="shared" ca="1" si="58"/>
        <v>#NAME?</v>
      </c>
      <c r="W241" s="1" t="e">
        <f ca="1"/>
        <v>#NAME?</v>
      </c>
      <c r="X241" s="1" t="e">
        <f t="shared" ca="1" si="59"/>
        <v>#NAME?</v>
      </c>
      <c r="Y241" s="1" t="e">
        <f ca="1"/>
        <v>#NAME?</v>
      </c>
      <c r="Z241" s="1" t="e">
        <f t="shared" ca="1" si="60"/>
        <v>#NAME?</v>
      </c>
      <c r="AA241" s="1" t="e">
        <f ca="1"/>
        <v>#NAME?</v>
      </c>
      <c r="AB241" s="1" t="e">
        <f t="shared" ca="1" si="61"/>
        <v>#NAME?</v>
      </c>
      <c r="AC241" s="1" t="e">
        <f ca="1"/>
        <v>#NAME?</v>
      </c>
      <c r="AD241" s="1" t="e">
        <f t="shared" ca="1" si="62"/>
        <v>#NAME?</v>
      </c>
      <c r="AE241" s="1" t="e">
        <f ca="1"/>
        <v>#NAME?</v>
      </c>
      <c r="AF241" s="1" t="e">
        <f t="shared" ca="1" si="63"/>
        <v>#NAME?</v>
      </c>
      <c r="AG241" s="1" t="e">
        <f ca="1"/>
        <v>#NAME?</v>
      </c>
      <c r="AH241" s="1" t="e">
        <f t="shared" ca="1" si="64"/>
        <v>#NAME?</v>
      </c>
      <c r="AI241" s="1" t="e">
        <f ca="1"/>
        <v>#NAME?</v>
      </c>
      <c r="AJ241" s="1" t="e">
        <f t="shared" ca="1" si="73"/>
        <v>#NAME?</v>
      </c>
      <c r="AK241" s="1" t="e">
        <f ca="1"/>
        <v>#NAME?</v>
      </c>
      <c r="AL241" s="1" t="e">
        <f t="shared" ca="1" si="65"/>
        <v>#NAME?</v>
      </c>
      <c r="AN241" s="1">
        <f t="shared" si="55"/>
        <v>3.5072363875586339</v>
      </c>
      <c r="AO241" s="1" t="e">
        <f ca="1"/>
        <v>#NAME?</v>
      </c>
      <c r="AP241" s="1" t="e">
        <f t="shared" ca="1" si="56"/>
        <v>#NAME?</v>
      </c>
    </row>
    <row r="242" spans="1:42" x14ac:dyDescent="0.25">
      <c r="A242" s="1" t="s">
        <v>257</v>
      </c>
      <c r="B242" s="1">
        <v>241</v>
      </c>
      <c r="C242" s="1">
        <v>18989.877</v>
      </c>
      <c r="D242" s="1">
        <f t="shared" si="66"/>
        <v>4.2785221517620693</v>
      </c>
      <c r="E242" s="1">
        <v>13016.75</v>
      </c>
      <c r="F242" s="1">
        <f t="shared" si="67"/>
        <v>4.114502563859161</v>
      </c>
      <c r="G242" s="1">
        <v>3409.8829999999998</v>
      </c>
      <c r="H242" s="1">
        <f t="shared" si="68"/>
        <v>3.532739477723843</v>
      </c>
      <c r="I242" s="1">
        <v>3387.944</v>
      </c>
      <c r="J242" s="1">
        <f t="shared" si="69"/>
        <v>0.17840789595424972</v>
      </c>
      <c r="K242" s="1">
        <f t="shared" si="70"/>
        <v>3.5299362231781544</v>
      </c>
      <c r="L242" s="1">
        <v>2467.3040000000001</v>
      </c>
      <c r="M242" s="1">
        <f t="shared" si="71"/>
        <v>3.3922226628211667</v>
      </c>
      <c r="N242" s="1">
        <v>3295.4929999999999</v>
      </c>
      <c r="O242" s="1">
        <f t="shared" si="72"/>
        <v>3.5179203934865537</v>
      </c>
      <c r="P242" s="1">
        <v>-828.18899999999996</v>
      </c>
      <c r="Q242" s="1" t="e">
        <f ca="1"/>
        <v>#NAME?</v>
      </c>
      <c r="R242" s="1" t="e">
        <f t="shared" ca="1" si="57"/>
        <v>#NAME?</v>
      </c>
      <c r="S242" s="4">
        <v>4095699000000</v>
      </c>
      <c r="T242" s="1">
        <v>151804.33333333299</v>
      </c>
      <c r="U242" s="1" t="e">
        <f ca="1"/>
        <v>#NAME?</v>
      </c>
      <c r="V242" s="1" t="e">
        <f t="shared" ca="1" si="58"/>
        <v>#NAME?</v>
      </c>
      <c r="W242" s="1" t="e">
        <f ca="1"/>
        <v>#NAME?</v>
      </c>
      <c r="X242" s="1" t="e">
        <f t="shared" ca="1" si="59"/>
        <v>#NAME?</v>
      </c>
      <c r="Y242" s="1" t="e">
        <f ca="1"/>
        <v>#NAME?</v>
      </c>
      <c r="Z242" s="1" t="e">
        <f t="shared" ca="1" si="60"/>
        <v>#NAME?</v>
      </c>
      <c r="AA242" s="1" t="e">
        <f ca="1"/>
        <v>#NAME?</v>
      </c>
      <c r="AB242" s="1" t="e">
        <f t="shared" ca="1" si="61"/>
        <v>#NAME?</v>
      </c>
      <c r="AC242" s="1" t="e">
        <f ca="1"/>
        <v>#NAME?</v>
      </c>
      <c r="AD242" s="1" t="e">
        <f t="shared" ca="1" si="62"/>
        <v>#NAME?</v>
      </c>
      <c r="AE242" s="1" t="e">
        <f ca="1"/>
        <v>#NAME?</v>
      </c>
      <c r="AF242" s="1" t="e">
        <f t="shared" ca="1" si="63"/>
        <v>#NAME?</v>
      </c>
      <c r="AG242" s="1" t="e">
        <f ca="1"/>
        <v>#NAME?</v>
      </c>
      <c r="AH242" s="1" t="e">
        <f t="shared" ca="1" si="64"/>
        <v>#NAME?</v>
      </c>
      <c r="AI242" s="1" t="e">
        <f ca="1"/>
        <v>#NAME?</v>
      </c>
      <c r="AJ242" s="1" t="e">
        <f t="shared" ca="1" si="73"/>
        <v>#NAME?</v>
      </c>
      <c r="AK242" s="1" t="e">
        <f ca="1"/>
        <v>#NAME?</v>
      </c>
      <c r="AL242" s="1" t="e">
        <f t="shared" ca="1" si="65"/>
        <v>#NAME?</v>
      </c>
      <c r="AN242" s="1">
        <f t="shared" ref="AN242:AN254" si="74">LOG(C242*10^9)-0.36*LOG(S242)-0.64*LOG(T242*10^3)</f>
        <v>3.502062192115976</v>
      </c>
      <c r="AO242" s="1" t="e">
        <f ca="1"/>
        <v>#NAME?</v>
      </c>
      <c r="AP242" s="1" t="e">
        <f t="shared" ref="AP242:AP254" ca="1" si="75">100*(AN242-AO242)/AO242</f>
        <v>#NAME?</v>
      </c>
    </row>
    <row r="243" spans="1:42" x14ac:dyDescent="0.25">
      <c r="A243" s="1" t="s">
        <v>258</v>
      </c>
      <c r="B243" s="1">
        <v>242</v>
      </c>
      <c r="C243" s="1">
        <v>17378.712</v>
      </c>
      <c r="D243" s="1">
        <f t="shared" si="66"/>
        <v>4.2400175861505813</v>
      </c>
      <c r="E243" s="1">
        <v>11817.147000000001</v>
      </c>
      <c r="F243" s="1">
        <f t="shared" si="67"/>
        <v>4.0725126379906609</v>
      </c>
      <c r="G243" s="1">
        <v>2884.223</v>
      </c>
      <c r="H243" s="1">
        <f t="shared" si="68"/>
        <v>3.4600288357718623</v>
      </c>
      <c r="I243" s="1">
        <v>3448.0430000000001</v>
      </c>
      <c r="J243" s="1">
        <f t="shared" si="69"/>
        <v>0.19840613044280844</v>
      </c>
      <c r="K243" s="1">
        <f t="shared" si="70"/>
        <v>3.5375726732043797</v>
      </c>
      <c r="L243" s="1">
        <v>1951.3679999999999</v>
      </c>
      <c r="M243" s="1">
        <f t="shared" si="71"/>
        <v>3.2903391788247993</v>
      </c>
      <c r="N243" s="1">
        <v>2718.6190000000001</v>
      </c>
      <c r="O243" s="1">
        <f t="shared" si="72"/>
        <v>3.4343483477891672</v>
      </c>
      <c r="P243" s="1">
        <v>-767.25099999999998</v>
      </c>
      <c r="Q243" s="1" t="e">
        <f ca="1"/>
        <v>#NAME?</v>
      </c>
      <c r="R243" s="1" t="e">
        <f t="shared" ca="1" si="57"/>
        <v>#NAME?</v>
      </c>
      <c r="S243" s="4">
        <v>3821038000000</v>
      </c>
      <c r="T243" s="1">
        <v>133701.66666666701</v>
      </c>
      <c r="U243" s="1" t="e">
        <f ca="1"/>
        <v>#NAME?</v>
      </c>
      <c r="V243" s="1" t="e">
        <f t="shared" ca="1" si="58"/>
        <v>#NAME?</v>
      </c>
      <c r="W243" s="1" t="e">
        <f ca="1"/>
        <v>#NAME?</v>
      </c>
      <c r="X243" s="1" t="e">
        <f t="shared" ca="1" si="59"/>
        <v>#NAME?</v>
      </c>
      <c r="Y243" s="1" t="e">
        <f ca="1"/>
        <v>#NAME?</v>
      </c>
      <c r="Z243" s="1" t="e">
        <f t="shared" ca="1" si="60"/>
        <v>#NAME?</v>
      </c>
      <c r="AA243" s="1" t="e">
        <f ca="1"/>
        <v>#NAME?</v>
      </c>
      <c r="AB243" s="1" t="e">
        <f t="shared" ca="1" si="61"/>
        <v>#NAME?</v>
      </c>
      <c r="AC243" s="1" t="e">
        <f ca="1"/>
        <v>#NAME?</v>
      </c>
      <c r="AD243" s="1" t="e">
        <f t="shared" ca="1" si="62"/>
        <v>#NAME?</v>
      </c>
      <c r="AE243" s="1" t="e">
        <f ca="1"/>
        <v>#NAME?</v>
      </c>
      <c r="AF243" s="1" t="e">
        <f t="shared" ca="1" si="63"/>
        <v>#NAME?</v>
      </c>
      <c r="AG243" s="1" t="e">
        <f ca="1"/>
        <v>#NAME?</v>
      </c>
      <c r="AH243" s="1" t="e">
        <f t="shared" ca="1" si="64"/>
        <v>#NAME?</v>
      </c>
      <c r="AI243" s="1" t="e">
        <f ca="1"/>
        <v>#NAME?</v>
      </c>
      <c r="AJ243" s="1" t="e">
        <f t="shared" ca="1" si="73"/>
        <v>#NAME?</v>
      </c>
      <c r="AK243" s="1" t="e">
        <f ca="1"/>
        <v>#NAME?</v>
      </c>
      <c r="AL243" s="1" t="e">
        <f t="shared" ca="1" si="65"/>
        <v>#NAME?</v>
      </c>
      <c r="AN243" s="1">
        <f t="shared" si="74"/>
        <v>3.5097047322693875</v>
      </c>
      <c r="AO243" s="1" t="e">
        <f ca="1"/>
        <v>#NAME?</v>
      </c>
      <c r="AP243" s="1" t="e">
        <f t="shared" ca="1" si="75"/>
        <v>#NAME?</v>
      </c>
    </row>
    <row r="244" spans="1:42" x14ac:dyDescent="0.25">
      <c r="A244" s="1" t="s">
        <v>259</v>
      </c>
      <c r="B244" s="1">
        <v>243</v>
      </c>
      <c r="C244" s="1">
        <v>18743.72</v>
      </c>
      <c r="D244" s="1">
        <f t="shared" si="66"/>
        <v>4.2728557880001743</v>
      </c>
      <c r="E244" s="1">
        <v>12922.380999999999</v>
      </c>
      <c r="F244" s="1">
        <f t="shared" si="67"/>
        <v>4.1113425415144196</v>
      </c>
      <c r="G244" s="1">
        <v>3394.1419999999998</v>
      </c>
      <c r="H244" s="1">
        <f t="shared" si="68"/>
        <v>3.5307300078480033</v>
      </c>
      <c r="I244" s="1">
        <v>3395.877</v>
      </c>
      <c r="J244" s="1">
        <f t="shared" si="69"/>
        <v>0.18117412125234478</v>
      </c>
      <c r="K244" s="1">
        <f t="shared" si="70"/>
        <v>3.5309519515399135</v>
      </c>
      <c r="L244" s="1">
        <v>2193.0329999999999</v>
      </c>
      <c r="M244" s="1">
        <f t="shared" si="71"/>
        <v>3.341045166839435</v>
      </c>
      <c r="N244" s="1">
        <v>3184.18</v>
      </c>
      <c r="O244" s="1">
        <f t="shared" si="72"/>
        <v>3.5029976101953935</v>
      </c>
      <c r="P244" s="1">
        <v>-991.14700000000005</v>
      </c>
      <c r="Q244" s="1" t="e">
        <f ca="1"/>
        <v>#NAME?</v>
      </c>
      <c r="R244" s="1" t="e">
        <f t="shared" ca="1" si="57"/>
        <v>#NAME?</v>
      </c>
      <c r="S244" s="4">
        <v>4025433000000</v>
      </c>
      <c r="T244" s="1">
        <v>140541</v>
      </c>
      <c r="U244" s="1" t="e">
        <f ca="1"/>
        <v>#NAME?</v>
      </c>
      <c r="V244" s="1" t="e">
        <f t="shared" ca="1" si="58"/>
        <v>#NAME?</v>
      </c>
      <c r="W244" s="1" t="e">
        <f ca="1"/>
        <v>#NAME?</v>
      </c>
      <c r="X244" s="1" t="e">
        <f t="shared" ca="1" si="59"/>
        <v>#NAME?</v>
      </c>
      <c r="Y244" s="1" t="e">
        <f ca="1"/>
        <v>#NAME?</v>
      </c>
      <c r="Z244" s="1" t="e">
        <f t="shared" ca="1" si="60"/>
        <v>#NAME?</v>
      </c>
      <c r="AA244" s="1" t="e">
        <f ca="1"/>
        <v>#NAME?</v>
      </c>
      <c r="AB244" s="1" t="e">
        <f t="shared" ca="1" si="61"/>
        <v>#NAME?</v>
      </c>
      <c r="AC244" s="1" t="e">
        <f ca="1"/>
        <v>#NAME?</v>
      </c>
      <c r="AD244" s="1" t="e">
        <f t="shared" ca="1" si="62"/>
        <v>#NAME?</v>
      </c>
      <c r="AE244" s="1" t="e">
        <f ca="1"/>
        <v>#NAME?</v>
      </c>
      <c r="AF244" s="1" t="e">
        <f t="shared" ca="1" si="63"/>
        <v>#NAME?</v>
      </c>
      <c r="AG244" s="1" t="e">
        <f ca="1"/>
        <v>#NAME?</v>
      </c>
      <c r="AH244" s="1" t="e">
        <f t="shared" ca="1" si="64"/>
        <v>#NAME?</v>
      </c>
      <c r="AI244" s="1" t="e">
        <f ca="1"/>
        <v>#NAME?</v>
      </c>
      <c r="AJ244" s="1" t="e">
        <f t="shared" ca="1" si="73"/>
        <v>#NAME?</v>
      </c>
      <c r="AK244" s="1" t="e">
        <f ca="1"/>
        <v>#NAME?</v>
      </c>
      <c r="AL244" s="1" t="e">
        <f t="shared" ca="1" si="65"/>
        <v>#NAME?</v>
      </c>
      <c r="AN244" s="1">
        <f t="shared" si="74"/>
        <v>3.5205293058766918</v>
      </c>
      <c r="AO244" s="1" t="e">
        <f ca="1"/>
        <v>#NAME?</v>
      </c>
      <c r="AP244" s="1" t="e">
        <f t="shared" ca="1" si="75"/>
        <v>#NAME?</v>
      </c>
    </row>
    <row r="245" spans="1:42" x14ac:dyDescent="0.25">
      <c r="A245" s="1" t="s">
        <v>260</v>
      </c>
      <c r="B245" s="1">
        <v>244</v>
      </c>
      <c r="C245" s="1">
        <v>18924.261999999999</v>
      </c>
      <c r="D245" s="1">
        <f t="shared" si="66"/>
        <v>4.2770189520782083</v>
      </c>
      <c r="E245" s="1">
        <v>13046.614</v>
      </c>
      <c r="F245" s="1">
        <f t="shared" si="67"/>
        <v>4.1154978134427225</v>
      </c>
      <c r="G245" s="1">
        <v>3537.645</v>
      </c>
      <c r="H245" s="1">
        <f t="shared" si="68"/>
        <v>3.5487142496374506</v>
      </c>
      <c r="I245" s="1">
        <v>3394.7950000000001</v>
      </c>
      <c r="J245" s="1">
        <f t="shared" si="69"/>
        <v>0.17938850138515311</v>
      </c>
      <c r="K245" s="1">
        <f t="shared" si="70"/>
        <v>3.5308135538575058</v>
      </c>
      <c r="L245" s="1">
        <v>2315.0329999999999</v>
      </c>
      <c r="M245" s="1">
        <f t="shared" si="71"/>
        <v>3.3645571861167172</v>
      </c>
      <c r="N245" s="1">
        <v>3419.0010000000002</v>
      </c>
      <c r="O245" s="1">
        <f t="shared" si="72"/>
        <v>3.5338992278204082</v>
      </c>
      <c r="P245" s="1">
        <v>-1103.9680000000001</v>
      </c>
      <c r="Q245" s="1" t="e">
        <f ca="1"/>
        <v>#NAME?</v>
      </c>
      <c r="R245" s="1" t="e">
        <f t="shared" ca="1" si="57"/>
        <v>#NAME?</v>
      </c>
      <c r="S245" s="4">
        <v>4166229000000</v>
      </c>
      <c r="T245" s="1">
        <v>142565.66666666701</v>
      </c>
      <c r="U245" s="1" t="e">
        <f ca="1"/>
        <v>#NAME?</v>
      </c>
      <c r="V245" s="1" t="e">
        <f t="shared" ca="1" si="58"/>
        <v>#NAME?</v>
      </c>
      <c r="W245" s="1" t="e">
        <f ca="1"/>
        <v>#NAME?</v>
      </c>
      <c r="X245" s="1" t="e">
        <f t="shared" ca="1" si="59"/>
        <v>#NAME?</v>
      </c>
      <c r="Y245" s="1" t="e">
        <f ca="1"/>
        <v>#NAME?</v>
      </c>
      <c r="Z245" s="1" t="e">
        <f t="shared" ca="1" si="60"/>
        <v>#NAME?</v>
      </c>
      <c r="AA245" s="1" t="e">
        <f ca="1"/>
        <v>#NAME?</v>
      </c>
      <c r="AB245" s="1" t="e">
        <f t="shared" ca="1" si="61"/>
        <v>#NAME?</v>
      </c>
      <c r="AC245" s="1" t="e">
        <f ca="1"/>
        <v>#NAME?</v>
      </c>
      <c r="AD245" s="1" t="e">
        <f t="shared" ca="1" si="62"/>
        <v>#NAME?</v>
      </c>
      <c r="AE245" s="1" t="e">
        <f ca="1"/>
        <v>#NAME?</v>
      </c>
      <c r="AF245" s="1" t="e">
        <f t="shared" ca="1" si="63"/>
        <v>#NAME?</v>
      </c>
      <c r="AG245" s="1" t="e">
        <f ca="1"/>
        <v>#NAME?</v>
      </c>
      <c r="AH245" s="1" t="e">
        <f t="shared" ca="1" si="64"/>
        <v>#NAME?</v>
      </c>
      <c r="AI245" s="1" t="e">
        <f ca="1"/>
        <v>#NAME?</v>
      </c>
      <c r="AJ245" s="1" t="e">
        <f t="shared" ca="1" si="73"/>
        <v>#NAME?</v>
      </c>
      <c r="AK245" s="1" t="e">
        <f ca="1"/>
        <v>#NAME?</v>
      </c>
      <c r="AL245" s="1" t="e">
        <f t="shared" ca="1" si="65"/>
        <v>#NAME?</v>
      </c>
      <c r="AN245" s="1">
        <f t="shared" si="74"/>
        <v>3.5153418550087512</v>
      </c>
      <c r="AO245" s="1" t="e">
        <f ca="1"/>
        <v>#NAME?</v>
      </c>
      <c r="AP245" s="1" t="e">
        <f t="shared" ca="1" si="75"/>
        <v>#NAME?</v>
      </c>
    </row>
    <row r="246" spans="1:42" x14ac:dyDescent="0.25">
      <c r="A246" s="1" t="s">
        <v>261</v>
      </c>
      <c r="B246" s="1">
        <v>245</v>
      </c>
      <c r="C246" s="1">
        <v>19216.223999999998</v>
      </c>
      <c r="D246" s="1">
        <f t="shared" si="66"/>
        <v>4.2836680525794879</v>
      </c>
      <c r="E246" s="1">
        <v>13386.763000000001</v>
      </c>
      <c r="F246" s="1">
        <f t="shared" si="67"/>
        <v>4.1266755746825812</v>
      </c>
      <c r="G246" s="1">
        <v>3489.2939999999999</v>
      </c>
      <c r="H246" s="1">
        <f t="shared" si="68"/>
        <v>3.5427375636580294</v>
      </c>
      <c r="I246" s="1">
        <v>3448.7429999999999</v>
      </c>
      <c r="J246" s="1">
        <f t="shared" si="69"/>
        <v>0.17947037877993097</v>
      </c>
      <c r="K246" s="1">
        <f t="shared" si="70"/>
        <v>3.5376608319897547</v>
      </c>
      <c r="L246" s="1">
        <v>2317.5050000000001</v>
      </c>
      <c r="M246" s="1">
        <f t="shared" si="71"/>
        <v>3.3650206798046973</v>
      </c>
      <c r="N246" s="1">
        <v>3482.0349999999999</v>
      </c>
      <c r="O246" s="1">
        <f t="shared" si="72"/>
        <v>3.5418331321547969</v>
      </c>
      <c r="P246" s="1">
        <v>-1164.53</v>
      </c>
      <c r="Q246" s="1" t="e">
        <f ca="1"/>
        <v>#NAME?</v>
      </c>
      <c r="R246" s="1" t="e">
        <f t="shared" ca="1" si="57"/>
        <v>#NAME?</v>
      </c>
      <c r="S246" s="4">
        <v>4233901000000</v>
      </c>
      <c r="T246" s="1">
        <v>143613.66666666701</v>
      </c>
      <c r="U246" s="1" t="e">
        <f ca="1"/>
        <v>#NAME?</v>
      </c>
      <c r="V246" s="1" t="e">
        <f t="shared" ca="1" si="58"/>
        <v>#NAME?</v>
      </c>
      <c r="W246" s="1" t="e">
        <f ca="1"/>
        <v>#NAME?</v>
      </c>
      <c r="X246" s="1" t="e">
        <f t="shared" ca="1" si="59"/>
        <v>#NAME?</v>
      </c>
      <c r="Y246" s="1" t="e">
        <f ca="1"/>
        <v>#NAME?</v>
      </c>
      <c r="Z246" s="1" t="e">
        <f t="shared" ca="1" si="60"/>
        <v>#NAME?</v>
      </c>
      <c r="AA246" s="1" t="e">
        <f ca="1"/>
        <v>#NAME?</v>
      </c>
      <c r="AB246" s="1" t="e">
        <f t="shared" ca="1" si="61"/>
        <v>#NAME?</v>
      </c>
      <c r="AC246" s="1" t="e">
        <f ca="1"/>
        <v>#NAME?</v>
      </c>
      <c r="AD246" s="1" t="e">
        <f t="shared" ca="1" si="62"/>
        <v>#NAME?</v>
      </c>
      <c r="AE246" s="1" t="e">
        <f ca="1"/>
        <v>#NAME?</v>
      </c>
      <c r="AF246" s="1" t="e">
        <f t="shared" ca="1" si="63"/>
        <v>#NAME?</v>
      </c>
      <c r="AG246" s="1" t="e">
        <f ca="1"/>
        <v>#NAME?</v>
      </c>
      <c r="AH246" s="1" t="e">
        <f t="shared" ca="1" si="64"/>
        <v>#NAME?</v>
      </c>
      <c r="AI246" s="1" t="e">
        <f ca="1"/>
        <v>#NAME?</v>
      </c>
      <c r="AJ246" s="1" t="e">
        <f t="shared" ca="1" si="73"/>
        <v>#NAME?</v>
      </c>
      <c r="AK246" s="1" t="e">
        <f ca="1"/>
        <v>#NAME?</v>
      </c>
      <c r="AL246" s="1" t="e">
        <f t="shared" ca="1" si="65"/>
        <v>#NAME?</v>
      </c>
      <c r="AN246" s="1">
        <f t="shared" si="74"/>
        <v>3.5174361078713092</v>
      </c>
      <c r="AO246" s="1" t="e">
        <f ca="1"/>
        <v>#NAME?</v>
      </c>
      <c r="AP246" s="1" t="e">
        <f t="shared" ca="1" si="75"/>
        <v>#NAME?</v>
      </c>
    </row>
    <row r="247" spans="1:42" x14ac:dyDescent="0.25">
      <c r="A247" s="1" t="s">
        <v>262</v>
      </c>
      <c r="B247" s="1">
        <v>246</v>
      </c>
      <c r="C247" s="1">
        <v>19544.248</v>
      </c>
      <c r="D247" s="1">
        <f t="shared" si="66"/>
        <v>4.2910189648305135</v>
      </c>
      <c r="E247" s="1">
        <v>13773.688</v>
      </c>
      <c r="F247" s="1">
        <f t="shared" si="67"/>
        <v>4.1390502411719519</v>
      </c>
      <c r="G247" s="1">
        <v>3496.8670000000002</v>
      </c>
      <c r="H247" s="1">
        <f t="shared" si="68"/>
        <v>3.5436791146470989</v>
      </c>
      <c r="I247" s="1">
        <v>3422.3629999999998</v>
      </c>
      <c r="J247" s="1">
        <f t="shared" si="69"/>
        <v>0.17510845134588959</v>
      </c>
      <c r="K247" s="1">
        <f t="shared" si="70"/>
        <v>3.5343260719894056</v>
      </c>
      <c r="L247" s="1">
        <v>2345.1320000000001</v>
      </c>
      <c r="M247" s="1">
        <f t="shared" si="71"/>
        <v>3.3701672927902098</v>
      </c>
      <c r="N247" s="1">
        <v>3549.002</v>
      </c>
      <c r="O247" s="1">
        <f t="shared" si="72"/>
        <v>3.5501062440894127</v>
      </c>
      <c r="P247" s="1">
        <v>-1203.8699999999999</v>
      </c>
      <c r="Q247" s="1" t="e">
        <f ca="1"/>
        <v>#NAME?</v>
      </c>
      <c r="R247" s="1" t="e">
        <f t="shared" ca="1" si="57"/>
        <v>#NAME?</v>
      </c>
      <c r="S247" s="4">
        <v>4271008000000</v>
      </c>
      <c r="T247" s="1">
        <v>145166.33333333299</v>
      </c>
      <c r="U247" s="1" t="e">
        <f ca="1"/>
        <v>#NAME?</v>
      </c>
      <c r="V247" s="1" t="e">
        <f t="shared" ca="1" si="58"/>
        <v>#NAME?</v>
      </c>
      <c r="W247" s="1" t="e">
        <f ca="1"/>
        <v>#NAME?</v>
      </c>
      <c r="X247" s="1" t="e">
        <f t="shared" ca="1" si="59"/>
        <v>#NAME?</v>
      </c>
      <c r="Y247" s="1" t="e">
        <f ca="1"/>
        <v>#NAME?</v>
      </c>
      <c r="Z247" s="1" t="e">
        <f t="shared" ca="1" si="60"/>
        <v>#NAME?</v>
      </c>
      <c r="AA247" s="1" t="e">
        <f ca="1"/>
        <v>#NAME?</v>
      </c>
      <c r="AB247" s="1" t="e">
        <f t="shared" ca="1" si="61"/>
        <v>#NAME?</v>
      </c>
      <c r="AC247" s="1" t="e">
        <f ca="1"/>
        <v>#NAME?</v>
      </c>
      <c r="AD247" s="1" t="e">
        <f t="shared" ca="1" si="62"/>
        <v>#NAME?</v>
      </c>
      <c r="AE247" s="1" t="e">
        <f ca="1"/>
        <v>#NAME?</v>
      </c>
      <c r="AF247" s="1" t="e">
        <f t="shared" ca="1" si="63"/>
        <v>#NAME?</v>
      </c>
      <c r="AG247" s="1" t="e">
        <f ca="1"/>
        <v>#NAME?</v>
      </c>
      <c r="AH247" s="1" t="e">
        <f t="shared" ca="1" si="64"/>
        <v>#NAME?</v>
      </c>
      <c r="AI247" s="1" t="e">
        <f ca="1"/>
        <v>#NAME?</v>
      </c>
      <c r="AJ247" s="1" t="e">
        <f t="shared" ca="1" si="73"/>
        <v>#NAME?</v>
      </c>
      <c r="AK247" s="1" t="e">
        <f ca="1"/>
        <v>#NAME?</v>
      </c>
      <c r="AL247" s="1" t="e">
        <f t="shared" ca="1" si="65"/>
        <v>#NAME?</v>
      </c>
      <c r="AN247" s="1">
        <f t="shared" si="74"/>
        <v>3.5204338455355453</v>
      </c>
      <c r="AO247" s="1" t="e">
        <f ca="1"/>
        <v>#NAME?</v>
      </c>
      <c r="AP247" s="1" t="e">
        <f t="shared" ca="1" si="75"/>
        <v>#NAME?</v>
      </c>
    </row>
    <row r="248" spans="1:42" x14ac:dyDescent="0.25">
      <c r="A248" s="1" t="s">
        <v>263</v>
      </c>
      <c r="B248" s="1">
        <v>247</v>
      </c>
      <c r="C248" s="1">
        <v>19672.594000000001</v>
      </c>
      <c r="D248" s="1">
        <f t="shared" si="66"/>
        <v>4.2938616291419862</v>
      </c>
      <c r="E248" s="1">
        <v>13874.396000000001</v>
      </c>
      <c r="F248" s="1">
        <f t="shared" si="67"/>
        <v>4.1422140858792762</v>
      </c>
      <c r="G248" s="1">
        <v>3584.05</v>
      </c>
      <c r="H248" s="1">
        <f t="shared" si="68"/>
        <v>3.5543740597436106</v>
      </c>
      <c r="I248" s="1">
        <v>3421.0459999999998</v>
      </c>
      <c r="J248" s="1">
        <f t="shared" si="69"/>
        <v>0.17389908011114344</v>
      </c>
      <c r="K248" s="1">
        <f t="shared" si="70"/>
        <v>3.5341589138260612</v>
      </c>
      <c r="L248" s="1">
        <v>2338.8249999999998</v>
      </c>
      <c r="M248" s="1">
        <f t="shared" si="71"/>
        <v>3.3689977274194018</v>
      </c>
      <c r="N248" s="1">
        <v>3606.2829999999999</v>
      </c>
      <c r="O248" s="1">
        <f t="shared" si="72"/>
        <v>3.5570598046148376</v>
      </c>
      <c r="P248" s="1">
        <v>-1267.4580000000001</v>
      </c>
      <c r="Q248" s="1" t="e">
        <f ca="1"/>
        <v>#NAME?</v>
      </c>
      <c r="R248" s="1" t="e">
        <f t="shared" ca="1" si="57"/>
        <v>#NAME?</v>
      </c>
      <c r="S248" s="4">
        <v>4261780000000</v>
      </c>
      <c r="T248" s="1">
        <v>147185.66666666701</v>
      </c>
      <c r="U248" s="1" t="e">
        <f ca="1"/>
        <v>#NAME?</v>
      </c>
      <c r="V248" s="1" t="e">
        <f t="shared" ca="1" si="58"/>
        <v>#NAME?</v>
      </c>
      <c r="W248" s="1" t="e">
        <f ca="1"/>
        <v>#NAME?</v>
      </c>
      <c r="X248" s="1" t="e">
        <f t="shared" ca="1" si="59"/>
        <v>#NAME?</v>
      </c>
      <c r="Y248" s="1" t="e">
        <f ca="1"/>
        <v>#NAME?</v>
      </c>
      <c r="Z248" s="1" t="e">
        <f t="shared" ca="1" si="60"/>
        <v>#NAME?</v>
      </c>
      <c r="AA248" s="1" t="e">
        <f ca="1"/>
        <v>#NAME?</v>
      </c>
      <c r="AB248" s="1" t="e">
        <f t="shared" ca="1" si="61"/>
        <v>#NAME?</v>
      </c>
      <c r="AC248" s="1" t="e">
        <f ca="1"/>
        <v>#NAME?</v>
      </c>
      <c r="AD248" s="1" t="e">
        <f t="shared" ca="1" si="62"/>
        <v>#NAME?</v>
      </c>
      <c r="AE248" s="1" t="e">
        <f ca="1"/>
        <v>#NAME?</v>
      </c>
      <c r="AF248" s="1" t="e">
        <f t="shared" ca="1" si="63"/>
        <v>#NAME?</v>
      </c>
      <c r="AG248" s="1" t="e">
        <f ca="1"/>
        <v>#NAME?</v>
      </c>
      <c r="AH248" s="1" t="e">
        <f t="shared" ca="1" si="64"/>
        <v>#NAME?</v>
      </c>
      <c r="AI248" s="1" t="e">
        <f ca="1"/>
        <v>#NAME?</v>
      </c>
      <c r="AJ248" s="1" t="e">
        <f t="shared" ca="1" si="73"/>
        <v>#NAME?</v>
      </c>
      <c r="AK248" s="1" t="e">
        <f ca="1"/>
        <v>#NAME?</v>
      </c>
      <c r="AL248" s="1" t="e">
        <f t="shared" ca="1" si="65"/>
        <v>#NAME?</v>
      </c>
      <c r="AN248" s="1">
        <f t="shared" si="74"/>
        <v>3.5197749270778909</v>
      </c>
      <c r="AO248" s="1" t="e">
        <f ca="1"/>
        <v>#NAME?</v>
      </c>
      <c r="AP248" s="1" t="e">
        <f t="shared" ca="1" si="75"/>
        <v>#NAME?</v>
      </c>
    </row>
    <row r="249" spans="1:42" x14ac:dyDescent="0.25">
      <c r="A249" s="1" t="s">
        <v>264</v>
      </c>
      <c r="B249" s="1">
        <v>248</v>
      </c>
      <c r="C249" s="1">
        <v>20006.181</v>
      </c>
      <c r="D249" s="1">
        <f t="shared" si="66"/>
        <v>4.3011641936377396</v>
      </c>
      <c r="E249" s="1">
        <v>13981.513999999999</v>
      </c>
      <c r="F249" s="1">
        <f t="shared" si="67"/>
        <v>4.1455542018992304</v>
      </c>
      <c r="G249" s="1">
        <v>3841.7710000000002</v>
      </c>
      <c r="H249" s="1">
        <f t="shared" si="68"/>
        <v>3.5845314739040184</v>
      </c>
      <c r="I249" s="1">
        <v>3412.8580000000002</v>
      </c>
      <c r="J249" s="1">
        <f t="shared" si="69"/>
        <v>0.17059017910514757</v>
      </c>
      <c r="K249" s="1">
        <f t="shared" si="70"/>
        <v>3.5331182188091481</v>
      </c>
      <c r="L249" s="1">
        <v>2465.672</v>
      </c>
      <c r="M249" s="1">
        <f t="shared" si="71"/>
        <v>3.3919353033771618</v>
      </c>
      <c r="N249" s="1">
        <v>3763.3159999999998</v>
      </c>
      <c r="O249" s="1">
        <f t="shared" si="72"/>
        <v>3.5755706869072483</v>
      </c>
      <c r="P249" s="1">
        <v>-1297.644</v>
      </c>
      <c r="Q249" s="1" t="e">
        <f ca="1"/>
        <v>#NAME?</v>
      </c>
      <c r="R249" s="1" t="e">
        <f t="shared" ca="1" si="57"/>
        <v>#NAME?</v>
      </c>
      <c r="S249" s="4">
        <v>4262933000000</v>
      </c>
      <c r="T249" s="1">
        <v>149158</v>
      </c>
      <c r="U249" s="1" t="e">
        <f ca="1"/>
        <v>#NAME?</v>
      </c>
      <c r="V249" s="1" t="e">
        <f t="shared" ca="1" si="58"/>
        <v>#NAME?</v>
      </c>
      <c r="W249" s="1" t="e">
        <f ca="1"/>
        <v>#NAME?</v>
      </c>
      <c r="X249" s="1" t="e">
        <f t="shared" ca="1" si="59"/>
        <v>#NAME?</v>
      </c>
      <c r="Y249" s="1" t="e">
        <f ca="1"/>
        <v>#NAME?</v>
      </c>
      <c r="Z249" s="1" t="e">
        <f t="shared" ca="1" si="60"/>
        <v>#NAME?</v>
      </c>
      <c r="AA249" s="1" t="e">
        <f ca="1"/>
        <v>#NAME?</v>
      </c>
      <c r="AB249" s="1" t="e">
        <f t="shared" ca="1" si="61"/>
        <v>#NAME?</v>
      </c>
      <c r="AC249" s="1" t="e">
        <f ca="1"/>
        <v>#NAME?</v>
      </c>
      <c r="AD249" s="1" t="e">
        <f t="shared" ca="1" si="62"/>
        <v>#NAME?</v>
      </c>
      <c r="AE249" s="1" t="e">
        <f ca="1"/>
        <v>#NAME?</v>
      </c>
      <c r="AF249" s="1" t="e">
        <f t="shared" ca="1" si="63"/>
        <v>#NAME?</v>
      </c>
      <c r="AG249" s="1" t="e">
        <f ca="1"/>
        <v>#NAME?</v>
      </c>
      <c r="AH249" s="1" t="e">
        <f t="shared" ca="1" si="64"/>
        <v>#NAME?</v>
      </c>
      <c r="AI249" s="1" t="e">
        <f ca="1"/>
        <v>#NAME?</v>
      </c>
      <c r="AJ249" s="1" t="e">
        <f t="shared" ca="1" si="73"/>
        <v>#NAME?</v>
      </c>
      <c r="AK249" s="1" t="e">
        <f ca="1"/>
        <v>#NAME?</v>
      </c>
      <c r="AL249" s="1" t="e">
        <f t="shared" ca="1" si="65"/>
        <v>#NAME?</v>
      </c>
      <c r="AN249" s="1">
        <f t="shared" si="74"/>
        <v>3.5233353382105506</v>
      </c>
      <c r="AO249" s="1" t="e">
        <f ca="1"/>
        <v>#NAME?</v>
      </c>
      <c r="AP249" s="1" t="e">
        <f t="shared" ca="1" si="75"/>
        <v>#NAME?</v>
      </c>
    </row>
    <row r="250" spans="1:42" x14ac:dyDescent="0.25">
      <c r="A250" s="1" t="s">
        <v>265</v>
      </c>
      <c r="B250" s="1">
        <v>249</v>
      </c>
      <c r="C250" s="1">
        <v>19924.088</v>
      </c>
      <c r="D250" s="1">
        <f t="shared" si="66"/>
        <v>4.2993784512409325</v>
      </c>
      <c r="E250" s="1">
        <v>14028.383</v>
      </c>
      <c r="F250" s="1">
        <f t="shared" si="67"/>
        <v>4.1470076143891008</v>
      </c>
      <c r="G250" s="1">
        <v>3892.48</v>
      </c>
      <c r="H250" s="1">
        <f t="shared" si="68"/>
        <v>3.5902263897920004</v>
      </c>
      <c r="I250" s="1">
        <v>3393.3890000000001</v>
      </c>
      <c r="J250" s="1">
        <f t="shared" si="69"/>
        <v>0.17031590103396452</v>
      </c>
      <c r="K250" s="1">
        <f t="shared" si="70"/>
        <v>3.5306336476998976</v>
      </c>
      <c r="L250" s="1">
        <v>2436.9340000000002</v>
      </c>
      <c r="M250" s="1">
        <f t="shared" si="71"/>
        <v>3.3868437672545024</v>
      </c>
      <c r="N250" s="1">
        <v>3925.6329999999998</v>
      </c>
      <c r="O250" s="1">
        <f t="shared" si="72"/>
        <v>3.593909695792521</v>
      </c>
      <c r="P250" s="1">
        <v>-1488.6990000000001</v>
      </c>
      <c r="Q250" s="1" t="e">
        <f ca="1"/>
        <v>#NAME?</v>
      </c>
      <c r="R250" s="1" t="e">
        <f t="shared" ca="1" si="57"/>
        <v>#NAME?</v>
      </c>
      <c r="S250" s="4">
        <v>4294518000000</v>
      </c>
      <c r="T250" s="1">
        <v>150846.66666666701</v>
      </c>
      <c r="U250" s="1" t="e">
        <f ca="1"/>
        <v>#NAME?</v>
      </c>
      <c r="V250" s="1" t="e">
        <f t="shared" ca="1" si="58"/>
        <v>#NAME?</v>
      </c>
      <c r="W250" s="1" t="e">
        <f ca="1"/>
        <v>#NAME?</v>
      </c>
      <c r="X250" s="1" t="e">
        <f t="shared" ca="1" si="59"/>
        <v>#NAME?</v>
      </c>
      <c r="Y250" s="1" t="e">
        <f ca="1"/>
        <v>#NAME?</v>
      </c>
      <c r="Z250" s="1" t="e">
        <f t="shared" ca="1" si="60"/>
        <v>#NAME?</v>
      </c>
      <c r="AA250" s="1" t="e">
        <f ca="1"/>
        <v>#NAME?</v>
      </c>
      <c r="AB250" s="1" t="e">
        <f t="shared" ca="1" si="61"/>
        <v>#NAME?</v>
      </c>
      <c r="AC250" s="1" t="e">
        <f ca="1"/>
        <v>#NAME?</v>
      </c>
      <c r="AD250" s="1" t="e">
        <f t="shared" ca="1" si="62"/>
        <v>#NAME?</v>
      </c>
      <c r="AE250" s="1" t="e">
        <f ca="1"/>
        <v>#NAME?</v>
      </c>
      <c r="AF250" s="1" t="e">
        <f t="shared" ca="1" si="63"/>
        <v>#NAME?</v>
      </c>
      <c r="AG250" s="1" t="e">
        <f ca="1"/>
        <v>#NAME?</v>
      </c>
      <c r="AH250" s="1" t="e">
        <f t="shared" ca="1" si="64"/>
        <v>#NAME?</v>
      </c>
      <c r="AI250" s="1" t="e">
        <f ca="1"/>
        <v>#NAME?</v>
      </c>
      <c r="AJ250" s="1" t="e">
        <f t="shared" ca="1" si="73"/>
        <v>#NAME?</v>
      </c>
      <c r="AK250" s="1" t="e">
        <f ca="1"/>
        <v>#NAME?</v>
      </c>
      <c r="AL250" s="1" t="e">
        <f t="shared" ca="1" si="65"/>
        <v>#NAME?</v>
      </c>
      <c r="AN250" s="1">
        <f t="shared" si="74"/>
        <v>3.5172663979943604</v>
      </c>
      <c r="AO250" s="1" t="e">
        <f ca="1"/>
        <v>#NAME?</v>
      </c>
      <c r="AP250" s="1" t="e">
        <f t="shared" ca="1" si="75"/>
        <v>#NAME?</v>
      </c>
    </row>
    <row r="251" spans="1:42" x14ac:dyDescent="0.25">
      <c r="A251" s="1" t="s">
        <v>266</v>
      </c>
      <c r="B251" s="1">
        <v>250</v>
      </c>
      <c r="C251" s="1">
        <v>19895.271000000001</v>
      </c>
      <c r="D251" s="1">
        <f t="shared" si="66"/>
        <v>4.2987498591900231</v>
      </c>
      <c r="E251" s="1">
        <v>14099.456</v>
      </c>
      <c r="F251" s="1">
        <f t="shared" si="67"/>
        <v>4.1492023565734053</v>
      </c>
      <c r="G251" s="1">
        <v>3746.973</v>
      </c>
      <c r="H251" s="1">
        <f t="shared" si="68"/>
        <v>3.5736805636587143</v>
      </c>
      <c r="I251" s="1">
        <v>3379.4989999999998</v>
      </c>
      <c r="J251" s="1">
        <f t="shared" si="69"/>
        <v>0.16986443662918688</v>
      </c>
      <c r="K251" s="1">
        <f t="shared" si="70"/>
        <v>3.5288523222709913</v>
      </c>
      <c r="L251" s="1">
        <v>2516.9279999999999</v>
      </c>
      <c r="M251" s="1">
        <f t="shared" si="71"/>
        <v>3.4008707921673769</v>
      </c>
      <c r="N251" s="1">
        <v>3947.4720000000002</v>
      </c>
      <c r="O251" s="1">
        <f t="shared" si="72"/>
        <v>3.5963190581765647</v>
      </c>
      <c r="P251" s="1">
        <v>-1430.5440000000001</v>
      </c>
      <c r="Q251" s="1" t="e">
        <f ca="1"/>
        <v>#NAME?</v>
      </c>
      <c r="R251" s="1" t="e">
        <f t="shared" ca="1" si="57"/>
        <v>#NAME?</v>
      </c>
      <c r="S251" s="4">
        <v>4238482000000</v>
      </c>
      <c r="T251" s="1">
        <v>152044</v>
      </c>
      <c r="U251" s="1" t="e">
        <f ca="1"/>
        <v>#NAME?</v>
      </c>
      <c r="V251" s="1" t="e">
        <f t="shared" ca="1" si="58"/>
        <v>#NAME?</v>
      </c>
      <c r="W251" s="1" t="e">
        <f ca="1"/>
        <v>#NAME?</v>
      </c>
      <c r="X251" s="1" t="e">
        <f t="shared" ca="1" si="59"/>
        <v>#NAME?</v>
      </c>
      <c r="Y251" s="1" t="e">
        <f ca="1"/>
        <v>#NAME?</v>
      </c>
      <c r="Z251" s="1" t="e">
        <f t="shared" ca="1" si="60"/>
        <v>#NAME?</v>
      </c>
      <c r="AA251" s="1" t="e">
        <f ca="1"/>
        <v>#NAME?</v>
      </c>
      <c r="AB251" s="1" t="e">
        <f t="shared" ca="1" si="61"/>
        <v>#NAME?</v>
      </c>
      <c r="AC251" s="1" t="e">
        <f ca="1"/>
        <v>#NAME?</v>
      </c>
      <c r="AD251" s="1" t="e">
        <f t="shared" ca="1" si="62"/>
        <v>#NAME?</v>
      </c>
      <c r="AE251" s="1" t="e">
        <f ca="1"/>
        <v>#NAME?</v>
      </c>
      <c r="AF251" s="1" t="e">
        <f t="shared" ca="1" si="63"/>
        <v>#NAME?</v>
      </c>
      <c r="AG251" s="1" t="e">
        <f ca="1"/>
        <v>#NAME?</v>
      </c>
      <c r="AH251" s="1" t="e">
        <f t="shared" ca="1" si="64"/>
        <v>#NAME?</v>
      </c>
      <c r="AI251" s="1" t="e">
        <f ca="1"/>
        <v>#NAME?</v>
      </c>
      <c r="AJ251" s="1" t="e">
        <f t="shared" ca="1" si="73"/>
        <v>#NAME?</v>
      </c>
      <c r="AK251" s="1" t="e">
        <f ca="1"/>
        <v>#NAME?</v>
      </c>
      <c r="AL251" s="1" t="e">
        <f t="shared" ca="1" si="65"/>
        <v>#NAME?</v>
      </c>
      <c r="AN251" s="1">
        <f t="shared" si="74"/>
        <v>3.5164937922530788</v>
      </c>
      <c r="AO251" s="1" t="e">
        <f ca="1"/>
        <v>#NAME?</v>
      </c>
      <c r="AP251" s="1" t="e">
        <f t="shared" ca="1" si="75"/>
        <v>#NAME?</v>
      </c>
    </row>
    <row r="252" spans="1:42" x14ac:dyDescent="0.25">
      <c r="A252" s="1" t="s">
        <v>267</v>
      </c>
      <c r="B252" s="1">
        <v>251</v>
      </c>
      <c r="C252" s="1">
        <v>20054.663</v>
      </c>
      <c r="D252" s="1">
        <f t="shared" si="66"/>
        <v>4.3022153684632602</v>
      </c>
      <c r="E252" s="1">
        <v>14178.562</v>
      </c>
      <c r="F252" s="1">
        <f t="shared" si="67"/>
        <v>4.1516321866204393</v>
      </c>
      <c r="G252" s="1">
        <v>3653.85</v>
      </c>
      <c r="H252" s="1">
        <f t="shared" si="68"/>
        <v>3.5627507144698756</v>
      </c>
      <c r="I252" s="1">
        <v>3410.625</v>
      </c>
      <c r="J252" s="1">
        <f t="shared" si="69"/>
        <v>0.17006643292884052</v>
      </c>
      <c r="K252" s="1">
        <f t="shared" si="70"/>
        <v>3.5328339711272214</v>
      </c>
      <c r="L252" s="1">
        <v>2604.1370000000002</v>
      </c>
      <c r="M252" s="1">
        <f t="shared" si="71"/>
        <v>3.4156638281215503</v>
      </c>
      <c r="N252" s="1">
        <v>3872.9079999999999</v>
      </c>
      <c r="O252" s="1">
        <f t="shared" si="72"/>
        <v>3.5880371805474325</v>
      </c>
      <c r="P252" s="1">
        <v>-1268.771</v>
      </c>
      <c r="Q252" s="1" t="e">
        <f ca="1"/>
        <v>#NAME?</v>
      </c>
      <c r="R252" s="1" t="e">
        <f t="shared" ca="1" si="57"/>
        <v>#NAME?</v>
      </c>
      <c r="S252" s="4">
        <v>4219809000000</v>
      </c>
      <c r="T252" s="1">
        <v>153331.33333333299</v>
      </c>
      <c r="U252" s="1" t="e">
        <f ca="1"/>
        <v>#NAME?</v>
      </c>
      <c r="V252" s="1" t="e">
        <f t="shared" ca="1" si="58"/>
        <v>#NAME?</v>
      </c>
      <c r="W252" s="1" t="e">
        <f ca="1"/>
        <v>#NAME?</v>
      </c>
      <c r="X252" s="1" t="e">
        <f t="shared" ca="1" si="59"/>
        <v>#NAME?</v>
      </c>
      <c r="Y252" s="1" t="e">
        <f ca="1"/>
        <v>#NAME?</v>
      </c>
      <c r="Z252" s="1" t="e">
        <f t="shared" ca="1" si="60"/>
        <v>#NAME?</v>
      </c>
      <c r="AA252" s="1" t="e">
        <f ca="1"/>
        <v>#NAME?</v>
      </c>
      <c r="AB252" s="1" t="e">
        <f t="shared" ca="1" si="61"/>
        <v>#NAME?</v>
      </c>
      <c r="AC252" s="1" t="e">
        <f ca="1"/>
        <v>#NAME?</v>
      </c>
      <c r="AD252" s="1" t="e">
        <f t="shared" ca="1" si="62"/>
        <v>#NAME?</v>
      </c>
      <c r="AE252" s="1" t="e">
        <f ca="1"/>
        <v>#NAME?</v>
      </c>
      <c r="AF252" s="1" t="e">
        <f t="shared" ca="1" si="63"/>
        <v>#NAME?</v>
      </c>
      <c r="AG252" s="1" t="e">
        <f ca="1"/>
        <v>#NAME?</v>
      </c>
      <c r="AH252" s="1" t="e">
        <f t="shared" ca="1" si="64"/>
        <v>#NAME?</v>
      </c>
      <c r="AI252" s="1" t="e">
        <f ca="1"/>
        <v>#NAME?</v>
      </c>
      <c r="AJ252" s="1" t="e">
        <f t="shared" ca="1" si="73"/>
        <v>#NAME?</v>
      </c>
      <c r="AK252" s="1" t="e">
        <f ca="1"/>
        <v>#NAME?</v>
      </c>
      <c r="AL252" s="1" t="e">
        <f t="shared" ca="1" si="65"/>
        <v>#NAME?</v>
      </c>
      <c r="AN252" s="1">
        <f t="shared" si="74"/>
        <v>3.5183061787843366</v>
      </c>
      <c r="AO252" s="1" t="e">
        <f ca="1"/>
        <v>#NAME?</v>
      </c>
      <c r="AP252" s="1" t="e">
        <f t="shared" ca="1" si="75"/>
        <v>#NAME?</v>
      </c>
    </row>
    <row r="253" spans="1:42" x14ac:dyDescent="0.25">
      <c r="A253" s="1" t="s">
        <v>268</v>
      </c>
      <c r="B253" s="1">
        <v>252</v>
      </c>
      <c r="C253" s="1">
        <v>20182.491000000002</v>
      </c>
      <c r="D253" s="1">
        <f t="shared" si="66"/>
        <v>4.3049747674900907</v>
      </c>
      <c r="E253" s="1">
        <v>14214.862999999999</v>
      </c>
      <c r="F253" s="1">
        <f t="shared" si="67"/>
        <v>4.1527426784034756</v>
      </c>
      <c r="G253" s="1">
        <v>3694.1280000000002</v>
      </c>
      <c r="H253" s="1">
        <f t="shared" si="68"/>
        <v>3.5675119394882486</v>
      </c>
      <c r="I253" s="1">
        <v>3442.4659999999999</v>
      </c>
      <c r="J253" s="1">
        <f t="shared" si="69"/>
        <v>0.1705669533062098</v>
      </c>
      <c r="K253" s="1">
        <f t="shared" si="70"/>
        <v>3.5368696595795628</v>
      </c>
      <c r="L253" s="1">
        <v>2579.558</v>
      </c>
      <c r="M253" s="1">
        <f t="shared" si="71"/>
        <v>3.4115452972012892</v>
      </c>
      <c r="N253" s="1">
        <v>3818.1729999999998</v>
      </c>
      <c r="O253" s="1">
        <f t="shared" si="72"/>
        <v>3.5818556022250707</v>
      </c>
      <c r="P253" s="1">
        <v>-1238.615</v>
      </c>
      <c r="Q253" s="1" t="e">
        <f ca="1"/>
        <v>#NAME?</v>
      </c>
      <c r="R253" s="1" t="e">
        <f t="shared" ca="1" si="57"/>
        <v>#NAME?</v>
      </c>
      <c r="S253" s="4">
        <v>4195923000000</v>
      </c>
      <c r="T253" s="1">
        <v>154279</v>
      </c>
      <c r="U253" s="1" t="e">
        <f ca="1"/>
        <v>#NAME?</v>
      </c>
      <c r="V253" s="1" t="e">
        <f t="shared" ca="1" si="58"/>
        <v>#NAME?</v>
      </c>
      <c r="W253" s="1" t="e">
        <f ca="1"/>
        <v>#NAME?</v>
      </c>
      <c r="X253" s="1" t="e">
        <f t="shared" ca="1" si="59"/>
        <v>#NAME?</v>
      </c>
      <c r="Y253" s="1" t="e">
        <f ca="1"/>
        <v>#NAME?</v>
      </c>
      <c r="Z253" s="1" t="e">
        <f t="shared" ca="1" si="60"/>
        <v>#NAME?</v>
      </c>
      <c r="AA253" s="1" t="e">
        <f ca="1"/>
        <v>#NAME?</v>
      </c>
      <c r="AB253" s="1" t="e">
        <f t="shared" ca="1" si="61"/>
        <v>#NAME?</v>
      </c>
      <c r="AC253" s="1" t="e">
        <f ca="1"/>
        <v>#NAME?</v>
      </c>
      <c r="AD253" s="1" t="e">
        <f t="shared" ca="1" si="62"/>
        <v>#NAME?</v>
      </c>
      <c r="AE253" s="1" t="e">
        <f ca="1"/>
        <v>#NAME?</v>
      </c>
      <c r="AF253" s="1" t="e">
        <f t="shared" ca="1" si="63"/>
        <v>#NAME?</v>
      </c>
      <c r="AG253" s="1" t="e">
        <f ca="1"/>
        <v>#NAME?</v>
      </c>
      <c r="AH253" s="1" t="e">
        <f t="shared" ca="1" si="64"/>
        <v>#NAME?</v>
      </c>
      <c r="AI253" s="1" t="e">
        <f ca="1"/>
        <v>#NAME?</v>
      </c>
      <c r="AJ253" s="1" t="e">
        <f t="shared" ca="1" si="73"/>
        <v>#NAME?</v>
      </c>
      <c r="AK253" s="1" t="e">
        <f ca="1"/>
        <v>#NAME?</v>
      </c>
      <c r="AL253" s="1" t="e">
        <f t="shared" ca="1" si="65"/>
        <v>#NAME?</v>
      </c>
      <c r="AN253" s="1">
        <f t="shared" si="74"/>
        <v>3.5202405022309557</v>
      </c>
      <c r="AO253" s="1" t="e">
        <f ca="1"/>
        <v>#NAME?</v>
      </c>
      <c r="AP253" s="1" t="e">
        <f t="shared" ca="1" si="75"/>
        <v>#NAME?</v>
      </c>
    </row>
    <row r="254" spans="1:42" x14ac:dyDescent="0.25">
      <c r="A254" s="1" t="s">
        <v>269</v>
      </c>
      <c r="B254" s="1">
        <v>253</v>
      </c>
      <c r="C254" s="1">
        <v>20246.438999999998</v>
      </c>
      <c r="D254" s="1">
        <f t="shared" si="66"/>
        <v>4.3063486493459742</v>
      </c>
      <c r="E254" s="1">
        <v>14346.593000000001</v>
      </c>
      <c r="F254" s="1">
        <f t="shared" si="67"/>
        <v>4.1567487779357215</v>
      </c>
      <c r="G254" s="1">
        <v>3583.3229999999999</v>
      </c>
      <c r="H254" s="1">
        <f t="shared" si="68"/>
        <v>3.5542859571460688</v>
      </c>
      <c r="I254" s="1">
        <v>3486.2159999999999</v>
      </c>
      <c r="J254" s="1">
        <f t="shared" si="69"/>
        <v>0.17218909458596646</v>
      </c>
      <c r="K254" s="1">
        <f t="shared" si="70"/>
        <v>3.5423542917533064</v>
      </c>
      <c r="L254" s="1">
        <v>2612.152</v>
      </c>
      <c r="M254" s="1">
        <f t="shared" si="71"/>
        <v>3.4169984447472115</v>
      </c>
      <c r="N254" s="1">
        <v>3855.6179999999999</v>
      </c>
      <c r="O254" s="1">
        <f t="shared" si="72"/>
        <v>3.5860939991129999</v>
      </c>
      <c r="P254" s="1">
        <v>-1243.4659999999999</v>
      </c>
      <c r="Q254" s="1" t="e">
        <f ca="1"/>
        <v>#NAME?</v>
      </c>
      <c r="R254" s="1" t="e">
        <f t="shared" ca="1" si="57"/>
        <v>#NAME?</v>
      </c>
      <c r="S254" s="4">
        <v>4204029000000</v>
      </c>
      <c r="T254" s="1">
        <v>155007</v>
      </c>
      <c r="U254" s="1" t="e">
        <f ca="1"/>
        <v>#NAME?</v>
      </c>
      <c r="V254" s="1" t="e">
        <f t="shared" ca="1" si="58"/>
        <v>#NAME?</v>
      </c>
      <c r="W254" s="1" t="e">
        <f ca="1"/>
        <v>#NAME?</v>
      </c>
      <c r="X254" s="1" t="e">
        <f t="shared" ca="1" si="59"/>
        <v>#NAME?</v>
      </c>
      <c r="Y254" s="1" t="e">
        <f ca="1"/>
        <v>#NAME?</v>
      </c>
      <c r="Z254" s="1" t="e">
        <f t="shared" ca="1" si="60"/>
        <v>#NAME?</v>
      </c>
      <c r="AA254" s="1" t="e">
        <f ca="1"/>
        <v>#NAME?</v>
      </c>
      <c r="AB254" s="1" t="e">
        <f t="shared" ca="1" si="61"/>
        <v>#NAME?</v>
      </c>
      <c r="AC254" s="1" t="e">
        <f ca="1"/>
        <v>#NAME?</v>
      </c>
      <c r="AD254" s="1" t="e">
        <f t="shared" ca="1" si="62"/>
        <v>#NAME?</v>
      </c>
      <c r="AE254" s="1" t="e">
        <f ca="1"/>
        <v>#NAME?</v>
      </c>
      <c r="AF254" s="1" t="e">
        <f t="shared" ca="1" si="63"/>
        <v>#NAME?</v>
      </c>
      <c r="AG254" s="1" t="e">
        <f ca="1"/>
        <v>#NAME?</v>
      </c>
      <c r="AH254" s="1" t="e">
        <f t="shared" ca="1" si="64"/>
        <v>#NAME?</v>
      </c>
      <c r="AI254" s="1" t="e">
        <f ca="1"/>
        <v>#NAME?</v>
      </c>
      <c r="AJ254" s="1" t="e">
        <f t="shared" ca="1" si="73"/>
        <v>#NAME?</v>
      </c>
      <c r="AK254" s="1" t="e">
        <f ca="1"/>
        <v>#NAME?</v>
      </c>
      <c r="AL254" s="1" t="e">
        <f t="shared" ca="1" si="65"/>
        <v>#NAME?</v>
      </c>
      <c r="AN254" s="1">
        <f t="shared" si="74"/>
        <v>3.5200041571395806</v>
      </c>
      <c r="AO254" s="1" t="e">
        <f ca="1"/>
        <v>#NAME?</v>
      </c>
      <c r="AP254" s="1" t="e">
        <f t="shared" ca="1" si="75"/>
        <v>#NAME?</v>
      </c>
    </row>
    <row r="255" spans="1:42" x14ac:dyDescent="0.25">
      <c r="S255" s="4"/>
      <c r="V255" s="2" t="e">
        <f ca="1">_xlfn.STDEV.S(V2:V254)</f>
        <v>#NAME?</v>
      </c>
      <c r="X255" s="1" t="e">
        <f ca="1">_xlfn.STDEV.S(X2:X254)</f>
        <v>#NAME?</v>
      </c>
      <c r="Z255" s="1" t="e">
        <f ca="1">_xlfn.STDEV.S(Z2:Z254)</f>
        <v>#NAME?</v>
      </c>
      <c r="AB255" s="1" t="e">
        <f ca="1">_xlfn.STDEV.S(AB2:AB254)</f>
        <v>#NAME?</v>
      </c>
      <c r="AD255" s="1" t="e">
        <f ca="1">_xlfn.STDEV.S(AD2:AD254)</f>
        <v>#NAME?</v>
      </c>
      <c r="AF255" s="1" t="e">
        <f ca="1">_xlfn.STDEV.S(AF2:AF254)</f>
        <v>#NAME?</v>
      </c>
      <c r="AH255" s="1" t="e">
        <f ca="1">_xlfn.STDEV.S(AH2:AH254)</f>
        <v>#NAME?</v>
      </c>
      <c r="AL255" s="1" t="e">
        <f ca="1">_xlfn.STDEV.S(AL2:AL254)</f>
        <v>#NAME?</v>
      </c>
      <c r="AP255" s="1" t="e">
        <f ca="1">_xlfn.STDEV.S(AP50:AP254)</f>
        <v>#NAME?</v>
      </c>
    </row>
    <row r="256" spans="1:42" x14ac:dyDescent="0.25">
      <c r="V256" s="2">
        <v>1</v>
      </c>
      <c r="X256" s="2" t="e">
        <f ca="1">X255/V255</f>
        <v>#NAME?</v>
      </c>
      <c r="Z256" s="2" t="e">
        <f ca="1">Z255/V255</f>
        <v>#NAME?</v>
      </c>
      <c r="AB256" s="2" t="e">
        <f ca="1">AB255/V255</f>
        <v>#NAME?</v>
      </c>
      <c r="AD256" s="2" t="e">
        <f ca="1">AD255/V255</f>
        <v>#NAME?</v>
      </c>
      <c r="AF256" s="2" t="e">
        <f ca="1">AF255/V255</f>
        <v>#NAME?</v>
      </c>
      <c r="AH256" s="2" t="e">
        <f ca="1">AH255/V255</f>
        <v>#NAME?</v>
      </c>
      <c r="AI256" s="2"/>
      <c r="AJ256" s="2"/>
      <c r="AP256" s="2" t="e">
        <f ca="1">AP255/V258</f>
        <v>#NAME?</v>
      </c>
    </row>
    <row r="258" spans="22:22" x14ac:dyDescent="0.25">
      <c r="V258" s="1" t="e">
        <f ca="1">_xlfn.STDEV.S(V50:V254)</f>
        <v>#NAME?</v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B7599-246A-4926-93B0-F471D3DA16C3}">
  <dimension ref="A1:AP256"/>
  <sheetViews>
    <sheetView topLeftCell="R233" zoomScale="70" zoomScaleNormal="70" workbookViewId="0">
      <selection activeCell="AH256" sqref="AH256"/>
    </sheetView>
  </sheetViews>
  <sheetFormatPr defaultRowHeight="14" x14ac:dyDescent="0.25"/>
  <cols>
    <col min="1" max="16384" width="8.7265625" style="1"/>
  </cols>
  <sheetData>
    <row r="1" spans="1:42" x14ac:dyDescent="0.25">
      <c r="A1" s="1" t="s">
        <v>270</v>
      </c>
      <c r="B1" s="1" t="s">
        <v>271</v>
      </c>
      <c r="C1" s="1" t="s">
        <v>0</v>
      </c>
      <c r="D1" s="2" t="s">
        <v>272</v>
      </c>
      <c r="E1" s="1" t="s">
        <v>1</v>
      </c>
      <c r="F1" s="2" t="s">
        <v>273</v>
      </c>
      <c r="G1" s="1" t="s">
        <v>2</v>
      </c>
      <c r="H1" s="2" t="s">
        <v>274</v>
      </c>
      <c r="I1" s="1" t="s">
        <v>3</v>
      </c>
      <c r="J1" s="2" t="s">
        <v>275</v>
      </c>
      <c r="K1" s="2" t="s">
        <v>276</v>
      </c>
      <c r="L1" s="1" t="s">
        <v>4</v>
      </c>
      <c r="M1" s="2" t="s">
        <v>277</v>
      </c>
      <c r="N1" s="1" t="s">
        <v>5</v>
      </c>
      <c r="O1" s="2" t="s">
        <v>278</v>
      </c>
      <c r="P1" s="1" t="s">
        <v>6</v>
      </c>
      <c r="Q1" s="2" t="s">
        <v>279</v>
      </c>
      <c r="R1" s="1" t="s">
        <v>280</v>
      </c>
      <c r="S1" s="1" t="s">
        <v>7</v>
      </c>
      <c r="T1" s="1" t="s">
        <v>8</v>
      </c>
      <c r="U1" s="1" t="s">
        <v>281</v>
      </c>
      <c r="V1" s="2" t="s">
        <v>282</v>
      </c>
      <c r="W1" s="1" t="s">
        <v>283</v>
      </c>
      <c r="X1" s="2" t="s">
        <v>284</v>
      </c>
      <c r="Y1" s="1" t="s">
        <v>285</v>
      </c>
      <c r="Z1" s="2" t="s">
        <v>286</v>
      </c>
      <c r="AA1" s="1" t="s">
        <v>287</v>
      </c>
      <c r="AB1" s="2" t="s">
        <v>288</v>
      </c>
      <c r="AC1" s="1" t="s">
        <v>289</v>
      </c>
      <c r="AD1" s="2" t="s">
        <v>290</v>
      </c>
      <c r="AE1" s="1" t="s">
        <v>291</v>
      </c>
      <c r="AF1" s="2" t="s">
        <v>292</v>
      </c>
      <c r="AG1" s="1" t="s">
        <v>293</v>
      </c>
      <c r="AH1" s="2" t="s">
        <v>294</v>
      </c>
      <c r="AI1" s="2" t="s">
        <v>295</v>
      </c>
      <c r="AJ1" s="2" t="s">
        <v>296</v>
      </c>
      <c r="AK1" s="3" t="s">
        <v>297</v>
      </c>
      <c r="AL1" s="2" t="s">
        <v>298</v>
      </c>
      <c r="AN1" s="1" t="s">
        <v>299</v>
      </c>
      <c r="AO1" s="1" t="s">
        <v>300</v>
      </c>
      <c r="AP1" s="1" t="s">
        <v>301</v>
      </c>
    </row>
    <row r="2" spans="1:42" x14ac:dyDescent="0.25">
      <c r="A2" s="1" t="s">
        <v>17</v>
      </c>
      <c r="B2" s="1">
        <v>1</v>
      </c>
      <c r="C2" s="1">
        <v>18279.4182434656</v>
      </c>
      <c r="D2" s="1">
        <f>LOG(C2)</f>
        <v>4.2619623698620845</v>
      </c>
      <c r="E2" s="1">
        <v>11146.677150776</v>
      </c>
      <c r="F2" s="1">
        <f>LOG(E2)</f>
        <v>4.047145422527163</v>
      </c>
      <c r="G2" s="1">
        <v>2176.0661168085899</v>
      </c>
      <c r="H2" s="1">
        <f>LOG(G2)</f>
        <v>3.337672086673618</v>
      </c>
      <c r="I2" s="1">
        <v>5924.1463537048503</v>
      </c>
      <c r="J2" s="1">
        <f>I2/C2</f>
        <v>0.32408834213433313</v>
      </c>
      <c r="K2" s="1">
        <f>LOG(I2)</f>
        <v>3.7726257790560069</v>
      </c>
      <c r="L2" s="1">
        <v>607.84969802419198</v>
      </c>
      <c r="M2" s="1">
        <f>LOG(L2)</f>
        <v>2.7837962052788092</v>
      </c>
      <c r="N2" s="1">
        <v>772.95768992689</v>
      </c>
      <c r="O2" s="1">
        <f>LOG(N2)</f>
        <v>2.8881557222052892</v>
      </c>
      <c r="P2" s="1">
        <v>-165.10799190269901</v>
      </c>
      <c r="Q2" s="1" t="e">
        <f t="array" aca="1" ref="Q2:Q254" ca="1">[1]!HP(C2:C254,1600)</f>
        <v>#NAME?</v>
      </c>
      <c r="R2" s="1" t="e">
        <f t="shared" ref="R2:R65" ca="1" si="0">P2/Q2</f>
        <v>#NAME?</v>
      </c>
      <c r="T2" s="1">
        <v>54413.666666666701</v>
      </c>
      <c r="U2" s="1" t="e">
        <f t="array" aca="1" ref="U2:U254" ca="1">[1]!HP(D2:D254,1600)</f>
        <v>#NAME?</v>
      </c>
      <c r="V2" s="1" t="e">
        <f t="shared" ref="V2:V65" ca="1" si="1">100*(D2-U2)/U2</f>
        <v>#NAME?</v>
      </c>
      <c r="W2" s="1" t="e">
        <f t="array" aca="1" ref="W2:W254" ca="1">[1]!HP(F2:F254,1600)</f>
        <v>#NAME?</v>
      </c>
      <c r="X2" s="1" t="e">
        <f t="shared" ref="X2:X65" ca="1" si="2">100*(F2-W2)/W2</f>
        <v>#NAME?</v>
      </c>
      <c r="Y2" s="1" t="e">
        <f t="array" aca="1" ref="Y2:Y254" ca="1">[1]!HP(H2:H254,1600)</f>
        <v>#NAME?</v>
      </c>
      <c r="Z2" s="1" t="e">
        <f t="shared" ref="Z2:Z65" ca="1" si="3">100*(H2-Y2)/Y2</f>
        <v>#NAME?</v>
      </c>
      <c r="AA2" s="1" t="e">
        <f t="array" aca="1" ref="AA2:AA254" ca="1">[1]!HP(K2:K254,1600)</f>
        <v>#NAME?</v>
      </c>
      <c r="AB2" s="1" t="e">
        <f t="shared" ref="AB2:AB65" ca="1" si="4">100*(K2-AA2)/AA2</f>
        <v>#NAME?</v>
      </c>
      <c r="AC2" s="1" t="e">
        <f t="array" aca="1" ref="AC2:AC254" ca="1">[1]!HP(M2:M254,1600)</f>
        <v>#NAME?</v>
      </c>
      <c r="AD2" s="1" t="e">
        <f t="shared" ref="AD2:AD65" ca="1" si="5">100*(M2-AC2)/AC2</f>
        <v>#NAME?</v>
      </c>
      <c r="AE2" s="1" t="e">
        <f t="array" aca="1" ref="AE2:AE254" ca="1">[1]!HP(O2:O254,1600)</f>
        <v>#NAME?</v>
      </c>
      <c r="AF2" s="1" t="e">
        <f t="shared" ref="AF2:AF65" ca="1" si="6">100*(O2-AE2)/AE2</f>
        <v>#NAME?</v>
      </c>
      <c r="AG2" s="1" t="e">
        <f t="array" aca="1" ref="AG2:AG254" ca="1">[1]!HP(R2:R254,1600)</f>
        <v>#NAME?</v>
      </c>
      <c r="AH2" s="1" t="e">
        <f t="shared" ref="AH2:AH65" ca="1" si="7">100*(R2-AG2)</f>
        <v>#NAME?</v>
      </c>
      <c r="AI2" s="1" t="e">
        <f t="array" aca="1" ref="AI2:AI254" ca="1">[1]!HP(P2:P254,1600)</f>
        <v>#NAME?</v>
      </c>
      <c r="AJ2" s="1" t="e">
        <f ca="1">-100*(P2-AI2)/AI2</f>
        <v>#NAME?</v>
      </c>
      <c r="AK2" s="1" t="e">
        <f t="array" aca="1" ref="AK2:AK254" ca="1">[1]!HP(J2:J254,1600)</f>
        <v>#NAME?</v>
      </c>
      <c r="AL2" s="1" t="e">
        <f t="shared" ref="AL2:AL65" ca="1" si="8">100*(J2-AK2)</f>
        <v>#NAME?</v>
      </c>
    </row>
    <row r="3" spans="1:42" x14ac:dyDescent="0.25">
      <c r="A3" s="1" t="s">
        <v>18</v>
      </c>
      <c r="B3" s="1">
        <v>2</v>
      </c>
      <c r="C3" s="1">
        <v>18071.834413334698</v>
      </c>
      <c r="D3" s="1">
        <f t="shared" ref="D3:D66" si="9">LOG(C3)</f>
        <v>4.2570022386236568</v>
      </c>
      <c r="E3" s="1">
        <v>11219.5885832118</v>
      </c>
      <c r="F3" s="1">
        <f t="shared" ref="F3:F66" si="10">LOG(E3)</f>
        <v>4.0499769318473424</v>
      </c>
      <c r="G3" s="1">
        <v>1961.4137393916899</v>
      </c>
      <c r="H3" s="1">
        <f t="shared" ref="H3:H66" si="11">LOG(G3)</f>
        <v>3.2925692131385293</v>
      </c>
      <c r="I3" s="1">
        <v>5954.73417553118</v>
      </c>
      <c r="J3" s="1">
        <f t="shared" ref="J3:J66" si="12">I3/C3</f>
        <v>0.32950358216747211</v>
      </c>
      <c r="K3" s="1">
        <f t="shared" ref="K3:K66" si="13">LOG(I3)</f>
        <v>3.774862378971318</v>
      </c>
      <c r="L3" s="1">
        <v>621.53757462541796</v>
      </c>
      <c r="M3" s="1">
        <f t="shared" ref="M3:M66" si="14">LOG(L3)</f>
        <v>2.7934673887446921</v>
      </c>
      <c r="N3" s="1">
        <v>774.03118607989995</v>
      </c>
      <c r="O3" s="1">
        <f t="shared" ref="O3:O66" si="15">LOG(N3)</f>
        <v>2.8887584589639821</v>
      </c>
      <c r="P3" s="1">
        <v>-152.49361145448199</v>
      </c>
      <c r="Q3" s="1" t="e">
        <f ca="1"/>
        <v>#NAME?</v>
      </c>
      <c r="R3" s="1" t="e">
        <f t="shared" ca="1" si="0"/>
        <v>#NAME?</v>
      </c>
      <c r="T3" s="1">
        <v>54545.333333333299</v>
      </c>
      <c r="U3" s="1" t="e">
        <f ca="1"/>
        <v>#NAME?</v>
      </c>
      <c r="V3" s="1" t="e">
        <f t="shared" ca="1" si="1"/>
        <v>#NAME?</v>
      </c>
      <c r="W3" s="1" t="e">
        <f ca="1"/>
        <v>#NAME?</v>
      </c>
      <c r="X3" s="1" t="e">
        <f t="shared" ca="1" si="2"/>
        <v>#NAME?</v>
      </c>
      <c r="Y3" s="1" t="e">
        <f ca="1"/>
        <v>#NAME?</v>
      </c>
      <c r="Z3" s="1" t="e">
        <f t="shared" ca="1" si="3"/>
        <v>#NAME?</v>
      </c>
      <c r="AA3" s="1" t="e">
        <f ca="1"/>
        <v>#NAME?</v>
      </c>
      <c r="AB3" s="1" t="e">
        <f t="shared" ca="1" si="4"/>
        <v>#NAME?</v>
      </c>
      <c r="AC3" s="1" t="e">
        <f ca="1"/>
        <v>#NAME?</v>
      </c>
      <c r="AD3" s="1" t="e">
        <f t="shared" ca="1" si="5"/>
        <v>#NAME?</v>
      </c>
      <c r="AE3" s="1" t="e">
        <f ca="1"/>
        <v>#NAME?</v>
      </c>
      <c r="AF3" s="1" t="e">
        <f t="shared" ca="1" si="6"/>
        <v>#NAME?</v>
      </c>
      <c r="AG3" s="1" t="e">
        <f ca="1"/>
        <v>#NAME?</v>
      </c>
      <c r="AH3" s="1" t="e">
        <f t="shared" ca="1" si="7"/>
        <v>#NAME?</v>
      </c>
      <c r="AI3" s="1" t="e">
        <f ca="1"/>
        <v>#NAME?</v>
      </c>
      <c r="AJ3" s="1" t="e">
        <f t="shared" ref="AJ3:AJ66" ca="1" si="16">-100*(P3-AI3)/AI3</f>
        <v>#NAME?</v>
      </c>
      <c r="AK3" s="1" t="e">
        <f ca="1"/>
        <v>#NAME?</v>
      </c>
      <c r="AL3" s="1" t="e">
        <f t="shared" ca="1" si="8"/>
        <v>#NAME?</v>
      </c>
    </row>
    <row r="4" spans="1:42" x14ac:dyDescent="0.25">
      <c r="A4" s="1" t="s">
        <v>19</v>
      </c>
      <c r="B4" s="1">
        <v>3</v>
      </c>
      <c r="C4" s="1">
        <v>18070.1319904468</v>
      </c>
      <c r="D4" s="1">
        <f t="shared" si="9"/>
        <v>4.256961324808489</v>
      </c>
      <c r="E4" s="1">
        <v>11119.265751429901</v>
      </c>
      <c r="F4" s="1">
        <f t="shared" si="10"/>
        <v>4.04607611003106</v>
      </c>
      <c r="G4" s="1">
        <v>1946.7184406043</v>
      </c>
      <c r="H4" s="1">
        <f t="shared" si="11"/>
        <v>3.2893031428224031</v>
      </c>
      <c r="I4" s="1">
        <v>6070.0768335530402</v>
      </c>
      <c r="J4" s="1">
        <f t="shared" si="12"/>
        <v>0.33591768099768882</v>
      </c>
      <c r="K4" s="1">
        <f t="shared" si="13"/>
        <v>3.7831941883037459</v>
      </c>
      <c r="L4" s="1">
        <v>631.93253208752299</v>
      </c>
      <c r="M4" s="1">
        <f t="shared" si="14"/>
        <v>2.8006707135574045</v>
      </c>
      <c r="N4" s="1">
        <v>747.49174025515595</v>
      </c>
      <c r="O4" s="1">
        <f t="shared" si="15"/>
        <v>2.8736063980915487</v>
      </c>
      <c r="P4" s="1">
        <v>-115.559208167633</v>
      </c>
      <c r="Q4" s="1" t="e">
        <f ca="1"/>
        <v>#NAME?</v>
      </c>
      <c r="R4" s="1" t="e">
        <f t="shared" ca="1" si="0"/>
        <v>#NAME?</v>
      </c>
      <c r="T4" s="1">
        <v>54268.333333333299</v>
      </c>
      <c r="U4" s="1" t="e">
        <f ca="1"/>
        <v>#NAME?</v>
      </c>
      <c r="V4" s="1" t="e">
        <f t="shared" ca="1" si="1"/>
        <v>#NAME?</v>
      </c>
      <c r="W4" s="1" t="e">
        <f ca="1"/>
        <v>#NAME?</v>
      </c>
      <c r="X4" s="1" t="e">
        <f t="shared" ca="1" si="2"/>
        <v>#NAME?</v>
      </c>
      <c r="Y4" s="1" t="e">
        <f ca="1"/>
        <v>#NAME?</v>
      </c>
      <c r="Z4" s="1" t="e">
        <f t="shared" ca="1" si="3"/>
        <v>#NAME?</v>
      </c>
      <c r="AA4" s="1" t="e">
        <f ca="1"/>
        <v>#NAME?</v>
      </c>
      <c r="AB4" s="1" t="e">
        <f t="shared" ca="1" si="4"/>
        <v>#NAME?</v>
      </c>
      <c r="AC4" s="1" t="e">
        <f ca="1"/>
        <v>#NAME?</v>
      </c>
      <c r="AD4" s="1" t="e">
        <f t="shared" ca="1" si="5"/>
        <v>#NAME?</v>
      </c>
      <c r="AE4" s="1" t="e">
        <f ca="1"/>
        <v>#NAME?</v>
      </c>
      <c r="AF4" s="1" t="e">
        <f t="shared" ca="1" si="6"/>
        <v>#NAME?</v>
      </c>
      <c r="AG4" s="1" t="e">
        <f ca="1"/>
        <v>#NAME?</v>
      </c>
      <c r="AH4" s="1" t="e">
        <f t="shared" ca="1" si="7"/>
        <v>#NAME?</v>
      </c>
      <c r="AI4" s="1" t="e">
        <f ca="1"/>
        <v>#NAME?</v>
      </c>
      <c r="AJ4" s="1" t="e">
        <f t="shared" ca="1" si="16"/>
        <v>#NAME?</v>
      </c>
      <c r="AK4" s="1" t="e">
        <f ca="1"/>
        <v>#NAME?</v>
      </c>
      <c r="AL4" s="1" t="e">
        <f t="shared" ca="1" si="8"/>
        <v>#NAME?</v>
      </c>
    </row>
    <row r="5" spans="1:42" x14ac:dyDescent="0.25">
      <c r="A5" s="1" t="s">
        <v>20</v>
      </c>
      <c r="B5" s="1">
        <v>4</v>
      </c>
      <c r="C5" s="1">
        <v>17767.853905361499</v>
      </c>
      <c r="D5" s="1">
        <f t="shared" si="9"/>
        <v>4.2496349746063684</v>
      </c>
      <c r="E5" s="1">
        <v>11089.748872370499</v>
      </c>
      <c r="F5" s="1">
        <f t="shared" si="10"/>
        <v>4.0449217116515399</v>
      </c>
      <c r="G5" s="1">
        <v>1724.2320856613901</v>
      </c>
      <c r="H5" s="1">
        <f t="shared" si="11"/>
        <v>3.2365957224737545</v>
      </c>
      <c r="I5" s="1">
        <v>6088.0567413292001</v>
      </c>
      <c r="J5" s="1">
        <f t="shared" si="12"/>
        <v>0.34264446194552017</v>
      </c>
      <c r="K5" s="1">
        <f t="shared" si="13"/>
        <v>3.7844786914516315</v>
      </c>
      <c r="L5" s="1">
        <v>632.79108224965501</v>
      </c>
      <c r="M5" s="1">
        <f t="shared" si="14"/>
        <v>2.8012603501402906</v>
      </c>
      <c r="N5" s="1">
        <v>709.42044511836696</v>
      </c>
      <c r="O5" s="1">
        <f t="shared" si="15"/>
        <v>2.850903700451318</v>
      </c>
      <c r="P5" s="1">
        <v>-76.629362868711397</v>
      </c>
      <c r="Q5" s="1" t="e">
        <f ca="1"/>
        <v>#NAME?</v>
      </c>
      <c r="R5" s="1" t="e">
        <f t="shared" ca="1" si="0"/>
        <v>#NAME?</v>
      </c>
      <c r="T5" s="1">
        <v>53948.333333333299</v>
      </c>
      <c r="U5" s="1" t="e">
        <f ca="1"/>
        <v>#NAME?</v>
      </c>
      <c r="V5" s="1" t="e">
        <f t="shared" ca="1" si="1"/>
        <v>#NAME?</v>
      </c>
      <c r="W5" s="1" t="e">
        <f ca="1"/>
        <v>#NAME?</v>
      </c>
      <c r="X5" s="1" t="e">
        <f t="shared" ca="1" si="2"/>
        <v>#NAME?</v>
      </c>
      <c r="Y5" s="1" t="e">
        <f ca="1"/>
        <v>#NAME?</v>
      </c>
      <c r="Z5" s="1" t="e">
        <f t="shared" ca="1" si="3"/>
        <v>#NAME?</v>
      </c>
      <c r="AA5" s="1" t="e">
        <f ca="1"/>
        <v>#NAME?</v>
      </c>
      <c r="AB5" s="1" t="e">
        <f t="shared" ca="1" si="4"/>
        <v>#NAME?</v>
      </c>
      <c r="AC5" s="1" t="e">
        <f ca="1"/>
        <v>#NAME?</v>
      </c>
      <c r="AD5" s="1" t="e">
        <f t="shared" ca="1" si="5"/>
        <v>#NAME?</v>
      </c>
      <c r="AE5" s="1" t="e">
        <f ca="1"/>
        <v>#NAME?</v>
      </c>
      <c r="AF5" s="1" t="e">
        <f t="shared" ca="1" si="6"/>
        <v>#NAME?</v>
      </c>
      <c r="AG5" s="1" t="e">
        <f ca="1"/>
        <v>#NAME?</v>
      </c>
      <c r="AH5" s="1" t="e">
        <f t="shared" ca="1" si="7"/>
        <v>#NAME?</v>
      </c>
      <c r="AI5" s="1" t="e">
        <f ca="1"/>
        <v>#NAME?</v>
      </c>
      <c r="AJ5" s="1" t="e">
        <f t="shared" ca="1" si="16"/>
        <v>#NAME?</v>
      </c>
      <c r="AK5" s="1" t="e">
        <f ca="1"/>
        <v>#NAME?</v>
      </c>
      <c r="AL5" s="1" t="e">
        <f t="shared" ca="1" si="8"/>
        <v>#NAME?</v>
      </c>
    </row>
    <row r="6" spans="1:42" x14ac:dyDescent="0.25">
      <c r="A6" s="1" t="s">
        <v>21</v>
      </c>
      <c r="B6" s="1">
        <v>5</v>
      </c>
      <c r="C6" s="1">
        <v>17827.534851123</v>
      </c>
      <c r="D6" s="1">
        <f t="shared" si="9"/>
        <v>4.2510912941248229</v>
      </c>
      <c r="E6" s="1">
        <v>11048.2987833591</v>
      </c>
      <c r="F6" s="1">
        <f t="shared" si="10"/>
        <v>4.0432954105207513</v>
      </c>
      <c r="G6" s="1">
        <v>1763.0233143883399</v>
      </c>
      <c r="H6" s="1">
        <f t="shared" si="11"/>
        <v>3.2462580554889167</v>
      </c>
      <c r="I6" s="1">
        <v>6157.64863059452</v>
      </c>
      <c r="J6" s="1">
        <f t="shared" si="12"/>
        <v>0.34540101489167102</v>
      </c>
      <c r="K6" s="1">
        <f t="shared" si="13"/>
        <v>3.789414903445449</v>
      </c>
      <c r="L6" s="1">
        <v>626.32368562261104</v>
      </c>
      <c r="M6" s="1">
        <f t="shared" si="14"/>
        <v>2.7967988356845357</v>
      </c>
      <c r="N6" s="1">
        <v>703.60940460155302</v>
      </c>
      <c r="O6" s="1">
        <f t="shared" si="15"/>
        <v>2.8473316357019423</v>
      </c>
      <c r="P6" s="1">
        <v>-77.285718978941404</v>
      </c>
      <c r="Q6" s="1" t="e">
        <f ca="1"/>
        <v>#NAME?</v>
      </c>
      <c r="R6" s="1" t="e">
        <f t="shared" ca="1" si="0"/>
        <v>#NAME?</v>
      </c>
      <c r="T6" s="1">
        <v>53633</v>
      </c>
      <c r="U6" s="1" t="e">
        <f ca="1"/>
        <v>#NAME?</v>
      </c>
      <c r="V6" s="1" t="e">
        <f t="shared" ca="1" si="1"/>
        <v>#NAME?</v>
      </c>
      <c r="W6" s="1" t="e">
        <f ca="1"/>
        <v>#NAME?</v>
      </c>
      <c r="X6" s="1" t="e">
        <f t="shared" ca="1" si="2"/>
        <v>#NAME?</v>
      </c>
      <c r="Y6" s="1" t="e">
        <f ca="1"/>
        <v>#NAME?</v>
      </c>
      <c r="Z6" s="1" t="e">
        <f t="shared" ca="1" si="3"/>
        <v>#NAME?</v>
      </c>
      <c r="AA6" s="1" t="e">
        <f ca="1"/>
        <v>#NAME?</v>
      </c>
      <c r="AB6" s="1" t="e">
        <f t="shared" ca="1" si="4"/>
        <v>#NAME?</v>
      </c>
      <c r="AC6" s="1" t="e">
        <f ca="1"/>
        <v>#NAME?</v>
      </c>
      <c r="AD6" s="1" t="e">
        <f t="shared" ca="1" si="5"/>
        <v>#NAME?</v>
      </c>
      <c r="AE6" s="1" t="e">
        <f ca="1"/>
        <v>#NAME?</v>
      </c>
      <c r="AF6" s="1" t="e">
        <f t="shared" ca="1" si="6"/>
        <v>#NAME?</v>
      </c>
      <c r="AG6" s="1" t="e">
        <f ca="1"/>
        <v>#NAME?</v>
      </c>
      <c r="AH6" s="1" t="e">
        <f t="shared" ca="1" si="7"/>
        <v>#NAME?</v>
      </c>
      <c r="AI6" s="1" t="e">
        <f ca="1"/>
        <v>#NAME?</v>
      </c>
      <c r="AJ6" s="1" t="e">
        <f t="shared" ca="1" si="16"/>
        <v>#NAME?</v>
      </c>
      <c r="AK6" s="1" t="e">
        <f ca="1"/>
        <v>#NAME?</v>
      </c>
      <c r="AL6" s="1" t="e">
        <f t="shared" ca="1" si="8"/>
        <v>#NAME?</v>
      </c>
    </row>
    <row r="7" spans="1:42" x14ac:dyDescent="0.25">
      <c r="A7" s="1" t="s">
        <v>22</v>
      </c>
      <c r="B7" s="1">
        <v>6</v>
      </c>
      <c r="C7" s="1">
        <v>18060.626060206101</v>
      </c>
      <c r="D7" s="1">
        <f t="shared" si="9"/>
        <v>4.2567328007825962</v>
      </c>
      <c r="E7" s="1">
        <v>11169.720241958799</v>
      </c>
      <c r="F7" s="1">
        <f t="shared" si="10"/>
        <v>4.0480422958644837</v>
      </c>
      <c r="G7" s="1">
        <v>1879.3205954062701</v>
      </c>
      <c r="H7" s="1">
        <f t="shared" si="11"/>
        <v>3.2740008732028407</v>
      </c>
      <c r="I7" s="1">
        <v>6149.3915576233903</v>
      </c>
      <c r="J7" s="1">
        <f t="shared" si="12"/>
        <v>0.34048606826386041</v>
      </c>
      <c r="K7" s="1">
        <f t="shared" si="13"/>
        <v>3.7888321472812931</v>
      </c>
      <c r="L7" s="1">
        <v>594.88264780158897</v>
      </c>
      <c r="M7" s="1">
        <f t="shared" si="14"/>
        <v>2.7744313011254587</v>
      </c>
      <c r="N7" s="1">
        <v>709.474901411063</v>
      </c>
      <c r="O7" s="1">
        <f t="shared" si="15"/>
        <v>2.8509370363382702</v>
      </c>
      <c r="P7" s="1">
        <v>-114.592253609473</v>
      </c>
      <c r="Q7" s="1" t="e">
        <f ca="1"/>
        <v>#NAME?</v>
      </c>
      <c r="R7" s="1" t="e">
        <f t="shared" ca="1" si="0"/>
        <v>#NAME?</v>
      </c>
      <c r="T7" s="1">
        <v>53796.666666666701</v>
      </c>
      <c r="U7" s="1" t="e">
        <f ca="1"/>
        <v>#NAME?</v>
      </c>
      <c r="V7" s="1" t="e">
        <f t="shared" ca="1" si="1"/>
        <v>#NAME?</v>
      </c>
      <c r="W7" s="1" t="e">
        <f ca="1"/>
        <v>#NAME?</v>
      </c>
      <c r="X7" s="1" t="e">
        <f t="shared" ca="1" si="2"/>
        <v>#NAME?</v>
      </c>
      <c r="Y7" s="1" t="e">
        <f ca="1"/>
        <v>#NAME?</v>
      </c>
      <c r="Z7" s="1" t="e">
        <f t="shared" ca="1" si="3"/>
        <v>#NAME?</v>
      </c>
      <c r="AA7" s="1" t="e">
        <f ca="1"/>
        <v>#NAME?</v>
      </c>
      <c r="AB7" s="1" t="e">
        <f t="shared" ca="1" si="4"/>
        <v>#NAME?</v>
      </c>
      <c r="AC7" s="1" t="e">
        <f ca="1"/>
        <v>#NAME?</v>
      </c>
      <c r="AD7" s="1" t="e">
        <f t="shared" ca="1" si="5"/>
        <v>#NAME?</v>
      </c>
      <c r="AE7" s="1" t="e">
        <f ca="1"/>
        <v>#NAME?</v>
      </c>
      <c r="AF7" s="1" t="e">
        <f t="shared" ca="1" si="6"/>
        <v>#NAME?</v>
      </c>
      <c r="AG7" s="1" t="e">
        <f ca="1"/>
        <v>#NAME?</v>
      </c>
      <c r="AH7" s="1" t="e">
        <f t="shared" ca="1" si="7"/>
        <v>#NAME?</v>
      </c>
      <c r="AI7" s="1" t="e">
        <f ca="1"/>
        <v>#NAME?</v>
      </c>
      <c r="AJ7" s="1" t="e">
        <f t="shared" ca="1" si="16"/>
        <v>#NAME?</v>
      </c>
      <c r="AK7" s="1" t="e">
        <f ca="1"/>
        <v>#NAME?</v>
      </c>
      <c r="AL7" s="1" t="e">
        <f t="shared" ca="1" si="8"/>
        <v>#NAME?</v>
      </c>
    </row>
    <row r="8" spans="1:42" x14ac:dyDescent="0.25">
      <c r="A8" s="1" t="s">
        <v>23</v>
      </c>
      <c r="B8" s="1">
        <v>7</v>
      </c>
      <c r="C8" s="1">
        <v>18330.727907747299</v>
      </c>
      <c r="D8" s="1">
        <f t="shared" si="9"/>
        <v>4.2631797110092036</v>
      </c>
      <c r="E8" s="1">
        <v>11177.340945014501</v>
      </c>
      <c r="F8" s="1">
        <f t="shared" si="10"/>
        <v>4.0483384985182393</v>
      </c>
      <c r="G8" s="1">
        <v>2016.9959207617501</v>
      </c>
      <c r="H8" s="1">
        <f t="shared" si="11"/>
        <v>3.3047050198823471</v>
      </c>
      <c r="I8" s="1">
        <v>6254.6020434213497</v>
      </c>
      <c r="J8" s="1">
        <f t="shared" si="12"/>
        <v>0.34120860202053976</v>
      </c>
      <c r="K8" s="1">
        <f t="shared" si="13"/>
        <v>3.7961996823996551</v>
      </c>
      <c r="L8" s="1">
        <v>619.18056739977101</v>
      </c>
      <c r="M8" s="1">
        <f t="shared" si="14"/>
        <v>2.7918173178242531</v>
      </c>
      <c r="N8" s="1">
        <v>753.31743643503899</v>
      </c>
      <c r="O8" s="1">
        <f t="shared" si="15"/>
        <v>2.8769780198152781</v>
      </c>
      <c r="P8" s="1">
        <v>-134.13686903526801</v>
      </c>
      <c r="Q8" s="1" t="e">
        <f ca="1"/>
        <v>#NAME?</v>
      </c>
      <c r="R8" s="1" t="e">
        <f t="shared" ca="1" si="0"/>
        <v>#NAME?</v>
      </c>
      <c r="T8" s="1">
        <v>54269.666666666701</v>
      </c>
      <c r="U8" s="1" t="e">
        <f ca="1"/>
        <v>#NAME?</v>
      </c>
      <c r="V8" s="1" t="e">
        <f t="shared" ca="1" si="1"/>
        <v>#NAME?</v>
      </c>
      <c r="W8" s="1" t="e">
        <f ca="1"/>
        <v>#NAME?</v>
      </c>
      <c r="X8" s="1" t="e">
        <f t="shared" ca="1" si="2"/>
        <v>#NAME?</v>
      </c>
      <c r="Y8" s="1" t="e">
        <f ca="1"/>
        <v>#NAME?</v>
      </c>
      <c r="Z8" s="1" t="e">
        <f t="shared" ca="1" si="3"/>
        <v>#NAME?</v>
      </c>
      <c r="AA8" s="1" t="e">
        <f ca="1"/>
        <v>#NAME?</v>
      </c>
      <c r="AB8" s="1" t="e">
        <f t="shared" ca="1" si="4"/>
        <v>#NAME?</v>
      </c>
      <c r="AC8" s="1" t="e">
        <f ca="1"/>
        <v>#NAME?</v>
      </c>
      <c r="AD8" s="1" t="e">
        <f t="shared" ca="1" si="5"/>
        <v>#NAME?</v>
      </c>
      <c r="AE8" s="1" t="e">
        <f ca="1"/>
        <v>#NAME?</v>
      </c>
      <c r="AF8" s="1" t="e">
        <f t="shared" ca="1" si="6"/>
        <v>#NAME?</v>
      </c>
      <c r="AG8" s="1" t="e">
        <f ca="1"/>
        <v>#NAME?</v>
      </c>
      <c r="AH8" s="1" t="e">
        <f t="shared" ca="1" si="7"/>
        <v>#NAME?</v>
      </c>
      <c r="AI8" s="1" t="e">
        <f ca="1"/>
        <v>#NAME?</v>
      </c>
      <c r="AJ8" s="1" t="e">
        <f t="shared" ca="1" si="16"/>
        <v>#NAME?</v>
      </c>
      <c r="AK8" s="1" t="e">
        <f ca="1"/>
        <v>#NAME?</v>
      </c>
      <c r="AL8" s="1" t="e">
        <f t="shared" ca="1" si="8"/>
        <v>#NAME?</v>
      </c>
    </row>
    <row r="9" spans="1:42" x14ac:dyDescent="0.25">
      <c r="A9" s="1" t="s">
        <v>24</v>
      </c>
      <c r="B9" s="1">
        <v>8</v>
      </c>
      <c r="C9" s="1">
        <v>18610.252360812101</v>
      </c>
      <c r="D9" s="1">
        <f t="shared" si="9"/>
        <v>4.269752262338991</v>
      </c>
      <c r="E9" s="1">
        <v>11353.386264562399</v>
      </c>
      <c r="F9" s="1">
        <f t="shared" si="10"/>
        <v>4.0551254136591615</v>
      </c>
      <c r="G9" s="1">
        <v>2041.59680681904</v>
      </c>
      <c r="H9" s="1">
        <f t="shared" si="11"/>
        <v>3.309969977778747</v>
      </c>
      <c r="I9" s="1">
        <v>6364.3871623741197</v>
      </c>
      <c r="J9" s="1">
        <f t="shared" si="12"/>
        <v>0.34198285111789828</v>
      </c>
      <c r="K9" s="1">
        <f t="shared" si="13"/>
        <v>3.8037565910512727</v>
      </c>
      <c r="L9" s="1">
        <v>626.58604389542097</v>
      </c>
      <c r="M9" s="1">
        <f t="shared" si="14"/>
        <v>2.7969807175059374</v>
      </c>
      <c r="N9" s="1">
        <v>767.93189611344906</v>
      </c>
      <c r="O9" s="1">
        <f t="shared" si="15"/>
        <v>2.8853227064200433</v>
      </c>
      <c r="P9" s="1">
        <v>-141.345852218028</v>
      </c>
      <c r="Q9" s="1" t="e">
        <f ca="1"/>
        <v>#NAME?</v>
      </c>
      <c r="R9" s="1" t="e">
        <f t="shared" ca="1" si="0"/>
        <v>#NAME?</v>
      </c>
      <c r="T9" s="1">
        <v>54712</v>
      </c>
      <c r="U9" s="1" t="e">
        <f ca="1"/>
        <v>#NAME?</v>
      </c>
      <c r="V9" s="1" t="e">
        <f t="shared" ca="1" si="1"/>
        <v>#NAME?</v>
      </c>
      <c r="W9" s="1" t="e">
        <f ca="1"/>
        <v>#NAME?</v>
      </c>
      <c r="X9" s="1" t="e">
        <f t="shared" ca="1" si="2"/>
        <v>#NAME?</v>
      </c>
      <c r="Y9" s="1" t="e">
        <f ca="1"/>
        <v>#NAME?</v>
      </c>
      <c r="Z9" s="1" t="e">
        <f t="shared" ca="1" si="3"/>
        <v>#NAME?</v>
      </c>
      <c r="AA9" s="1" t="e">
        <f ca="1"/>
        <v>#NAME?</v>
      </c>
      <c r="AB9" s="1" t="e">
        <f t="shared" ca="1" si="4"/>
        <v>#NAME?</v>
      </c>
      <c r="AC9" s="1" t="e">
        <f ca="1"/>
        <v>#NAME?</v>
      </c>
      <c r="AD9" s="1" t="e">
        <f t="shared" ca="1" si="5"/>
        <v>#NAME?</v>
      </c>
      <c r="AE9" s="1" t="e">
        <f ca="1"/>
        <v>#NAME?</v>
      </c>
      <c r="AF9" s="1" t="e">
        <f t="shared" ca="1" si="6"/>
        <v>#NAME?</v>
      </c>
      <c r="AG9" s="1" t="e">
        <f ca="1"/>
        <v>#NAME?</v>
      </c>
      <c r="AH9" s="1" t="e">
        <f t="shared" ca="1" si="7"/>
        <v>#NAME?</v>
      </c>
      <c r="AI9" s="1" t="e">
        <f ca="1"/>
        <v>#NAME?</v>
      </c>
      <c r="AJ9" s="1" t="e">
        <f t="shared" ca="1" si="16"/>
        <v>#NAME?</v>
      </c>
      <c r="AK9" s="1" t="e">
        <f ca="1"/>
        <v>#NAME?</v>
      </c>
      <c r="AL9" s="1" t="e">
        <f t="shared" ca="1" si="8"/>
        <v>#NAME?</v>
      </c>
    </row>
    <row r="10" spans="1:42" x14ac:dyDescent="0.25">
      <c r="A10" s="1" t="s">
        <v>25</v>
      </c>
      <c r="B10" s="1">
        <v>9</v>
      </c>
      <c r="C10" s="1">
        <v>18874.9198342253</v>
      </c>
      <c r="D10" s="1">
        <f t="shared" si="9"/>
        <v>4.2758851157646687</v>
      </c>
      <c r="E10" s="1">
        <v>11432.900572882099</v>
      </c>
      <c r="F10" s="1">
        <f t="shared" si="10"/>
        <v>4.0581564266321761</v>
      </c>
      <c r="G10" s="1">
        <v>2144.0289297397499</v>
      </c>
      <c r="H10" s="1">
        <f t="shared" si="11"/>
        <v>3.3312306410681072</v>
      </c>
      <c r="I10" s="1">
        <v>6464.1638777060998</v>
      </c>
      <c r="J10" s="1">
        <f t="shared" si="12"/>
        <v>0.34247371297359547</v>
      </c>
      <c r="K10" s="1">
        <f t="shared" si="13"/>
        <v>3.8105123580204441</v>
      </c>
      <c r="L10" s="1">
        <v>620.68519506556095</v>
      </c>
      <c r="M10" s="1">
        <f t="shared" si="14"/>
        <v>2.792871386471246</v>
      </c>
      <c r="N10" s="1">
        <v>788.49708708563105</v>
      </c>
      <c r="O10" s="1">
        <f t="shared" si="15"/>
        <v>2.8968000932705356</v>
      </c>
      <c r="P10" s="1">
        <v>-167.81189202006999</v>
      </c>
      <c r="Q10" s="1" t="e">
        <f ca="1"/>
        <v>#NAME?</v>
      </c>
      <c r="R10" s="1" t="e">
        <f t="shared" ca="1" si="0"/>
        <v>#NAME?</v>
      </c>
      <c r="T10" s="1">
        <v>55118</v>
      </c>
      <c r="U10" s="1" t="e">
        <f ca="1"/>
        <v>#NAME?</v>
      </c>
      <c r="V10" s="1" t="e">
        <f t="shared" ca="1" si="1"/>
        <v>#NAME?</v>
      </c>
      <c r="W10" s="1" t="e">
        <f ca="1"/>
        <v>#NAME?</v>
      </c>
      <c r="X10" s="1" t="e">
        <f t="shared" ca="1" si="2"/>
        <v>#NAME?</v>
      </c>
      <c r="Y10" s="1" t="e">
        <f ca="1"/>
        <v>#NAME?</v>
      </c>
      <c r="Z10" s="1" t="e">
        <f t="shared" ca="1" si="3"/>
        <v>#NAME?</v>
      </c>
      <c r="AA10" s="1" t="e">
        <f ca="1"/>
        <v>#NAME?</v>
      </c>
      <c r="AB10" s="1" t="e">
        <f t="shared" ca="1" si="4"/>
        <v>#NAME?</v>
      </c>
      <c r="AC10" s="1" t="e">
        <f ca="1"/>
        <v>#NAME?</v>
      </c>
      <c r="AD10" s="1" t="e">
        <f t="shared" ca="1" si="5"/>
        <v>#NAME?</v>
      </c>
      <c r="AE10" s="1" t="e">
        <f ca="1"/>
        <v>#NAME?</v>
      </c>
      <c r="AF10" s="1" t="e">
        <f t="shared" ca="1" si="6"/>
        <v>#NAME?</v>
      </c>
      <c r="AG10" s="1" t="e">
        <f ca="1"/>
        <v>#NAME?</v>
      </c>
      <c r="AH10" s="1" t="e">
        <f t="shared" ca="1" si="7"/>
        <v>#NAME?</v>
      </c>
      <c r="AI10" s="1" t="e">
        <f ca="1"/>
        <v>#NAME?</v>
      </c>
      <c r="AJ10" s="1" t="e">
        <f t="shared" ca="1" si="16"/>
        <v>#NAME?</v>
      </c>
      <c r="AK10" s="1" t="e">
        <f ca="1"/>
        <v>#NAME?</v>
      </c>
      <c r="AL10" s="1" t="e">
        <f t="shared" ca="1" si="8"/>
        <v>#NAME?</v>
      </c>
    </row>
    <row r="11" spans="1:42" x14ac:dyDescent="0.25">
      <c r="A11" s="1" t="s">
        <v>26</v>
      </c>
      <c r="B11" s="1">
        <v>10</v>
      </c>
      <c r="C11" s="1">
        <v>18979.001412436999</v>
      </c>
      <c r="D11" s="1">
        <f t="shared" si="9"/>
        <v>4.2782733581188159</v>
      </c>
      <c r="E11" s="1">
        <v>11533.0526361015</v>
      </c>
      <c r="F11" s="1">
        <f t="shared" si="10"/>
        <v>4.0619442741243548</v>
      </c>
      <c r="G11" s="1">
        <v>2119.69731959206</v>
      </c>
      <c r="H11" s="1">
        <f t="shared" si="11"/>
        <v>3.3262738506382692</v>
      </c>
      <c r="I11" s="1">
        <v>6474.1384403044003</v>
      </c>
      <c r="J11" s="1">
        <f t="shared" si="12"/>
        <v>0.34112113169778663</v>
      </c>
      <c r="K11" s="1">
        <f t="shared" si="13"/>
        <v>3.8111819819398067</v>
      </c>
      <c r="L11" s="1">
        <v>654.06572396792797</v>
      </c>
      <c r="M11" s="1">
        <f t="shared" si="14"/>
        <v>2.8156213907133321</v>
      </c>
      <c r="N11" s="1">
        <v>802.88717152784898</v>
      </c>
      <c r="O11" s="1">
        <f t="shared" si="15"/>
        <v>2.9046545188456836</v>
      </c>
      <c r="P11" s="1">
        <v>-148.82144755992101</v>
      </c>
      <c r="Q11" s="1" t="e">
        <f ca="1"/>
        <v>#NAME?</v>
      </c>
      <c r="R11" s="1" t="e">
        <f t="shared" ca="1" si="0"/>
        <v>#NAME?</v>
      </c>
      <c r="T11" s="1">
        <v>55624.666666666701</v>
      </c>
      <c r="U11" s="1" t="e">
        <f ca="1"/>
        <v>#NAME?</v>
      </c>
      <c r="V11" s="1" t="e">
        <f t="shared" ca="1" si="1"/>
        <v>#NAME?</v>
      </c>
      <c r="W11" s="1" t="e">
        <f ca="1"/>
        <v>#NAME?</v>
      </c>
      <c r="X11" s="1" t="e">
        <f t="shared" ca="1" si="2"/>
        <v>#NAME?</v>
      </c>
      <c r="Y11" s="1" t="e">
        <f ca="1"/>
        <v>#NAME?</v>
      </c>
      <c r="Z11" s="1" t="e">
        <f t="shared" ca="1" si="3"/>
        <v>#NAME?</v>
      </c>
      <c r="AA11" s="1" t="e">
        <f ca="1"/>
        <v>#NAME?</v>
      </c>
      <c r="AB11" s="1" t="e">
        <f t="shared" ca="1" si="4"/>
        <v>#NAME?</v>
      </c>
      <c r="AC11" s="1" t="e">
        <f ca="1"/>
        <v>#NAME?</v>
      </c>
      <c r="AD11" s="1" t="e">
        <f t="shared" ca="1" si="5"/>
        <v>#NAME?</v>
      </c>
      <c r="AE11" s="1" t="e">
        <f ca="1"/>
        <v>#NAME?</v>
      </c>
      <c r="AF11" s="1" t="e">
        <f t="shared" ca="1" si="6"/>
        <v>#NAME?</v>
      </c>
      <c r="AG11" s="1" t="e">
        <f ca="1"/>
        <v>#NAME?</v>
      </c>
      <c r="AH11" s="1" t="e">
        <f t="shared" ca="1" si="7"/>
        <v>#NAME?</v>
      </c>
      <c r="AI11" s="1" t="e">
        <f ca="1"/>
        <v>#NAME?</v>
      </c>
      <c r="AJ11" s="1" t="e">
        <f t="shared" ca="1" si="16"/>
        <v>#NAME?</v>
      </c>
      <c r="AK11" s="1" t="e">
        <f ca="1"/>
        <v>#NAME?</v>
      </c>
      <c r="AL11" s="1" t="e">
        <f t="shared" ca="1" si="8"/>
        <v>#NAME?</v>
      </c>
    </row>
    <row r="12" spans="1:42" x14ac:dyDescent="0.25">
      <c r="A12" s="1" t="s">
        <v>27</v>
      </c>
      <c r="B12" s="1">
        <v>11</v>
      </c>
      <c r="C12" s="1">
        <v>19137.8513422424</v>
      </c>
      <c r="D12" s="1">
        <f t="shared" si="9"/>
        <v>4.2818931767747168</v>
      </c>
      <c r="E12" s="1">
        <v>11581.0320661652</v>
      </c>
      <c r="F12" s="1">
        <f t="shared" si="10"/>
        <v>4.0637472641123056</v>
      </c>
      <c r="G12" s="1">
        <v>2147.37917678654</v>
      </c>
      <c r="H12" s="1">
        <f t="shared" si="11"/>
        <v>3.3319087374247851</v>
      </c>
      <c r="I12" s="1">
        <v>6597.9692498635804</v>
      </c>
      <c r="J12" s="1">
        <f t="shared" si="12"/>
        <v>0.34476018921205026</v>
      </c>
      <c r="K12" s="1">
        <f t="shared" si="13"/>
        <v>3.8194102871648141</v>
      </c>
      <c r="L12" s="1">
        <v>650.39641355402705</v>
      </c>
      <c r="M12" s="1">
        <f t="shared" si="14"/>
        <v>2.8131781377859038</v>
      </c>
      <c r="N12" s="1">
        <v>809.91943335865506</v>
      </c>
      <c r="O12" s="1">
        <f t="shared" si="15"/>
        <v>2.9084418196342061</v>
      </c>
      <c r="P12" s="1">
        <v>-159.523019804629</v>
      </c>
      <c r="Q12" s="1" t="e">
        <f ca="1"/>
        <v>#NAME?</v>
      </c>
      <c r="R12" s="1" t="e">
        <f t="shared" ca="1" si="0"/>
        <v>#NAME?</v>
      </c>
      <c r="T12" s="1">
        <v>55854</v>
      </c>
      <c r="U12" s="1" t="e">
        <f ca="1"/>
        <v>#NAME?</v>
      </c>
      <c r="V12" s="1" t="e">
        <f t="shared" ca="1" si="1"/>
        <v>#NAME?</v>
      </c>
      <c r="W12" s="1" t="e">
        <f ca="1"/>
        <v>#NAME?</v>
      </c>
      <c r="X12" s="1" t="e">
        <f t="shared" ca="1" si="2"/>
        <v>#NAME?</v>
      </c>
      <c r="Y12" s="1" t="e">
        <f ca="1"/>
        <v>#NAME?</v>
      </c>
      <c r="Z12" s="1" t="e">
        <f t="shared" ca="1" si="3"/>
        <v>#NAME?</v>
      </c>
      <c r="AA12" s="1" t="e">
        <f ca="1"/>
        <v>#NAME?</v>
      </c>
      <c r="AB12" s="1" t="e">
        <f t="shared" ca="1" si="4"/>
        <v>#NAME?</v>
      </c>
      <c r="AC12" s="1" t="e">
        <f ca="1"/>
        <v>#NAME?</v>
      </c>
      <c r="AD12" s="1" t="e">
        <f t="shared" ca="1" si="5"/>
        <v>#NAME?</v>
      </c>
      <c r="AE12" s="1" t="e">
        <f ca="1"/>
        <v>#NAME?</v>
      </c>
      <c r="AF12" s="1" t="e">
        <f t="shared" ca="1" si="6"/>
        <v>#NAME?</v>
      </c>
      <c r="AG12" s="1" t="e">
        <f ca="1"/>
        <v>#NAME?</v>
      </c>
      <c r="AH12" s="1" t="e">
        <f t="shared" ca="1" si="7"/>
        <v>#NAME?</v>
      </c>
      <c r="AI12" s="1" t="e">
        <f ca="1"/>
        <v>#NAME?</v>
      </c>
      <c r="AJ12" s="1" t="e">
        <f t="shared" ca="1" si="16"/>
        <v>#NAME?</v>
      </c>
      <c r="AK12" s="1" t="e">
        <f ca="1"/>
        <v>#NAME?</v>
      </c>
      <c r="AL12" s="1" t="e">
        <f t="shared" ca="1" si="8"/>
        <v>#NAME?</v>
      </c>
    </row>
    <row r="13" spans="1:42" x14ac:dyDescent="0.25">
      <c r="A13" s="1" t="s">
        <v>28</v>
      </c>
      <c r="B13" s="1">
        <v>12</v>
      </c>
      <c r="C13" s="1">
        <v>19123.6572890026</v>
      </c>
      <c r="D13" s="1">
        <f t="shared" si="9"/>
        <v>4.2815709521943912</v>
      </c>
      <c r="E13" s="1">
        <v>11697.7141943734</v>
      </c>
      <c r="F13" s="1">
        <f t="shared" si="10"/>
        <v>4.0681010062115357</v>
      </c>
      <c r="G13" s="1">
        <v>2076.1775362318799</v>
      </c>
      <c r="H13" s="1">
        <f t="shared" si="11"/>
        <v>3.3172644877646515</v>
      </c>
      <c r="I13" s="1">
        <v>6616.8531543052004</v>
      </c>
      <c r="J13" s="1">
        <f t="shared" si="12"/>
        <v>0.34600354180736859</v>
      </c>
      <c r="K13" s="1">
        <f t="shared" si="13"/>
        <v>3.8206514965927267</v>
      </c>
      <c r="L13" s="1">
        <v>626.832907075874</v>
      </c>
      <c r="M13" s="1">
        <f t="shared" si="14"/>
        <v>2.7971517877109298</v>
      </c>
      <c r="N13" s="1">
        <v>816.52813299232696</v>
      </c>
      <c r="O13" s="1">
        <f t="shared" si="15"/>
        <v>2.9119711526891505</v>
      </c>
      <c r="P13" s="1">
        <v>-189.69522591645401</v>
      </c>
      <c r="Q13" s="1" t="e">
        <f ca="1"/>
        <v>#NAME?</v>
      </c>
      <c r="R13" s="1" t="e">
        <f t="shared" ca="1" si="0"/>
        <v>#NAME?</v>
      </c>
      <c r="T13" s="1">
        <v>56041.666666666701</v>
      </c>
      <c r="U13" s="1" t="e">
        <f ca="1"/>
        <v>#NAME?</v>
      </c>
      <c r="V13" s="1" t="e">
        <f t="shared" ca="1" si="1"/>
        <v>#NAME?</v>
      </c>
      <c r="W13" s="1" t="e">
        <f ca="1"/>
        <v>#NAME?</v>
      </c>
      <c r="X13" s="1" t="e">
        <f t="shared" ca="1" si="2"/>
        <v>#NAME?</v>
      </c>
      <c r="Y13" s="1" t="e">
        <f ca="1"/>
        <v>#NAME?</v>
      </c>
      <c r="Z13" s="1" t="e">
        <f t="shared" ca="1" si="3"/>
        <v>#NAME?</v>
      </c>
      <c r="AA13" s="1" t="e">
        <f ca="1"/>
        <v>#NAME?</v>
      </c>
      <c r="AB13" s="1" t="e">
        <f t="shared" ca="1" si="4"/>
        <v>#NAME?</v>
      </c>
      <c r="AC13" s="1" t="e">
        <f ca="1"/>
        <v>#NAME?</v>
      </c>
      <c r="AD13" s="1" t="e">
        <f t="shared" ca="1" si="5"/>
        <v>#NAME?</v>
      </c>
      <c r="AE13" s="1" t="e">
        <f ca="1"/>
        <v>#NAME?</v>
      </c>
      <c r="AF13" s="1" t="e">
        <f t="shared" ca="1" si="6"/>
        <v>#NAME?</v>
      </c>
      <c r="AG13" s="1" t="e">
        <f ca="1"/>
        <v>#NAME?</v>
      </c>
      <c r="AH13" s="1" t="e">
        <f t="shared" ca="1" si="7"/>
        <v>#NAME?</v>
      </c>
      <c r="AI13" s="1" t="e">
        <f ca="1"/>
        <v>#NAME?</v>
      </c>
      <c r="AJ13" s="1" t="e">
        <f t="shared" ca="1" si="16"/>
        <v>#NAME?</v>
      </c>
      <c r="AK13" s="1" t="e">
        <f ca="1"/>
        <v>#NAME?</v>
      </c>
      <c r="AL13" s="1" t="e">
        <f t="shared" ca="1" si="8"/>
        <v>#NAME?</v>
      </c>
    </row>
    <row r="14" spans="1:42" x14ac:dyDescent="0.25">
      <c r="A14" s="1" t="s">
        <v>29</v>
      </c>
      <c r="B14" s="1">
        <v>13</v>
      </c>
      <c r="C14" s="1">
        <v>19268.8543221154</v>
      </c>
      <c r="D14" s="1">
        <f t="shared" si="9"/>
        <v>4.2848558933594019</v>
      </c>
      <c r="E14" s="1">
        <v>11740.9279921826</v>
      </c>
      <c r="F14" s="1">
        <f t="shared" si="10"/>
        <v>4.0697024245058451</v>
      </c>
      <c r="G14" s="1">
        <v>2178.2271812383501</v>
      </c>
      <c r="H14" s="1">
        <f t="shared" si="11"/>
        <v>3.3381031731299959</v>
      </c>
      <c r="I14" s="1">
        <v>6505.6373108726002</v>
      </c>
      <c r="J14" s="1">
        <f t="shared" si="12"/>
        <v>0.33762450024887569</v>
      </c>
      <c r="K14" s="1">
        <f t="shared" si="13"/>
        <v>3.8132898477135426</v>
      </c>
      <c r="L14" s="1">
        <v>634.25721857258895</v>
      </c>
      <c r="M14" s="1">
        <f t="shared" si="14"/>
        <v>2.802265418689831</v>
      </c>
      <c r="N14" s="1">
        <v>795.00687735994404</v>
      </c>
      <c r="O14" s="1">
        <f t="shared" si="15"/>
        <v>2.9003708856206902</v>
      </c>
      <c r="P14" s="1">
        <v>-160.74965878735401</v>
      </c>
      <c r="Q14" s="1" t="e">
        <f ca="1"/>
        <v>#NAME?</v>
      </c>
      <c r="R14" s="1" t="e">
        <f t="shared" ca="1" si="0"/>
        <v>#NAME?</v>
      </c>
      <c r="T14" s="1">
        <v>56221.666666666701</v>
      </c>
      <c r="U14" s="1" t="e">
        <f ca="1"/>
        <v>#NAME?</v>
      </c>
      <c r="V14" s="1" t="e">
        <f t="shared" ca="1" si="1"/>
        <v>#NAME?</v>
      </c>
      <c r="W14" s="1" t="e">
        <f ca="1"/>
        <v>#NAME?</v>
      </c>
      <c r="X14" s="1" t="e">
        <f t="shared" ca="1" si="2"/>
        <v>#NAME?</v>
      </c>
      <c r="Y14" s="1" t="e">
        <f ca="1"/>
        <v>#NAME?</v>
      </c>
      <c r="Z14" s="1" t="e">
        <f t="shared" ca="1" si="3"/>
        <v>#NAME?</v>
      </c>
      <c r="AA14" s="1" t="e">
        <f ca="1"/>
        <v>#NAME?</v>
      </c>
      <c r="AB14" s="1" t="e">
        <f t="shared" ca="1" si="4"/>
        <v>#NAME?</v>
      </c>
      <c r="AC14" s="1" t="e">
        <f ca="1"/>
        <v>#NAME?</v>
      </c>
      <c r="AD14" s="1" t="e">
        <f t="shared" ca="1" si="5"/>
        <v>#NAME?</v>
      </c>
      <c r="AE14" s="1" t="e">
        <f ca="1"/>
        <v>#NAME?</v>
      </c>
      <c r="AF14" s="1" t="e">
        <f t="shared" ca="1" si="6"/>
        <v>#NAME?</v>
      </c>
      <c r="AG14" s="1" t="e">
        <f ca="1"/>
        <v>#NAME?</v>
      </c>
      <c r="AH14" s="1" t="e">
        <f t="shared" ca="1" si="7"/>
        <v>#NAME?</v>
      </c>
      <c r="AI14" s="1" t="e">
        <f ca="1"/>
        <v>#NAME?</v>
      </c>
      <c r="AJ14" s="1" t="e">
        <f t="shared" ca="1" si="16"/>
        <v>#NAME?</v>
      </c>
      <c r="AK14" s="1" t="e">
        <f ca="1"/>
        <v>#NAME?</v>
      </c>
      <c r="AL14" s="1" t="e">
        <f t="shared" ca="1" si="8"/>
        <v>#NAME?</v>
      </c>
    </row>
    <row r="15" spans="1:42" x14ac:dyDescent="0.25">
      <c r="A15" s="1" t="s">
        <v>30</v>
      </c>
      <c r="B15" s="1">
        <v>14</v>
      </c>
      <c r="C15" s="1">
        <v>19422.464082665501</v>
      </c>
      <c r="D15" s="1">
        <f t="shared" si="9"/>
        <v>4.2883043269941687</v>
      </c>
      <c r="E15" s="1">
        <v>11813.637470488</v>
      </c>
      <c r="F15" s="1">
        <f t="shared" si="10"/>
        <v>4.0723836393690327</v>
      </c>
      <c r="G15" s="1">
        <v>2205.7690068076199</v>
      </c>
      <c r="H15" s="1">
        <f t="shared" si="11"/>
        <v>3.3435600301706061</v>
      </c>
      <c r="I15" s="1">
        <v>6489.4921283601398</v>
      </c>
      <c r="J15" s="1">
        <f t="shared" si="12"/>
        <v>0.33412300832374792</v>
      </c>
      <c r="K15" s="1">
        <f t="shared" si="13"/>
        <v>3.8122107099773661</v>
      </c>
      <c r="L15" s="1">
        <v>682.75756196203395</v>
      </c>
      <c r="M15" s="1">
        <f t="shared" si="14"/>
        <v>2.8342665189182474</v>
      </c>
      <c r="N15" s="1">
        <v>811.10711147343102</v>
      </c>
      <c r="O15" s="1">
        <f t="shared" si="15"/>
        <v>2.9090782091436362</v>
      </c>
      <c r="P15" s="1">
        <v>-128.34954951139699</v>
      </c>
      <c r="Q15" s="1" t="e">
        <f ca="1"/>
        <v>#NAME?</v>
      </c>
      <c r="R15" s="1" t="e">
        <f t="shared" ca="1" si="0"/>
        <v>#NAME?</v>
      </c>
      <c r="T15" s="1">
        <v>56618.333333333299</v>
      </c>
      <c r="U15" s="1" t="e">
        <f ca="1"/>
        <v>#NAME?</v>
      </c>
      <c r="V15" s="1" t="e">
        <f t="shared" ca="1" si="1"/>
        <v>#NAME?</v>
      </c>
      <c r="W15" s="1" t="e">
        <f ca="1"/>
        <v>#NAME?</v>
      </c>
      <c r="X15" s="1" t="e">
        <f t="shared" ca="1" si="2"/>
        <v>#NAME?</v>
      </c>
      <c r="Y15" s="1" t="e">
        <f ca="1"/>
        <v>#NAME?</v>
      </c>
      <c r="Z15" s="1" t="e">
        <f t="shared" ca="1" si="3"/>
        <v>#NAME?</v>
      </c>
      <c r="AA15" s="1" t="e">
        <f ca="1"/>
        <v>#NAME?</v>
      </c>
      <c r="AB15" s="1" t="e">
        <f t="shared" ca="1" si="4"/>
        <v>#NAME?</v>
      </c>
      <c r="AC15" s="1" t="e">
        <f ca="1"/>
        <v>#NAME?</v>
      </c>
      <c r="AD15" s="1" t="e">
        <f t="shared" ca="1" si="5"/>
        <v>#NAME?</v>
      </c>
      <c r="AE15" s="1" t="e">
        <f ca="1"/>
        <v>#NAME?</v>
      </c>
      <c r="AF15" s="1" t="e">
        <f t="shared" ca="1" si="6"/>
        <v>#NAME?</v>
      </c>
      <c r="AG15" s="1" t="e">
        <f ca="1"/>
        <v>#NAME?</v>
      </c>
      <c r="AH15" s="1" t="e">
        <f t="shared" ca="1" si="7"/>
        <v>#NAME?</v>
      </c>
      <c r="AI15" s="1" t="e">
        <f ca="1"/>
        <v>#NAME?</v>
      </c>
      <c r="AJ15" s="1" t="e">
        <f t="shared" ca="1" si="16"/>
        <v>#NAME?</v>
      </c>
      <c r="AK15" s="1" t="e">
        <f ca="1"/>
        <v>#NAME?</v>
      </c>
      <c r="AL15" s="1" t="e">
        <f t="shared" ca="1" si="8"/>
        <v>#NAME?</v>
      </c>
    </row>
    <row r="16" spans="1:42" x14ac:dyDescent="0.25">
      <c r="A16" s="1" t="s">
        <v>31</v>
      </c>
      <c r="B16" s="1">
        <v>15</v>
      </c>
      <c r="C16" s="1">
        <v>19773.565503530499</v>
      </c>
      <c r="D16" s="1">
        <f t="shared" si="9"/>
        <v>4.2960849869106301</v>
      </c>
      <c r="E16" s="1">
        <v>11928.1235662945</v>
      </c>
      <c r="F16" s="1">
        <f t="shared" si="10"/>
        <v>4.0765721294289996</v>
      </c>
      <c r="G16" s="1">
        <v>2264.9883194203499</v>
      </c>
      <c r="H16" s="1">
        <f t="shared" si="11"/>
        <v>3.355065966691293</v>
      </c>
      <c r="I16" s="1">
        <v>6751.5068738761101</v>
      </c>
      <c r="J16" s="1">
        <f t="shared" si="12"/>
        <v>0.34144104525158364</v>
      </c>
      <c r="K16" s="1">
        <f t="shared" si="13"/>
        <v>3.8294007141603372</v>
      </c>
      <c r="L16" s="1">
        <v>676.74061730413302</v>
      </c>
      <c r="M16" s="1">
        <f t="shared" si="14"/>
        <v>2.8304222431920256</v>
      </c>
      <c r="N16" s="1">
        <v>828.52487198822996</v>
      </c>
      <c r="O16" s="1">
        <f t="shared" si="15"/>
        <v>2.9183055502992401</v>
      </c>
      <c r="P16" s="1">
        <v>-151.78425468409699</v>
      </c>
      <c r="Q16" s="1" t="e">
        <f ca="1"/>
        <v>#NAME?</v>
      </c>
      <c r="R16" s="1" t="e">
        <f t="shared" ca="1" si="0"/>
        <v>#NAME?</v>
      </c>
      <c r="T16" s="1">
        <v>56927.333333333299</v>
      </c>
      <c r="U16" s="1" t="e">
        <f ca="1"/>
        <v>#NAME?</v>
      </c>
      <c r="V16" s="1" t="e">
        <f t="shared" ca="1" si="1"/>
        <v>#NAME?</v>
      </c>
      <c r="W16" s="1" t="e">
        <f ca="1"/>
        <v>#NAME?</v>
      </c>
      <c r="X16" s="1" t="e">
        <f t="shared" ca="1" si="2"/>
        <v>#NAME?</v>
      </c>
      <c r="Y16" s="1" t="e">
        <f ca="1"/>
        <v>#NAME?</v>
      </c>
      <c r="Z16" s="1" t="e">
        <f t="shared" ca="1" si="3"/>
        <v>#NAME?</v>
      </c>
      <c r="AA16" s="1" t="e">
        <f ca="1"/>
        <v>#NAME?</v>
      </c>
      <c r="AB16" s="1" t="e">
        <f t="shared" ca="1" si="4"/>
        <v>#NAME?</v>
      </c>
      <c r="AC16" s="1" t="e">
        <f ca="1"/>
        <v>#NAME?</v>
      </c>
      <c r="AD16" s="1" t="e">
        <f t="shared" ca="1" si="5"/>
        <v>#NAME?</v>
      </c>
      <c r="AE16" s="1" t="e">
        <f ca="1"/>
        <v>#NAME?</v>
      </c>
      <c r="AF16" s="1" t="e">
        <f t="shared" ca="1" si="6"/>
        <v>#NAME?</v>
      </c>
      <c r="AG16" s="1" t="e">
        <f ca="1"/>
        <v>#NAME?</v>
      </c>
      <c r="AH16" s="1" t="e">
        <f t="shared" ca="1" si="7"/>
        <v>#NAME?</v>
      </c>
      <c r="AI16" s="1" t="e">
        <f ca="1"/>
        <v>#NAME?</v>
      </c>
      <c r="AJ16" s="1" t="e">
        <f t="shared" ca="1" si="16"/>
        <v>#NAME?</v>
      </c>
      <c r="AK16" s="1" t="e">
        <f ca="1"/>
        <v>#NAME?</v>
      </c>
      <c r="AL16" s="1" t="e">
        <f t="shared" ca="1" si="8"/>
        <v>#NAME?</v>
      </c>
    </row>
    <row r="17" spans="1:38" x14ac:dyDescent="0.25">
      <c r="A17" s="1" t="s">
        <v>32</v>
      </c>
      <c r="B17" s="1">
        <v>16</v>
      </c>
      <c r="C17" s="1">
        <v>19826.7721499039</v>
      </c>
      <c r="D17" s="1">
        <f t="shared" si="9"/>
        <v>4.2972520156883913</v>
      </c>
      <c r="E17" s="1">
        <v>11981.3303075194</v>
      </c>
      <c r="F17" s="1">
        <f t="shared" si="10"/>
        <v>4.0785050411868236</v>
      </c>
      <c r="G17" s="1">
        <v>2283.6858196488802</v>
      </c>
      <c r="H17" s="1">
        <f t="shared" si="11"/>
        <v>3.3586363551875209</v>
      </c>
      <c r="I17" s="1">
        <v>6655.9765079164999</v>
      </c>
      <c r="J17" s="1">
        <f t="shared" si="12"/>
        <v>0.33570651125623396</v>
      </c>
      <c r="K17" s="1">
        <f t="shared" si="13"/>
        <v>3.8232117804551078</v>
      </c>
      <c r="L17" s="1">
        <v>700.49169477101498</v>
      </c>
      <c r="M17" s="1">
        <f t="shared" si="14"/>
        <v>2.8454029905332834</v>
      </c>
      <c r="N17" s="1">
        <v>822.63266828463702</v>
      </c>
      <c r="O17" s="1">
        <f t="shared" si="15"/>
        <v>2.9152059521632343</v>
      </c>
      <c r="P17" s="1">
        <v>-122.14097351362101</v>
      </c>
      <c r="Q17" s="1" t="e">
        <f ca="1"/>
        <v>#NAME?</v>
      </c>
      <c r="R17" s="1" t="e">
        <f t="shared" ca="1" si="0"/>
        <v>#NAME?</v>
      </c>
      <c r="T17" s="1">
        <v>57299.666666666701</v>
      </c>
      <c r="U17" s="1" t="e">
        <f ca="1"/>
        <v>#NAME?</v>
      </c>
      <c r="V17" s="1" t="e">
        <f t="shared" ca="1" si="1"/>
        <v>#NAME?</v>
      </c>
      <c r="W17" s="1" t="e">
        <f ca="1"/>
        <v>#NAME?</v>
      </c>
      <c r="X17" s="1" t="e">
        <f t="shared" ca="1" si="2"/>
        <v>#NAME?</v>
      </c>
      <c r="Y17" s="1" t="e">
        <f ca="1"/>
        <v>#NAME?</v>
      </c>
      <c r="Z17" s="1" t="e">
        <f t="shared" ca="1" si="3"/>
        <v>#NAME?</v>
      </c>
      <c r="AA17" s="1" t="e">
        <f ca="1"/>
        <v>#NAME?</v>
      </c>
      <c r="AB17" s="1" t="e">
        <f t="shared" ca="1" si="4"/>
        <v>#NAME?</v>
      </c>
      <c r="AC17" s="1" t="e">
        <f ca="1"/>
        <v>#NAME?</v>
      </c>
      <c r="AD17" s="1" t="e">
        <f t="shared" ca="1" si="5"/>
        <v>#NAME?</v>
      </c>
      <c r="AE17" s="1" t="e">
        <f ca="1"/>
        <v>#NAME?</v>
      </c>
      <c r="AF17" s="1" t="e">
        <f t="shared" ca="1" si="6"/>
        <v>#NAME?</v>
      </c>
      <c r="AG17" s="1" t="e">
        <f ca="1"/>
        <v>#NAME?</v>
      </c>
      <c r="AH17" s="1" t="e">
        <f t="shared" ca="1" si="7"/>
        <v>#NAME?</v>
      </c>
      <c r="AI17" s="1" t="e">
        <f ca="1"/>
        <v>#NAME?</v>
      </c>
      <c r="AJ17" s="1" t="e">
        <f t="shared" ca="1" si="16"/>
        <v>#NAME?</v>
      </c>
      <c r="AK17" s="1" t="e">
        <f ca="1"/>
        <v>#NAME?</v>
      </c>
      <c r="AL17" s="1" t="e">
        <f t="shared" ca="1" si="8"/>
        <v>#NAME?</v>
      </c>
    </row>
    <row r="18" spans="1:38" x14ac:dyDescent="0.25">
      <c r="A18" s="1" t="s">
        <v>33</v>
      </c>
      <c r="B18" s="1">
        <v>17</v>
      </c>
      <c r="C18" s="1">
        <v>20182.007184976501</v>
      </c>
      <c r="D18" s="1">
        <f t="shared" si="9"/>
        <v>4.3049643564504683</v>
      </c>
      <c r="E18" s="1">
        <v>12178.6084606764</v>
      </c>
      <c r="F18" s="1">
        <f t="shared" si="10"/>
        <v>4.0855976682332784</v>
      </c>
      <c r="G18" s="1">
        <v>2361.8096504917398</v>
      </c>
      <c r="H18" s="1">
        <f t="shared" si="11"/>
        <v>3.3732448928235268</v>
      </c>
      <c r="I18" s="1">
        <v>6656.0375797312399</v>
      </c>
      <c r="J18" s="1">
        <f t="shared" si="12"/>
        <v>0.32980057527112561</v>
      </c>
      <c r="K18" s="1">
        <f t="shared" si="13"/>
        <v>3.8232157652994698</v>
      </c>
      <c r="L18" s="1">
        <v>733.637420530599</v>
      </c>
      <c r="M18" s="1">
        <f t="shared" si="14"/>
        <v>2.8654814752184974</v>
      </c>
      <c r="N18" s="1">
        <v>819.31250458225497</v>
      </c>
      <c r="O18" s="1">
        <f t="shared" si="15"/>
        <v>2.9134495832368268</v>
      </c>
      <c r="P18" s="1">
        <v>-85.675084051656299</v>
      </c>
      <c r="Q18" s="1" t="e">
        <f ca="1"/>
        <v>#NAME?</v>
      </c>
      <c r="R18" s="1" t="e">
        <f t="shared" ca="1" si="0"/>
        <v>#NAME?</v>
      </c>
      <c r="T18" s="1">
        <v>57712.333333333299</v>
      </c>
      <c r="U18" s="1" t="e">
        <f ca="1"/>
        <v>#NAME?</v>
      </c>
      <c r="V18" s="1" t="e">
        <f t="shared" ca="1" si="1"/>
        <v>#NAME?</v>
      </c>
      <c r="W18" s="1" t="e">
        <f ca="1"/>
        <v>#NAME?</v>
      </c>
      <c r="X18" s="1" t="e">
        <f t="shared" ca="1" si="2"/>
        <v>#NAME?</v>
      </c>
      <c r="Y18" s="1" t="e">
        <f ca="1"/>
        <v>#NAME?</v>
      </c>
      <c r="Z18" s="1" t="e">
        <f t="shared" ca="1" si="3"/>
        <v>#NAME?</v>
      </c>
      <c r="AA18" s="1" t="e">
        <f ca="1"/>
        <v>#NAME?</v>
      </c>
      <c r="AB18" s="1" t="e">
        <f t="shared" ca="1" si="4"/>
        <v>#NAME?</v>
      </c>
      <c r="AC18" s="1" t="e">
        <f ca="1"/>
        <v>#NAME?</v>
      </c>
      <c r="AD18" s="1" t="e">
        <f t="shared" ca="1" si="5"/>
        <v>#NAME?</v>
      </c>
      <c r="AE18" s="1" t="e">
        <f ca="1"/>
        <v>#NAME?</v>
      </c>
      <c r="AF18" s="1" t="e">
        <f t="shared" ca="1" si="6"/>
        <v>#NAME?</v>
      </c>
      <c r="AG18" s="1" t="e">
        <f ca="1"/>
        <v>#NAME?</v>
      </c>
      <c r="AH18" s="1" t="e">
        <f t="shared" ca="1" si="7"/>
        <v>#NAME?</v>
      </c>
      <c r="AI18" s="1" t="e">
        <f ca="1"/>
        <v>#NAME?</v>
      </c>
      <c r="AJ18" s="1" t="e">
        <f t="shared" ca="1" si="16"/>
        <v>#NAME?</v>
      </c>
      <c r="AK18" s="1" t="e">
        <f ca="1"/>
        <v>#NAME?</v>
      </c>
      <c r="AL18" s="1" t="e">
        <f t="shared" ca="1" si="8"/>
        <v>#NAME?</v>
      </c>
    </row>
    <row r="19" spans="1:38" x14ac:dyDescent="0.25">
      <c r="A19" s="1" t="s">
        <v>34</v>
      </c>
      <c r="B19" s="1">
        <v>18</v>
      </c>
      <c r="C19" s="1">
        <v>20337.194612653999</v>
      </c>
      <c r="D19" s="1">
        <f t="shared" si="9"/>
        <v>4.3082910445418428</v>
      </c>
      <c r="E19" s="1">
        <v>12354.8287742744</v>
      </c>
      <c r="F19" s="1">
        <f t="shared" si="10"/>
        <v>4.0918367308871808</v>
      </c>
      <c r="G19" s="1">
        <v>2345.8603048653199</v>
      </c>
      <c r="H19" s="1">
        <f t="shared" si="11"/>
        <v>3.3703021464698311</v>
      </c>
      <c r="I19" s="1">
        <v>6694.5708916266403</v>
      </c>
      <c r="J19" s="1">
        <f t="shared" si="12"/>
        <v>0.32917868069479028</v>
      </c>
      <c r="K19" s="1">
        <f t="shared" si="13"/>
        <v>3.8257227448474764</v>
      </c>
      <c r="L19" s="1">
        <v>728.33054917519303</v>
      </c>
      <c r="M19" s="1">
        <f t="shared" si="14"/>
        <v>2.8623285264309501</v>
      </c>
      <c r="N19" s="1">
        <v>835.10649404886203</v>
      </c>
      <c r="O19" s="1">
        <f t="shared" si="15"/>
        <v>2.9217418609072308</v>
      </c>
      <c r="P19" s="1">
        <v>-106.775944873669</v>
      </c>
      <c r="Q19" s="1" t="e">
        <f ca="1"/>
        <v>#NAME?</v>
      </c>
      <c r="R19" s="1" t="e">
        <f t="shared" ca="1" si="0"/>
        <v>#NAME?</v>
      </c>
      <c r="T19" s="1">
        <v>58076.666666666701</v>
      </c>
      <c r="U19" s="1" t="e">
        <f ca="1"/>
        <v>#NAME?</v>
      </c>
      <c r="V19" s="1" t="e">
        <f t="shared" ca="1" si="1"/>
        <v>#NAME?</v>
      </c>
      <c r="W19" s="1" t="e">
        <f ca="1"/>
        <v>#NAME?</v>
      </c>
      <c r="X19" s="1" t="e">
        <f t="shared" ca="1" si="2"/>
        <v>#NAME?</v>
      </c>
      <c r="Y19" s="1" t="e">
        <f ca="1"/>
        <v>#NAME?</v>
      </c>
      <c r="Z19" s="1" t="e">
        <f t="shared" ca="1" si="3"/>
        <v>#NAME?</v>
      </c>
      <c r="AA19" s="1" t="e">
        <f ca="1"/>
        <v>#NAME?</v>
      </c>
      <c r="AB19" s="1" t="e">
        <f t="shared" ca="1" si="4"/>
        <v>#NAME?</v>
      </c>
      <c r="AC19" s="1" t="e">
        <f ca="1"/>
        <v>#NAME?</v>
      </c>
      <c r="AD19" s="1" t="e">
        <f t="shared" ca="1" si="5"/>
        <v>#NAME?</v>
      </c>
      <c r="AE19" s="1" t="e">
        <f ca="1"/>
        <v>#NAME?</v>
      </c>
      <c r="AF19" s="1" t="e">
        <f t="shared" ca="1" si="6"/>
        <v>#NAME?</v>
      </c>
      <c r="AG19" s="1" t="e">
        <f ca="1"/>
        <v>#NAME?</v>
      </c>
      <c r="AH19" s="1" t="e">
        <f t="shared" ca="1" si="7"/>
        <v>#NAME?</v>
      </c>
      <c r="AI19" s="1" t="e">
        <f ca="1"/>
        <v>#NAME?</v>
      </c>
      <c r="AJ19" s="1" t="e">
        <f t="shared" ca="1" si="16"/>
        <v>#NAME?</v>
      </c>
      <c r="AK19" s="1" t="e">
        <f ca="1"/>
        <v>#NAME?</v>
      </c>
      <c r="AL19" s="1" t="e">
        <f t="shared" ca="1" si="8"/>
        <v>#NAME?</v>
      </c>
    </row>
    <row r="20" spans="1:38" x14ac:dyDescent="0.25">
      <c r="A20" s="1" t="s">
        <v>35</v>
      </c>
      <c r="B20" s="1">
        <v>19</v>
      </c>
      <c r="C20" s="1">
        <v>20580.1483438748</v>
      </c>
      <c r="D20" s="1">
        <f t="shared" si="9"/>
        <v>4.3134485008780201</v>
      </c>
      <c r="E20" s="1">
        <v>12537.491677763001</v>
      </c>
      <c r="F20" s="1">
        <f t="shared" si="10"/>
        <v>4.098210657749088</v>
      </c>
      <c r="G20" s="1">
        <v>2391.92014813582</v>
      </c>
      <c r="H20" s="1">
        <f t="shared" si="11"/>
        <v>3.3787466770710379</v>
      </c>
      <c r="I20" s="1">
        <v>6678.2259071238404</v>
      </c>
      <c r="J20" s="1">
        <f t="shared" si="12"/>
        <v>0.32449843390518895</v>
      </c>
      <c r="K20" s="1">
        <f t="shared" si="13"/>
        <v>3.8246611060268094</v>
      </c>
      <c r="L20" s="1">
        <v>748.41357356857498</v>
      </c>
      <c r="M20" s="1">
        <f t="shared" si="14"/>
        <v>2.8741416554614236</v>
      </c>
      <c r="N20" s="1">
        <v>854.412866178429</v>
      </c>
      <c r="O20" s="1">
        <f t="shared" si="15"/>
        <v>2.9316677795583383</v>
      </c>
      <c r="P20" s="1">
        <v>-105.999292609853</v>
      </c>
      <c r="Q20" s="1" t="e">
        <f ca="1"/>
        <v>#NAME?</v>
      </c>
      <c r="R20" s="1" t="e">
        <f t="shared" ca="1" si="0"/>
        <v>#NAME?</v>
      </c>
      <c r="T20" s="1">
        <v>58644.666666666701</v>
      </c>
      <c r="U20" s="1" t="e">
        <f ca="1"/>
        <v>#NAME?</v>
      </c>
      <c r="V20" s="1" t="e">
        <f t="shared" ca="1" si="1"/>
        <v>#NAME?</v>
      </c>
      <c r="W20" s="1" t="e">
        <f ca="1"/>
        <v>#NAME?</v>
      </c>
      <c r="X20" s="1" t="e">
        <f t="shared" ca="1" si="2"/>
        <v>#NAME?</v>
      </c>
      <c r="Y20" s="1" t="e">
        <f ca="1"/>
        <v>#NAME?</v>
      </c>
      <c r="Z20" s="1" t="e">
        <f t="shared" ca="1" si="3"/>
        <v>#NAME?</v>
      </c>
      <c r="AA20" s="1" t="e">
        <f ca="1"/>
        <v>#NAME?</v>
      </c>
      <c r="AB20" s="1" t="e">
        <f t="shared" ca="1" si="4"/>
        <v>#NAME?</v>
      </c>
      <c r="AC20" s="1" t="e">
        <f ca="1"/>
        <v>#NAME?</v>
      </c>
      <c r="AD20" s="1" t="e">
        <f t="shared" ca="1" si="5"/>
        <v>#NAME?</v>
      </c>
      <c r="AE20" s="1" t="e">
        <f ca="1"/>
        <v>#NAME?</v>
      </c>
      <c r="AF20" s="1" t="e">
        <f t="shared" ca="1" si="6"/>
        <v>#NAME?</v>
      </c>
      <c r="AG20" s="1" t="e">
        <f ca="1"/>
        <v>#NAME?</v>
      </c>
      <c r="AH20" s="1" t="e">
        <f t="shared" ca="1" si="7"/>
        <v>#NAME?</v>
      </c>
      <c r="AI20" s="1" t="e">
        <f ca="1"/>
        <v>#NAME?</v>
      </c>
      <c r="AJ20" s="1" t="e">
        <f t="shared" ca="1" si="16"/>
        <v>#NAME?</v>
      </c>
      <c r="AK20" s="1" t="e">
        <f ca="1"/>
        <v>#NAME?</v>
      </c>
      <c r="AL20" s="1" t="e">
        <f t="shared" ca="1" si="8"/>
        <v>#NAME?</v>
      </c>
    </row>
    <row r="21" spans="1:38" x14ac:dyDescent="0.25">
      <c r="A21" s="1" t="s">
        <v>36</v>
      </c>
      <c r="B21" s="1">
        <v>20</v>
      </c>
      <c r="C21" s="1">
        <v>20570.742932962901</v>
      </c>
      <c r="D21" s="1">
        <f t="shared" si="9"/>
        <v>4.3132499769577137</v>
      </c>
      <c r="E21" s="1">
        <v>12528.8330966424</v>
      </c>
      <c r="F21" s="1">
        <f t="shared" si="10"/>
        <v>4.0979106238043279</v>
      </c>
      <c r="G21" s="1">
        <v>2406.1045517212801</v>
      </c>
      <c r="H21" s="1">
        <f t="shared" si="11"/>
        <v>3.3813144946784308</v>
      </c>
      <c r="I21" s="1">
        <v>6651.8052431350998</v>
      </c>
      <c r="J21" s="1">
        <f t="shared" si="12"/>
        <v>0.32336242131907333</v>
      </c>
      <c r="K21" s="1">
        <f t="shared" si="13"/>
        <v>3.8229395251130329</v>
      </c>
      <c r="L21" s="1">
        <v>760.78325679752095</v>
      </c>
      <c r="M21" s="1">
        <f t="shared" si="14"/>
        <v>2.8812609461474699</v>
      </c>
      <c r="N21" s="1">
        <v>874.42079839119299</v>
      </c>
      <c r="O21" s="1">
        <f t="shared" si="15"/>
        <v>2.9417204789040259</v>
      </c>
      <c r="P21" s="1">
        <v>-113.63754159367301</v>
      </c>
      <c r="Q21" s="1" t="e">
        <f ca="1"/>
        <v>#NAME?</v>
      </c>
      <c r="R21" s="1" t="e">
        <f t="shared" ca="1" si="0"/>
        <v>#NAME?</v>
      </c>
      <c r="T21" s="1">
        <v>59144</v>
      </c>
      <c r="U21" s="1" t="e">
        <f ca="1"/>
        <v>#NAME?</v>
      </c>
      <c r="V21" s="1" t="e">
        <f t="shared" ca="1" si="1"/>
        <v>#NAME?</v>
      </c>
      <c r="W21" s="1" t="e">
        <f ca="1"/>
        <v>#NAME?</v>
      </c>
      <c r="X21" s="1" t="e">
        <f t="shared" ca="1" si="2"/>
        <v>#NAME?</v>
      </c>
      <c r="Y21" s="1" t="e">
        <f ca="1"/>
        <v>#NAME?</v>
      </c>
      <c r="Z21" s="1" t="e">
        <f t="shared" ca="1" si="3"/>
        <v>#NAME?</v>
      </c>
      <c r="AA21" s="1" t="e">
        <f ca="1"/>
        <v>#NAME?</v>
      </c>
      <c r="AB21" s="1" t="e">
        <f t="shared" ca="1" si="4"/>
        <v>#NAME?</v>
      </c>
      <c r="AC21" s="1" t="e">
        <f ca="1"/>
        <v>#NAME?</v>
      </c>
      <c r="AD21" s="1" t="e">
        <f t="shared" ca="1" si="5"/>
        <v>#NAME?</v>
      </c>
      <c r="AE21" s="1" t="e">
        <f ca="1"/>
        <v>#NAME?</v>
      </c>
      <c r="AF21" s="1" t="e">
        <f t="shared" ca="1" si="6"/>
        <v>#NAME?</v>
      </c>
      <c r="AG21" s="1" t="e">
        <f ca="1"/>
        <v>#NAME?</v>
      </c>
      <c r="AH21" s="1" t="e">
        <f t="shared" ca="1" si="7"/>
        <v>#NAME?</v>
      </c>
      <c r="AI21" s="1" t="e">
        <f ca="1"/>
        <v>#NAME?</v>
      </c>
      <c r="AJ21" s="1" t="e">
        <f t="shared" ca="1" si="16"/>
        <v>#NAME?</v>
      </c>
      <c r="AK21" s="1" t="e">
        <f ca="1"/>
        <v>#NAME?</v>
      </c>
      <c r="AL21" s="1" t="e">
        <f t="shared" ca="1" si="8"/>
        <v>#NAME?</v>
      </c>
    </row>
    <row r="22" spans="1:38" x14ac:dyDescent="0.25">
      <c r="A22" s="1" t="s">
        <v>37</v>
      </c>
      <c r="B22" s="1">
        <v>21</v>
      </c>
      <c r="C22" s="1">
        <v>21010.895915065601</v>
      </c>
      <c r="D22" s="1">
        <f t="shared" si="9"/>
        <v>4.3224445713337776</v>
      </c>
      <c r="E22" s="1">
        <v>12773.217137806399</v>
      </c>
      <c r="F22" s="1">
        <f t="shared" si="10"/>
        <v>4.1063002950105112</v>
      </c>
      <c r="G22" s="1">
        <v>2628.3087038099502</v>
      </c>
      <c r="H22" s="1">
        <f t="shared" si="11"/>
        <v>3.4196763732498066</v>
      </c>
      <c r="I22" s="1">
        <v>6625.9878945763403</v>
      </c>
      <c r="J22" s="1">
        <f t="shared" si="12"/>
        <v>0.3153596077654765</v>
      </c>
      <c r="K22" s="1">
        <f t="shared" si="13"/>
        <v>3.8212506381074416</v>
      </c>
      <c r="L22" s="1">
        <v>670.39856926504297</v>
      </c>
      <c r="M22" s="1">
        <f t="shared" si="14"/>
        <v>2.826333078771146</v>
      </c>
      <c r="N22" s="1">
        <v>840.63432006492098</v>
      </c>
      <c r="O22" s="1">
        <f t="shared" si="15"/>
        <v>2.9246071167074277</v>
      </c>
      <c r="P22" s="1">
        <v>-170.23575079987799</v>
      </c>
      <c r="Q22" s="1" t="e">
        <f ca="1"/>
        <v>#NAME?</v>
      </c>
      <c r="R22" s="1" t="e">
        <f t="shared" ca="1" si="0"/>
        <v>#NAME?</v>
      </c>
      <c r="T22" s="1">
        <v>59795</v>
      </c>
      <c r="U22" s="1" t="e">
        <f ca="1"/>
        <v>#NAME?</v>
      </c>
      <c r="V22" s="1" t="e">
        <f t="shared" ca="1" si="1"/>
        <v>#NAME?</v>
      </c>
      <c r="W22" s="1" t="e">
        <f ca="1"/>
        <v>#NAME?</v>
      </c>
      <c r="X22" s="1" t="e">
        <f t="shared" ca="1" si="2"/>
        <v>#NAME?</v>
      </c>
      <c r="Y22" s="1" t="e">
        <f ca="1"/>
        <v>#NAME?</v>
      </c>
      <c r="Z22" s="1" t="e">
        <f t="shared" ca="1" si="3"/>
        <v>#NAME?</v>
      </c>
      <c r="AA22" s="1" t="e">
        <f ca="1"/>
        <v>#NAME?</v>
      </c>
      <c r="AB22" s="1" t="e">
        <f t="shared" ca="1" si="4"/>
        <v>#NAME?</v>
      </c>
      <c r="AC22" s="1" t="e">
        <f ca="1"/>
        <v>#NAME?</v>
      </c>
      <c r="AD22" s="1" t="e">
        <f t="shared" ca="1" si="5"/>
        <v>#NAME?</v>
      </c>
      <c r="AE22" s="1" t="e">
        <f ca="1"/>
        <v>#NAME?</v>
      </c>
      <c r="AF22" s="1" t="e">
        <f t="shared" ca="1" si="6"/>
        <v>#NAME?</v>
      </c>
      <c r="AG22" s="1" t="e">
        <f ca="1"/>
        <v>#NAME?</v>
      </c>
      <c r="AH22" s="1" t="e">
        <f t="shared" ca="1" si="7"/>
        <v>#NAME?</v>
      </c>
      <c r="AI22" s="1" t="e">
        <f ca="1"/>
        <v>#NAME?</v>
      </c>
      <c r="AJ22" s="1" t="e">
        <f t="shared" ca="1" si="16"/>
        <v>#NAME?</v>
      </c>
      <c r="AK22" s="1" t="e">
        <f ca="1"/>
        <v>#NAME?</v>
      </c>
      <c r="AL22" s="1" t="e">
        <f t="shared" ca="1" si="8"/>
        <v>#NAME?</v>
      </c>
    </row>
    <row r="23" spans="1:38" x14ac:dyDescent="0.25">
      <c r="A23" s="1" t="s">
        <v>38</v>
      </c>
      <c r="B23" s="1">
        <v>22</v>
      </c>
      <c r="C23" s="1">
        <v>21218.5273771354</v>
      </c>
      <c r="D23" s="1">
        <f t="shared" si="9"/>
        <v>4.3267152394061883</v>
      </c>
      <c r="E23" s="1">
        <v>12879.006567213401</v>
      </c>
      <c r="F23" s="1">
        <f t="shared" si="10"/>
        <v>4.1098823646529263</v>
      </c>
      <c r="G23" s="1">
        <v>2628.0555068713502</v>
      </c>
      <c r="H23" s="1">
        <f t="shared" si="11"/>
        <v>3.4196345336706044</v>
      </c>
      <c r="I23" s="1">
        <v>6686.1552419147001</v>
      </c>
      <c r="J23" s="1">
        <f t="shared" si="12"/>
        <v>0.315109296845904</v>
      </c>
      <c r="K23" s="1">
        <f t="shared" si="13"/>
        <v>3.825176456002318</v>
      </c>
      <c r="L23" s="1">
        <v>780.49321113024098</v>
      </c>
      <c r="M23" s="1">
        <f t="shared" si="14"/>
        <v>2.8923691298436669</v>
      </c>
      <c r="N23" s="1">
        <v>937.28672020784097</v>
      </c>
      <c r="O23" s="1">
        <f t="shared" si="15"/>
        <v>2.9718724638401866</v>
      </c>
      <c r="P23" s="1">
        <v>-156.79350907759999</v>
      </c>
      <c r="Q23" s="1" t="e">
        <f ca="1"/>
        <v>#NAME?</v>
      </c>
      <c r="R23" s="1" t="e">
        <f t="shared" ca="1" si="0"/>
        <v>#NAME?</v>
      </c>
      <c r="T23" s="1">
        <v>60480</v>
      </c>
      <c r="U23" s="1" t="e">
        <f ca="1"/>
        <v>#NAME?</v>
      </c>
      <c r="V23" s="1" t="e">
        <f t="shared" ca="1" si="1"/>
        <v>#NAME?</v>
      </c>
      <c r="W23" s="1" t="e">
        <f ca="1"/>
        <v>#NAME?</v>
      </c>
      <c r="X23" s="1" t="e">
        <f t="shared" ca="1" si="2"/>
        <v>#NAME?</v>
      </c>
      <c r="Y23" s="1" t="e">
        <f ca="1"/>
        <v>#NAME?</v>
      </c>
      <c r="Z23" s="1" t="e">
        <f t="shared" ca="1" si="3"/>
        <v>#NAME?</v>
      </c>
      <c r="AA23" s="1" t="e">
        <f ca="1"/>
        <v>#NAME?</v>
      </c>
      <c r="AB23" s="1" t="e">
        <f t="shared" ca="1" si="4"/>
        <v>#NAME?</v>
      </c>
      <c r="AC23" s="1" t="e">
        <f ca="1"/>
        <v>#NAME?</v>
      </c>
      <c r="AD23" s="1" t="e">
        <f t="shared" ca="1" si="5"/>
        <v>#NAME?</v>
      </c>
      <c r="AE23" s="1" t="e">
        <f ca="1"/>
        <v>#NAME?</v>
      </c>
      <c r="AF23" s="1" t="e">
        <f t="shared" ca="1" si="6"/>
        <v>#NAME?</v>
      </c>
      <c r="AG23" s="1" t="e">
        <f ca="1"/>
        <v>#NAME?</v>
      </c>
      <c r="AH23" s="1" t="e">
        <f t="shared" ca="1" si="7"/>
        <v>#NAME?</v>
      </c>
      <c r="AI23" s="1" t="e">
        <f ca="1"/>
        <v>#NAME?</v>
      </c>
      <c r="AJ23" s="1" t="e">
        <f t="shared" ca="1" si="16"/>
        <v>#NAME?</v>
      </c>
      <c r="AK23" s="1" t="e">
        <f ca="1"/>
        <v>#NAME?</v>
      </c>
      <c r="AL23" s="1" t="e">
        <f t="shared" ca="1" si="8"/>
        <v>#NAME?</v>
      </c>
    </row>
    <row r="24" spans="1:38" x14ac:dyDescent="0.25">
      <c r="A24" s="1" t="s">
        <v>39</v>
      </c>
      <c r="B24" s="1">
        <v>23</v>
      </c>
      <c r="C24" s="1">
        <v>21617.502453158799</v>
      </c>
      <c r="D24" s="1">
        <f t="shared" si="9"/>
        <v>4.3348055169314934</v>
      </c>
      <c r="E24" s="1">
        <v>13056.353295966501</v>
      </c>
      <c r="F24" s="1">
        <f t="shared" si="10"/>
        <v>4.1158218932796382</v>
      </c>
      <c r="G24" s="1">
        <v>2710.4347870760898</v>
      </c>
      <c r="H24" s="1">
        <f t="shared" si="11"/>
        <v>3.4330389626390412</v>
      </c>
      <c r="I24" s="1">
        <v>6884.8171304977704</v>
      </c>
      <c r="J24" s="1">
        <f t="shared" si="12"/>
        <v>0.31848346706174402</v>
      </c>
      <c r="K24" s="1">
        <f t="shared" si="13"/>
        <v>3.8378924093321647</v>
      </c>
      <c r="L24" s="1">
        <v>760.58711410913099</v>
      </c>
      <c r="M24" s="1">
        <f t="shared" si="14"/>
        <v>2.8811489633070853</v>
      </c>
      <c r="N24" s="1">
        <v>937.97489814895698</v>
      </c>
      <c r="O24" s="1">
        <f t="shared" si="15"/>
        <v>2.9721912160536217</v>
      </c>
      <c r="P24" s="1">
        <v>-177.38778403982599</v>
      </c>
      <c r="Q24" s="1" t="e">
        <f ca="1"/>
        <v>#NAME?</v>
      </c>
      <c r="R24" s="1" t="e">
        <f t="shared" ca="1" si="0"/>
        <v>#NAME?</v>
      </c>
      <c r="T24" s="1">
        <v>61227.666666666701</v>
      </c>
      <c r="U24" s="1" t="e">
        <f ca="1"/>
        <v>#NAME?</v>
      </c>
      <c r="V24" s="1" t="e">
        <f t="shared" ca="1" si="1"/>
        <v>#NAME?</v>
      </c>
      <c r="W24" s="1" t="e">
        <f ca="1"/>
        <v>#NAME?</v>
      </c>
      <c r="X24" s="1" t="e">
        <f t="shared" ca="1" si="2"/>
        <v>#NAME?</v>
      </c>
      <c r="Y24" s="1" t="e">
        <f ca="1"/>
        <v>#NAME?</v>
      </c>
      <c r="Z24" s="1" t="e">
        <f t="shared" ca="1" si="3"/>
        <v>#NAME?</v>
      </c>
      <c r="AA24" s="1" t="e">
        <f ca="1"/>
        <v>#NAME?</v>
      </c>
      <c r="AB24" s="1" t="e">
        <f t="shared" ca="1" si="4"/>
        <v>#NAME?</v>
      </c>
      <c r="AC24" s="1" t="e">
        <f ca="1"/>
        <v>#NAME?</v>
      </c>
      <c r="AD24" s="1" t="e">
        <f t="shared" ca="1" si="5"/>
        <v>#NAME?</v>
      </c>
      <c r="AE24" s="1" t="e">
        <f ca="1"/>
        <v>#NAME?</v>
      </c>
      <c r="AF24" s="1" t="e">
        <f t="shared" ca="1" si="6"/>
        <v>#NAME?</v>
      </c>
      <c r="AG24" s="1" t="e">
        <f ca="1"/>
        <v>#NAME?</v>
      </c>
      <c r="AH24" s="1" t="e">
        <f t="shared" ca="1" si="7"/>
        <v>#NAME?</v>
      </c>
      <c r="AI24" s="1" t="e">
        <f ca="1"/>
        <v>#NAME?</v>
      </c>
      <c r="AJ24" s="1" t="e">
        <f t="shared" ca="1" si="16"/>
        <v>#NAME?</v>
      </c>
      <c r="AK24" s="1" t="e">
        <f ca="1"/>
        <v>#NAME?</v>
      </c>
      <c r="AL24" s="1" t="e">
        <f t="shared" ca="1" si="8"/>
        <v>#NAME?</v>
      </c>
    </row>
    <row r="25" spans="1:38" x14ac:dyDescent="0.25">
      <c r="A25" s="1" t="s">
        <v>40</v>
      </c>
      <c r="B25" s="1">
        <v>24</v>
      </c>
      <c r="C25" s="1">
        <v>22044.003707515902</v>
      </c>
      <c r="D25" s="1">
        <f t="shared" si="9"/>
        <v>4.3432904753961461</v>
      </c>
      <c r="E25" s="1">
        <v>13379.964051434101</v>
      </c>
      <c r="F25" s="1">
        <f t="shared" si="10"/>
        <v>4.1264549465943769</v>
      </c>
      <c r="G25" s="1">
        <v>2719.55509809042</v>
      </c>
      <c r="H25" s="1">
        <f t="shared" si="11"/>
        <v>3.4344978620312165</v>
      </c>
      <c r="I25" s="1">
        <v>6992.5491220254098</v>
      </c>
      <c r="J25" s="1">
        <f t="shared" si="12"/>
        <v>0.31720867111092438</v>
      </c>
      <c r="K25" s="1">
        <f t="shared" si="13"/>
        <v>3.8446355259337532</v>
      </c>
      <c r="L25" s="1">
        <v>804.46438173075398</v>
      </c>
      <c r="M25" s="1">
        <f t="shared" si="14"/>
        <v>2.9055068201438985</v>
      </c>
      <c r="N25" s="1">
        <v>980.55602496940298</v>
      </c>
      <c r="O25" s="1">
        <f t="shared" si="15"/>
        <v>2.9914724125269552</v>
      </c>
      <c r="P25" s="1">
        <v>-176.091643238648</v>
      </c>
      <c r="Q25" s="1" t="e">
        <f ca="1"/>
        <v>#NAME?</v>
      </c>
      <c r="R25" s="1" t="e">
        <f t="shared" ca="1" si="0"/>
        <v>#NAME?</v>
      </c>
      <c r="T25" s="1">
        <v>62012.333333333299</v>
      </c>
      <c r="U25" s="1" t="e">
        <f ca="1"/>
        <v>#NAME?</v>
      </c>
      <c r="V25" s="1" t="e">
        <f t="shared" ca="1" si="1"/>
        <v>#NAME?</v>
      </c>
      <c r="W25" s="1" t="e">
        <f ca="1"/>
        <v>#NAME?</v>
      </c>
      <c r="X25" s="1" t="e">
        <f t="shared" ca="1" si="2"/>
        <v>#NAME?</v>
      </c>
      <c r="Y25" s="1" t="e">
        <f ca="1"/>
        <v>#NAME?</v>
      </c>
      <c r="Z25" s="1" t="e">
        <f t="shared" ca="1" si="3"/>
        <v>#NAME?</v>
      </c>
      <c r="AA25" s="1" t="e">
        <f ca="1"/>
        <v>#NAME?</v>
      </c>
      <c r="AB25" s="1" t="e">
        <f t="shared" ca="1" si="4"/>
        <v>#NAME?</v>
      </c>
      <c r="AC25" s="1" t="e">
        <f ca="1"/>
        <v>#NAME?</v>
      </c>
      <c r="AD25" s="1" t="e">
        <f t="shared" ca="1" si="5"/>
        <v>#NAME?</v>
      </c>
      <c r="AE25" s="1" t="e">
        <f ca="1"/>
        <v>#NAME?</v>
      </c>
      <c r="AF25" s="1" t="e">
        <f t="shared" ca="1" si="6"/>
        <v>#NAME?</v>
      </c>
      <c r="AG25" s="1" t="e">
        <f ca="1"/>
        <v>#NAME?</v>
      </c>
      <c r="AH25" s="1" t="e">
        <f t="shared" ca="1" si="7"/>
        <v>#NAME?</v>
      </c>
      <c r="AI25" s="1" t="e">
        <f ca="1"/>
        <v>#NAME?</v>
      </c>
      <c r="AJ25" s="1" t="e">
        <f t="shared" ca="1" si="16"/>
        <v>#NAME?</v>
      </c>
      <c r="AK25" s="1" t="e">
        <f ca="1"/>
        <v>#NAME?</v>
      </c>
      <c r="AL25" s="1" t="e">
        <f t="shared" ca="1" si="8"/>
        <v>#NAME?</v>
      </c>
    </row>
    <row r="26" spans="1:38" x14ac:dyDescent="0.25">
      <c r="A26" s="1" t="s">
        <v>41</v>
      </c>
      <c r="B26" s="1">
        <v>25</v>
      </c>
      <c r="C26" s="1">
        <v>22524.777409418501</v>
      </c>
      <c r="D26" s="1">
        <f t="shared" si="9"/>
        <v>4.352660507960139</v>
      </c>
      <c r="E26" s="1">
        <v>13543.9127925093</v>
      </c>
      <c r="F26" s="1">
        <f t="shared" si="10"/>
        <v>4.1317441487442688</v>
      </c>
      <c r="G26" s="1">
        <v>2929.5730040916801</v>
      </c>
      <c r="H26" s="1">
        <f t="shared" si="11"/>
        <v>3.4668043249682587</v>
      </c>
      <c r="I26" s="1">
        <v>7105.25993165205</v>
      </c>
      <c r="J26" s="1">
        <f t="shared" si="12"/>
        <v>0.31544195986953727</v>
      </c>
      <c r="K26" s="1">
        <f t="shared" si="13"/>
        <v>3.8515799703447358</v>
      </c>
      <c r="L26" s="1">
        <v>782.70153195445505</v>
      </c>
      <c r="M26" s="1">
        <f t="shared" si="14"/>
        <v>2.8935961838501827</v>
      </c>
      <c r="N26" s="1">
        <v>1003.34077430362</v>
      </c>
      <c r="O26" s="1">
        <f t="shared" si="15"/>
        <v>3.0014484616984527</v>
      </c>
      <c r="P26" s="1">
        <v>-220.63924234916701</v>
      </c>
      <c r="Q26" s="1" t="e">
        <f ca="1"/>
        <v>#NAME?</v>
      </c>
      <c r="R26" s="1" t="e">
        <f t="shared" ca="1" si="0"/>
        <v>#NAME?</v>
      </c>
      <c r="T26" s="1">
        <v>62839</v>
      </c>
      <c r="U26" s="1" t="e">
        <f ca="1"/>
        <v>#NAME?</v>
      </c>
      <c r="V26" s="1" t="e">
        <f t="shared" ca="1" si="1"/>
        <v>#NAME?</v>
      </c>
      <c r="W26" s="1" t="e">
        <f ca="1"/>
        <v>#NAME?</v>
      </c>
      <c r="X26" s="1" t="e">
        <f t="shared" ca="1" si="2"/>
        <v>#NAME?</v>
      </c>
      <c r="Y26" s="1" t="e">
        <f ca="1"/>
        <v>#NAME?</v>
      </c>
      <c r="Z26" s="1" t="e">
        <f t="shared" ca="1" si="3"/>
        <v>#NAME?</v>
      </c>
      <c r="AA26" s="1" t="e">
        <f ca="1"/>
        <v>#NAME?</v>
      </c>
      <c r="AB26" s="1" t="e">
        <f t="shared" ca="1" si="4"/>
        <v>#NAME?</v>
      </c>
      <c r="AC26" s="1" t="e">
        <f ca="1"/>
        <v>#NAME?</v>
      </c>
      <c r="AD26" s="1" t="e">
        <f t="shared" ca="1" si="5"/>
        <v>#NAME?</v>
      </c>
      <c r="AE26" s="1" t="e">
        <f ca="1"/>
        <v>#NAME?</v>
      </c>
      <c r="AF26" s="1" t="e">
        <f t="shared" ca="1" si="6"/>
        <v>#NAME?</v>
      </c>
      <c r="AG26" s="1" t="e">
        <f ca="1"/>
        <v>#NAME?</v>
      </c>
      <c r="AH26" s="1" t="e">
        <f t="shared" ca="1" si="7"/>
        <v>#NAME?</v>
      </c>
      <c r="AI26" s="1" t="e">
        <f ca="1"/>
        <v>#NAME?</v>
      </c>
      <c r="AJ26" s="1" t="e">
        <f t="shared" ca="1" si="16"/>
        <v>#NAME?</v>
      </c>
      <c r="AK26" s="1" t="e">
        <f ca="1"/>
        <v>#NAME?</v>
      </c>
      <c r="AL26" s="1" t="e">
        <f t="shared" ca="1" si="8"/>
        <v>#NAME?</v>
      </c>
    </row>
    <row r="27" spans="1:38" x14ac:dyDescent="0.25">
      <c r="A27" s="1" t="s">
        <v>42</v>
      </c>
      <c r="B27" s="1">
        <v>26</v>
      </c>
      <c r="C27" s="1">
        <v>22542.534275539201</v>
      </c>
      <c r="D27" s="1">
        <f t="shared" si="9"/>
        <v>4.3530027386849302</v>
      </c>
      <c r="E27" s="1">
        <v>13543.059044105999</v>
      </c>
      <c r="F27" s="1">
        <f t="shared" si="10"/>
        <v>4.1317167718766852</v>
      </c>
      <c r="G27" s="1">
        <v>2878.6459952006599</v>
      </c>
      <c r="H27" s="1">
        <f t="shared" si="11"/>
        <v>3.4591882602987654</v>
      </c>
      <c r="I27" s="1">
        <v>7220.5403587786705</v>
      </c>
      <c r="J27" s="1">
        <f t="shared" si="12"/>
        <v>0.3203073918185696</v>
      </c>
      <c r="K27" s="1">
        <f t="shared" si="13"/>
        <v>3.8585696997932546</v>
      </c>
      <c r="L27" s="1">
        <v>804.10847934296896</v>
      </c>
      <c r="M27" s="1">
        <f t="shared" si="14"/>
        <v>2.9053146417858349</v>
      </c>
      <c r="N27" s="1">
        <v>1025.6015732867299</v>
      </c>
      <c r="O27" s="1">
        <f t="shared" si="15"/>
        <v>3.0109786783888812</v>
      </c>
      <c r="P27" s="1">
        <v>-221.493093943763</v>
      </c>
      <c r="Q27" s="1" t="e">
        <f ca="1"/>
        <v>#NAME?</v>
      </c>
      <c r="R27" s="1" t="e">
        <f t="shared" ca="1" si="0"/>
        <v>#NAME?</v>
      </c>
      <c r="T27" s="1">
        <v>63753.333333333299</v>
      </c>
      <c r="U27" s="1" t="e">
        <f ca="1"/>
        <v>#NAME?</v>
      </c>
      <c r="V27" s="1" t="e">
        <f t="shared" ca="1" si="1"/>
        <v>#NAME?</v>
      </c>
      <c r="W27" s="1" t="e">
        <f ca="1"/>
        <v>#NAME?</v>
      </c>
      <c r="X27" s="1" t="e">
        <f t="shared" ca="1" si="2"/>
        <v>#NAME?</v>
      </c>
      <c r="Y27" s="1" t="e">
        <f ca="1"/>
        <v>#NAME?</v>
      </c>
      <c r="Z27" s="1" t="e">
        <f t="shared" ca="1" si="3"/>
        <v>#NAME?</v>
      </c>
      <c r="AA27" s="1" t="e">
        <f ca="1"/>
        <v>#NAME?</v>
      </c>
      <c r="AB27" s="1" t="e">
        <f t="shared" ca="1" si="4"/>
        <v>#NAME?</v>
      </c>
      <c r="AC27" s="1" t="e">
        <f ca="1"/>
        <v>#NAME?</v>
      </c>
      <c r="AD27" s="1" t="e">
        <f t="shared" ca="1" si="5"/>
        <v>#NAME?</v>
      </c>
      <c r="AE27" s="1" t="e">
        <f ca="1"/>
        <v>#NAME?</v>
      </c>
      <c r="AF27" s="1" t="e">
        <f t="shared" ca="1" si="6"/>
        <v>#NAME?</v>
      </c>
      <c r="AG27" s="1" t="e">
        <f ca="1"/>
        <v>#NAME?</v>
      </c>
      <c r="AH27" s="1" t="e">
        <f t="shared" ca="1" si="7"/>
        <v>#NAME?</v>
      </c>
      <c r="AI27" s="1" t="e">
        <f ca="1"/>
        <v>#NAME?</v>
      </c>
      <c r="AJ27" s="1" t="e">
        <f t="shared" ca="1" si="16"/>
        <v>#NAME?</v>
      </c>
      <c r="AK27" s="1" t="e">
        <f ca="1"/>
        <v>#NAME?</v>
      </c>
      <c r="AL27" s="1" t="e">
        <f t="shared" ca="1" si="8"/>
        <v>#NAME?</v>
      </c>
    </row>
    <row r="28" spans="1:38" x14ac:dyDescent="0.25">
      <c r="A28" s="1" t="s">
        <v>43</v>
      </c>
      <c r="B28" s="1">
        <v>27</v>
      </c>
      <c r="C28" s="1">
        <v>22664.16595133</v>
      </c>
      <c r="D28" s="1">
        <f t="shared" si="9"/>
        <v>4.3553397415107495</v>
      </c>
      <c r="E28" s="1">
        <v>13655.9679393733</v>
      </c>
      <c r="F28" s="1">
        <f t="shared" si="10"/>
        <v>4.1353224884984749</v>
      </c>
      <c r="G28" s="1">
        <v>2848.7024893715402</v>
      </c>
      <c r="H28" s="1">
        <f t="shared" si="11"/>
        <v>3.454647095090289</v>
      </c>
      <c r="I28" s="1">
        <v>7394.7185298435097</v>
      </c>
      <c r="J28" s="1">
        <f t="shared" si="12"/>
        <v>0.32627357855229461</v>
      </c>
      <c r="K28" s="1">
        <f t="shared" si="13"/>
        <v>3.8689216478038748</v>
      </c>
      <c r="L28" s="1">
        <v>792.07830269660803</v>
      </c>
      <c r="M28" s="1">
        <f t="shared" si="14"/>
        <v>2.898768116877509</v>
      </c>
      <c r="N28" s="1">
        <v>1079.8264906515201</v>
      </c>
      <c r="O28" s="1">
        <f t="shared" si="15"/>
        <v>3.0333539775181251</v>
      </c>
      <c r="P28" s="1">
        <v>-287.74818795491598</v>
      </c>
      <c r="Q28" s="1" t="e">
        <f ca="1"/>
        <v>#NAME?</v>
      </c>
      <c r="R28" s="1" t="e">
        <f t="shared" ca="1" si="0"/>
        <v>#NAME?</v>
      </c>
      <c r="T28" s="1">
        <v>64483.666666666701</v>
      </c>
      <c r="U28" s="1" t="e">
        <f ca="1"/>
        <v>#NAME?</v>
      </c>
      <c r="V28" s="1" t="e">
        <f t="shared" ca="1" si="1"/>
        <v>#NAME?</v>
      </c>
      <c r="W28" s="1" t="e">
        <f ca="1"/>
        <v>#NAME?</v>
      </c>
      <c r="X28" s="1" t="e">
        <f t="shared" ca="1" si="2"/>
        <v>#NAME?</v>
      </c>
      <c r="Y28" s="1" t="e">
        <f ca="1"/>
        <v>#NAME?</v>
      </c>
      <c r="Z28" s="1" t="e">
        <f t="shared" ca="1" si="3"/>
        <v>#NAME?</v>
      </c>
      <c r="AA28" s="1" t="e">
        <f ca="1"/>
        <v>#NAME?</v>
      </c>
      <c r="AB28" s="1" t="e">
        <f t="shared" ca="1" si="4"/>
        <v>#NAME?</v>
      </c>
      <c r="AC28" s="1" t="e">
        <f ca="1"/>
        <v>#NAME?</v>
      </c>
      <c r="AD28" s="1" t="e">
        <f t="shared" ca="1" si="5"/>
        <v>#NAME?</v>
      </c>
      <c r="AE28" s="1" t="e">
        <f ca="1"/>
        <v>#NAME?</v>
      </c>
      <c r="AF28" s="1" t="e">
        <f t="shared" ca="1" si="6"/>
        <v>#NAME?</v>
      </c>
      <c r="AG28" s="1" t="e">
        <f ca="1"/>
        <v>#NAME?</v>
      </c>
      <c r="AH28" s="1" t="e">
        <f t="shared" ca="1" si="7"/>
        <v>#NAME?</v>
      </c>
      <c r="AI28" s="1" t="e">
        <f ca="1"/>
        <v>#NAME?</v>
      </c>
      <c r="AJ28" s="1" t="e">
        <f t="shared" ca="1" si="16"/>
        <v>#NAME?</v>
      </c>
      <c r="AK28" s="1" t="e">
        <f ca="1"/>
        <v>#NAME?</v>
      </c>
      <c r="AL28" s="1" t="e">
        <f t="shared" ca="1" si="8"/>
        <v>#NAME?</v>
      </c>
    </row>
    <row r="29" spans="1:38" x14ac:dyDescent="0.25">
      <c r="A29" s="1" t="s">
        <v>44</v>
      </c>
      <c r="B29" s="1">
        <v>28</v>
      </c>
      <c r="C29" s="1">
        <v>22780.216830986301</v>
      </c>
      <c r="D29" s="1">
        <f t="shared" si="9"/>
        <v>4.3575578535469752</v>
      </c>
      <c r="E29" s="1">
        <v>13670.9202404282</v>
      </c>
      <c r="F29" s="1">
        <f t="shared" si="10"/>
        <v>4.1357977495267502</v>
      </c>
      <c r="G29" s="1">
        <v>2856.6343091234098</v>
      </c>
      <c r="H29" s="1">
        <f t="shared" si="11"/>
        <v>3.4558546479099279</v>
      </c>
      <c r="I29" s="1">
        <v>7499.3796871597797</v>
      </c>
      <c r="J29" s="1">
        <f t="shared" si="12"/>
        <v>0.32920580795170085</v>
      </c>
      <c r="K29" s="1">
        <f t="shared" si="13"/>
        <v>3.8750253421137093</v>
      </c>
      <c r="L29" s="1">
        <v>809.28798213498999</v>
      </c>
      <c r="M29" s="1">
        <f t="shared" si="14"/>
        <v>2.9081030912003971</v>
      </c>
      <c r="N29" s="1">
        <v>1088.6465027015299</v>
      </c>
      <c r="O29" s="1">
        <f t="shared" si="15"/>
        <v>3.0368868817313008</v>
      </c>
      <c r="P29" s="1">
        <v>-279.35852056653601</v>
      </c>
      <c r="Q29" s="1" t="e">
        <f ca="1"/>
        <v>#NAME?</v>
      </c>
      <c r="R29" s="1" t="e">
        <f t="shared" ca="1" si="0"/>
        <v>#NAME?</v>
      </c>
      <c r="T29" s="1">
        <v>65024</v>
      </c>
      <c r="U29" s="1" t="e">
        <f ca="1"/>
        <v>#NAME?</v>
      </c>
      <c r="V29" s="1" t="e">
        <f t="shared" ca="1" si="1"/>
        <v>#NAME?</v>
      </c>
      <c r="W29" s="1" t="e">
        <f ca="1"/>
        <v>#NAME?</v>
      </c>
      <c r="X29" s="1" t="e">
        <f t="shared" ca="1" si="2"/>
        <v>#NAME?</v>
      </c>
      <c r="Y29" s="1" t="e">
        <f ca="1"/>
        <v>#NAME?</v>
      </c>
      <c r="Z29" s="1" t="e">
        <f t="shared" ca="1" si="3"/>
        <v>#NAME?</v>
      </c>
      <c r="AA29" s="1" t="e">
        <f ca="1"/>
        <v>#NAME?</v>
      </c>
      <c r="AB29" s="1" t="e">
        <f t="shared" ca="1" si="4"/>
        <v>#NAME?</v>
      </c>
      <c r="AC29" s="1" t="e">
        <f ca="1"/>
        <v>#NAME?</v>
      </c>
      <c r="AD29" s="1" t="e">
        <f t="shared" ca="1" si="5"/>
        <v>#NAME?</v>
      </c>
      <c r="AE29" s="1" t="e">
        <f ca="1"/>
        <v>#NAME?</v>
      </c>
      <c r="AF29" s="1" t="e">
        <f t="shared" ca="1" si="6"/>
        <v>#NAME?</v>
      </c>
      <c r="AG29" s="1" t="e">
        <f ca="1"/>
        <v>#NAME?</v>
      </c>
      <c r="AH29" s="1" t="e">
        <f t="shared" ca="1" si="7"/>
        <v>#NAME?</v>
      </c>
      <c r="AI29" s="1" t="e">
        <f ca="1"/>
        <v>#NAME?</v>
      </c>
      <c r="AJ29" s="1" t="e">
        <f t="shared" ca="1" si="16"/>
        <v>#NAME?</v>
      </c>
      <c r="AK29" s="1" t="e">
        <f ca="1"/>
        <v>#NAME?</v>
      </c>
      <c r="AL29" s="1" t="e">
        <f t="shared" ca="1" si="8"/>
        <v>#NAME?</v>
      </c>
    </row>
    <row r="30" spans="1:38" x14ac:dyDescent="0.25">
      <c r="A30" s="1" t="s">
        <v>45</v>
      </c>
      <c r="B30" s="1">
        <v>29</v>
      </c>
      <c r="C30" s="1">
        <v>22925.5279920391</v>
      </c>
      <c r="D30" s="1">
        <f t="shared" si="9"/>
        <v>4.3603193465836521</v>
      </c>
      <c r="E30" s="1">
        <v>13715.937504735601</v>
      </c>
      <c r="F30" s="1">
        <f t="shared" si="10"/>
        <v>4.1372254976290899</v>
      </c>
      <c r="G30" s="1">
        <v>2779.6855031394098</v>
      </c>
      <c r="H30" s="1">
        <f t="shared" si="11"/>
        <v>3.4439956621132239</v>
      </c>
      <c r="I30" s="1">
        <v>7797.0570852717901</v>
      </c>
      <c r="J30" s="1">
        <f t="shared" si="12"/>
        <v>0.34010370831936004</v>
      </c>
      <c r="K30" s="1">
        <f t="shared" si="13"/>
        <v>3.8919307138702557</v>
      </c>
      <c r="L30" s="1">
        <v>817.21701091596105</v>
      </c>
      <c r="M30" s="1">
        <f t="shared" si="14"/>
        <v>2.9123373981831744</v>
      </c>
      <c r="N30" s="1">
        <v>1102.9262452833</v>
      </c>
      <c r="O30" s="1">
        <f t="shared" si="15"/>
        <v>3.0425464713364296</v>
      </c>
      <c r="P30" s="1">
        <v>-285.70923436734398</v>
      </c>
      <c r="Q30" s="1" t="e">
        <f ca="1"/>
        <v>#NAME?</v>
      </c>
      <c r="R30" s="1" t="e">
        <f t="shared" ca="1" si="0"/>
        <v>#NAME?</v>
      </c>
      <c r="T30" s="1">
        <v>65455.333333333299</v>
      </c>
      <c r="U30" s="1" t="e">
        <f ca="1"/>
        <v>#NAME?</v>
      </c>
      <c r="V30" s="1" t="e">
        <f t="shared" ca="1" si="1"/>
        <v>#NAME?</v>
      </c>
      <c r="W30" s="1" t="e">
        <f ca="1"/>
        <v>#NAME?</v>
      </c>
      <c r="X30" s="1" t="e">
        <f t="shared" ca="1" si="2"/>
        <v>#NAME?</v>
      </c>
      <c r="Y30" s="1" t="e">
        <f ca="1"/>
        <v>#NAME?</v>
      </c>
      <c r="Z30" s="1" t="e">
        <f t="shared" ca="1" si="3"/>
        <v>#NAME?</v>
      </c>
      <c r="AA30" s="1" t="e">
        <f ca="1"/>
        <v>#NAME?</v>
      </c>
      <c r="AB30" s="1" t="e">
        <f t="shared" ca="1" si="4"/>
        <v>#NAME?</v>
      </c>
      <c r="AC30" s="1" t="e">
        <f ca="1"/>
        <v>#NAME?</v>
      </c>
      <c r="AD30" s="1" t="e">
        <f t="shared" ca="1" si="5"/>
        <v>#NAME?</v>
      </c>
      <c r="AE30" s="1" t="e">
        <f ca="1"/>
        <v>#NAME?</v>
      </c>
      <c r="AF30" s="1" t="e">
        <f t="shared" ca="1" si="6"/>
        <v>#NAME?</v>
      </c>
      <c r="AG30" s="1" t="e">
        <f ca="1"/>
        <v>#NAME?</v>
      </c>
      <c r="AH30" s="1" t="e">
        <f t="shared" ca="1" si="7"/>
        <v>#NAME?</v>
      </c>
      <c r="AI30" s="1" t="e">
        <f ca="1"/>
        <v>#NAME?</v>
      </c>
      <c r="AJ30" s="1" t="e">
        <f t="shared" ca="1" si="16"/>
        <v>#NAME?</v>
      </c>
      <c r="AK30" s="1" t="e">
        <f ca="1"/>
        <v>#NAME?</v>
      </c>
      <c r="AL30" s="1" t="e">
        <f t="shared" ca="1" si="8"/>
        <v>#NAME?</v>
      </c>
    </row>
    <row r="31" spans="1:38" x14ac:dyDescent="0.25">
      <c r="A31" s="1" t="s">
        <v>46</v>
      </c>
      <c r="B31" s="1">
        <v>30</v>
      </c>
      <c r="C31" s="1">
        <v>22883.172507621399</v>
      </c>
      <c r="D31" s="1">
        <f t="shared" si="9"/>
        <v>4.3595162345895417</v>
      </c>
      <c r="E31" s="1">
        <v>13869.270111612201</v>
      </c>
      <c r="F31" s="1">
        <f t="shared" si="10"/>
        <v>4.1420536063623983</v>
      </c>
      <c r="G31" s="1">
        <v>2672.5353354664799</v>
      </c>
      <c r="H31" s="1">
        <f t="shared" si="11"/>
        <v>3.4269234560311084</v>
      </c>
      <c r="I31" s="1">
        <v>7745.6098359829703</v>
      </c>
      <c r="J31" s="1">
        <f t="shared" si="12"/>
        <v>0.33848496459148053</v>
      </c>
      <c r="K31" s="1">
        <f t="shared" si="13"/>
        <v>3.8890556167983656</v>
      </c>
      <c r="L31" s="1">
        <v>804.36874858280203</v>
      </c>
      <c r="M31" s="1">
        <f t="shared" si="14"/>
        <v>2.9054551889986802</v>
      </c>
      <c r="N31" s="1">
        <v>1091.4716182509901</v>
      </c>
      <c r="O31" s="1">
        <f t="shared" si="15"/>
        <v>3.0380124471480086</v>
      </c>
      <c r="P31" s="1">
        <v>-287.102869668187</v>
      </c>
      <c r="Q31" s="1" t="e">
        <f ca="1"/>
        <v>#NAME?</v>
      </c>
      <c r="R31" s="1" t="e">
        <f t="shared" ca="1" si="0"/>
        <v>#NAME?</v>
      </c>
      <c r="T31" s="1">
        <v>65612</v>
      </c>
      <c r="U31" s="1" t="e">
        <f ca="1"/>
        <v>#NAME?</v>
      </c>
      <c r="V31" s="1" t="e">
        <f t="shared" ca="1" si="1"/>
        <v>#NAME?</v>
      </c>
      <c r="W31" s="1" t="e">
        <f ca="1"/>
        <v>#NAME?</v>
      </c>
      <c r="X31" s="1" t="e">
        <f t="shared" ca="1" si="2"/>
        <v>#NAME?</v>
      </c>
      <c r="Y31" s="1" t="e">
        <f ca="1"/>
        <v>#NAME?</v>
      </c>
      <c r="Z31" s="1" t="e">
        <f t="shared" ca="1" si="3"/>
        <v>#NAME?</v>
      </c>
      <c r="AA31" s="1" t="e">
        <f ca="1"/>
        <v>#NAME?</v>
      </c>
      <c r="AB31" s="1" t="e">
        <f t="shared" ca="1" si="4"/>
        <v>#NAME?</v>
      </c>
      <c r="AC31" s="1" t="e">
        <f ca="1"/>
        <v>#NAME?</v>
      </c>
      <c r="AD31" s="1" t="e">
        <f t="shared" ca="1" si="5"/>
        <v>#NAME?</v>
      </c>
      <c r="AE31" s="1" t="e">
        <f ca="1"/>
        <v>#NAME?</v>
      </c>
      <c r="AF31" s="1" t="e">
        <f t="shared" ca="1" si="6"/>
        <v>#NAME?</v>
      </c>
      <c r="AG31" s="1" t="e">
        <f ca="1"/>
        <v>#NAME?</v>
      </c>
      <c r="AH31" s="1" t="e">
        <f t="shared" ca="1" si="7"/>
        <v>#NAME?</v>
      </c>
      <c r="AI31" s="1" t="e">
        <f ca="1"/>
        <v>#NAME?</v>
      </c>
      <c r="AJ31" s="1" t="e">
        <f t="shared" ca="1" si="16"/>
        <v>#NAME?</v>
      </c>
      <c r="AK31" s="1" t="e">
        <f ca="1"/>
        <v>#NAME?</v>
      </c>
      <c r="AL31" s="1" t="e">
        <f t="shared" ca="1" si="8"/>
        <v>#NAME?</v>
      </c>
    </row>
    <row r="32" spans="1:38" x14ac:dyDescent="0.25">
      <c r="A32" s="1" t="s">
        <v>47</v>
      </c>
      <c r="B32" s="1">
        <v>31</v>
      </c>
      <c r="C32" s="1">
        <v>23035.023013687602</v>
      </c>
      <c r="D32" s="1">
        <f t="shared" si="9"/>
        <v>4.3623886504811464</v>
      </c>
      <c r="E32" s="1">
        <v>13901.262235443101</v>
      </c>
      <c r="F32" s="1">
        <f t="shared" si="10"/>
        <v>4.1430542360094602</v>
      </c>
      <c r="G32" s="1">
        <v>2743.2014149900501</v>
      </c>
      <c r="H32" s="1">
        <f t="shared" si="11"/>
        <v>3.4382576961234421</v>
      </c>
      <c r="I32" s="1">
        <v>7809.7652402870199</v>
      </c>
      <c r="J32" s="1">
        <f t="shared" si="12"/>
        <v>0.33903874268527506</v>
      </c>
      <c r="K32" s="1">
        <f t="shared" si="13"/>
        <v>3.8926379792831551</v>
      </c>
      <c r="L32" s="1">
        <v>795.68066247261504</v>
      </c>
      <c r="M32" s="1">
        <f t="shared" si="14"/>
        <v>2.900738803475825</v>
      </c>
      <c r="N32" s="1">
        <v>1102.7073744296799</v>
      </c>
      <c r="O32" s="1">
        <f t="shared" si="15"/>
        <v>3.0424602789575692</v>
      </c>
      <c r="P32" s="1">
        <v>-307.02671195706802</v>
      </c>
      <c r="Q32" s="1" t="e">
        <f ca="1"/>
        <v>#NAME?</v>
      </c>
      <c r="R32" s="1" t="e">
        <f t="shared" ca="1" si="0"/>
        <v>#NAME?</v>
      </c>
      <c r="T32" s="1">
        <v>66065</v>
      </c>
      <c r="U32" s="1" t="e">
        <f ca="1"/>
        <v>#NAME?</v>
      </c>
      <c r="V32" s="1" t="e">
        <f t="shared" ca="1" si="1"/>
        <v>#NAME?</v>
      </c>
      <c r="W32" s="1" t="e">
        <f ca="1"/>
        <v>#NAME?</v>
      </c>
      <c r="X32" s="1" t="e">
        <f t="shared" ca="1" si="2"/>
        <v>#NAME?</v>
      </c>
      <c r="Y32" s="1" t="e">
        <f ca="1"/>
        <v>#NAME?</v>
      </c>
      <c r="Z32" s="1" t="e">
        <f t="shared" ca="1" si="3"/>
        <v>#NAME?</v>
      </c>
      <c r="AA32" s="1" t="e">
        <f ca="1"/>
        <v>#NAME?</v>
      </c>
      <c r="AB32" s="1" t="e">
        <f t="shared" ca="1" si="4"/>
        <v>#NAME?</v>
      </c>
      <c r="AC32" s="1" t="e">
        <f ca="1"/>
        <v>#NAME?</v>
      </c>
      <c r="AD32" s="1" t="e">
        <f t="shared" ca="1" si="5"/>
        <v>#NAME?</v>
      </c>
      <c r="AE32" s="1" t="e">
        <f ca="1"/>
        <v>#NAME?</v>
      </c>
      <c r="AF32" s="1" t="e">
        <f t="shared" ca="1" si="6"/>
        <v>#NAME?</v>
      </c>
      <c r="AG32" s="1" t="e">
        <f ca="1"/>
        <v>#NAME?</v>
      </c>
      <c r="AH32" s="1" t="e">
        <f t="shared" ca="1" si="7"/>
        <v>#NAME?</v>
      </c>
      <c r="AI32" s="1" t="e">
        <f ca="1"/>
        <v>#NAME?</v>
      </c>
      <c r="AJ32" s="1" t="e">
        <f t="shared" ca="1" si="16"/>
        <v>#NAME?</v>
      </c>
      <c r="AK32" s="1" t="e">
        <f ca="1"/>
        <v>#NAME?</v>
      </c>
      <c r="AL32" s="1" t="e">
        <f t="shared" ca="1" si="8"/>
        <v>#NAME?</v>
      </c>
    </row>
    <row r="33" spans="1:38" x14ac:dyDescent="0.25">
      <c r="A33" s="1" t="s">
        <v>48</v>
      </c>
      <c r="B33" s="1">
        <v>32</v>
      </c>
      <c r="C33" s="1">
        <v>23143.587276772301</v>
      </c>
      <c r="D33" s="1">
        <f t="shared" si="9"/>
        <v>4.3644306758672613</v>
      </c>
      <c r="E33" s="1">
        <v>13947.0817549556</v>
      </c>
      <c r="F33" s="1">
        <f t="shared" si="10"/>
        <v>4.1444833466561031</v>
      </c>
      <c r="G33" s="1">
        <v>2794.5102519391498</v>
      </c>
      <c r="H33" s="1">
        <f t="shared" si="11"/>
        <v>3.4463057072074021</v>
      </c>
      <c r="I33" s="1">
        <v>7847.0226284248301</v>
      </c>
      <c r="J33" s="1">
        <f t="shared" si="12"/>
        <v>0.33905818206066834</v>
      </c>
      <c r="K33" s="1">
        <f t="shared" si="13"/>
        <v>3.8947049049841334</v>
      </c>
      <c r="L33" s="1">
        <v>808.41500811737103</v>
      </c>
      <c r="M33" s="1">
        <f t="shared" si="14"/>
        <v>2.9076343675375456</v>
      </c>
      <c r="N33" s="1">
        <v>1157.6072795783</v>
      </c>
      <c r="O33" s="1">
        <f t="shared" si="15"/>
        <v>3.0635612491672575</v>
      </c>
      <c r="P33" s="1">
        <v>-349.19227146092601</v>
      </c>
      <c r="Q33" s="1" t="e">
        <f ca="1"/>
        <v>#NAME?</v>
      </c>
      <c r="R33" s="1" t="e">
        <f t="shared" ca="1" si="0"/>
        <v>#NAME?</v>
      </c>
      <c r="T33" s="1">
        <v>66609.333333333299</v>
      </c>
      <c r="U33" s="1" t="e">
        <f ca="1"/>
        <v>#NAME?</v>
      </c>
      <c r="V33" s="1" t="e">
        <f t="shared" ca="1" si="1"/>
        <v>#NAME?</v>
      </c>
      <c r="W33" s="1" t="e">
        <f ca="1"/>
        <v>#NAME?</v>
      </c>
      <c r="X33" s="1" t="e">
        <f t="shared" ca="1" si="2"/>
        <v>#NAME?</v>
      </c>
      <c r="Y33" s="1" t="e">
        <f ca="1"/>
        <v>#NAME?</v>
      </c>
      <c r="Z33" s="1" t="e">
        <f t="shared" ca="1" si="3"/>
        <v>#NAME?</v>
      </c>
      <c r="AA33" s="1" t="e">
        <f ca="1"/>
        <v>#NAME?</v>
      </c>
      <c r="AB33" s="1" t="e">
        <f t="shared" ca="1" si="4"/>
        <v>#NAME?</v>
      </c>
      <c r="AC33" s="1" t="e">
        <f ca="1"/>
        <v>#NAME?</v>
      </c>
      <c r="AD33" s="1" t="e">
        <f t="shared" ca="1" si="5"/>
        <v>#NAME?</v>
      </c>
      <c r="AE33" s="1" t="e">
        <f ca="1"/>
        <v>#NAME?</v>
      </c>
      <c r="AF33" s="1" t="e">
        <f t="shared" ca="1" si="6"/>
        <v>#NAME?</v>
      </c>
      <c r="AG33" s="1" t="e">
        <f ca="1"/>
        <v>#NAME?</v>
      </c>
      <c r="AH33" s="1" t="e">
        <f t="shared" ca="1" si="7"/>
        <v>#NAME?</v>
      </c>
      <c r="AI33" s="1" t="e">
        <f ca="1"/>
        <v>#NAME?</v>
      </c>
      <c r="AJ33" s="1" t="e">
        <f t="shared" ca="1" si="16"/>
        <v>#NAME?</v>
      </c>
      <c r="AK33" s="1" t="e">
        <f ca="1"/>
        <v>#NAME?</v>
      </c>
      <c r="AL33" s="1" t="e">
        <f t="shared" ca="1" si="8"/>
        <v>#NAME?</v>
      </c>
    </row>
    <row r="34" spans="1:38" x14ac:dyDescent="0.25">
      <c r="A34" s="1" t="s">
        <v>49</v>
      </c>
      <c r="B34" s="1">
        <v>33</v>
      </c>
      <c r="C34" s="1">
        <v>23565.654141353501</v>
      </c>
      <c r="D34" s="1">
        <f t="shared" si="9"/>
        <v>4.3722794995184113</v>
      </c>
      <c r="E34" s="1">
        <v>14251.121278032</v>
      </c>
      <c r="F34" s="1">
        <f t="shared" si="10"/>
        <v>4.1538490359728995</v>
      </c>
      <c r="G34" s="1">
        <v>2844.5061126528199</v>
      </c>
      <c r="H34" s="1">
        <f t="shared" si="11"/>
        <v>3.4540068713745011</v>
      </c>
      <c r="I34" s="1">
        <v>7970.4342608565203</v>
      </c>
      <c r="J34" s="1">
        <f t="shared" si="12"/>
        <v>0.3382224916417591</v>
      </c>
      <c r="K34" s="1">
        <f t="shared" si="13"/>
        <v>3.9014819841258288</v>
      </c>
      <c r="L34" s="1">
        <v>829.36073401835097</v>
      </c>
      <c r="M34" s="1">
        <f t="shared" si="14"/>
        <v>2.9187434698960528</v>
      </c>
      <c r="N34" s="1">
        <v>1223.21558038951</v>
      </c>
      <c r="O34" s="1">
        <f t="shared" si="15"/>
        <v>3.0875030041522171</v>
      </c>
      <c r="P34" s="1">
        <v>-393.854846371159</v>
      </c>
      <c r="Q34" s="1" t="e">
        <f ca="1"/>
        <v>#NAME?</v>
      </c>
      <c r="R34" s="1" t="e">
        <f t="shared" ca="1" si="0"/>
        <v>#NAME?</v>
      </c>
      <c r="T34" s="1">
        <v>67104.666666666701</v>
      </c>
      <c r="U34" s="1" t="e">
        <f ca="1"/>
        <v>#NAME?</v>
      </c>
      <c r="V34" s="1" t="e">
        <f t="shared" ca="1" si="1"/>
        <v>#NAME?</v>
      </c>
      <c r="W34" s="1" t="e">
        <f ca="1"/>
        <v>#NAME?</v>
      </c>
      <c r="X34" s="1" t="e">
        <f t="shared" ca="1" si="2"/>
        <v>#NAME?</v>
      </c>
      <c r="Y34" s="1" t="e">
        <f ca="1"/>
        <v>#NAME?</v>
      </c>
      <c r="Z34" s="1" t="e">
        <f t="shared" ca="1" si="3"/>
        <v>#NAME?</v>
      </c>
      <c r="AA34" s="1" t="e">
        <f ca="1"/>
        <v>#NAME?</v>
      </c>
      <c r="AB34" s="1" t="e">
        <f t="shared" ca="1" si="4"/>
        <v>#NAME?</v>
      </c>
      <c r="AC34" s="1" t="e">
        <f ca="1"/>
        <v>#NAME?</v>
      </c>
      <c r="AD34" s="1" t="e">
        <f t="shared" ca="1" si="5"/>
        <v>#NAME?</v>
      </c>
      <c r="AE34" s="1" t="e">
        <f ca="1"/>
        <v>#NAME?</v>
      </c>
      <c r="AF34" s="1" t="e">
        <f t="shared" ca="1" si="6"/>
        <v>#NAME?</v>
      </c>
      <c r="AG34" s="1" t="e">
        <f ca="1"/>
        <v>#NAME?</v>
      </c>
      <c r="AH34" s="1" t="e">
        <f t="shared" ca="1" si="7"/>
        <v>#NAME?</v>
      </c>
      <c r="AI34" s="1" t="e">
        <f ca="1"/>
        <v>#NAME?</v>
      </c>
      <c r="AJ34" s="1" t="e">
        <f t="shared" ca="1" si="16"/>
        <v>#NAME?</v>
      </c>
      <c r="AK34" s="1" t="e">
        <f ca="1"/>
        <v>#NAME?</v>
      </c>
      <c r="AL34" s="1" t="e">
        <f t="shared" ca="1" si="8"/>
        <v>#NAME?</v>
      </c>
    </row>
    <row r="35" spans="1:38" x14ac:dyDescent="0.25">
      <c r="A35" s="1" t="s">
        <v>50</v>
      </c>
      <c r="B35" s="1">
        <v>34</v>
      </c>
      <c r="C35" s="1">
        <v>23904.765230578902</v>
      </c>
      <c r="D35" s="1">
        <f t="shared" si="9"/>
        <v>4.3784844828335325</v>
      </c>
      <c r="E35" s="1">
        <v>14435.1415800291</v>
      </c>
      <c r="F35" s="1">
        <f t="shared" si="10"/>
        <v>4.1594210478027351</v>
      </c>
      <c r="G35" s="1">
        <v>2946.57573883024</v>
      </c>
      <c r="H35" s="1">
        <f t="shared" si="11"/>
        <v>3.4693176086869952</v>
      </c>
      <c r="I35" s="1">
        <v>7993.5096681499799</v>
      </c>
      <c r="J35" s="1">
        <f t="shared" si="12"/>
        <v>0.33438980015267866</v>
      </c>
      <c r="K35" s="1">
        <f t="shared" si="13"/>
        <v>3.9027375045760886</v>
      </c>
      <c r="L35" s="1">
        <v>841.31363119350306</v>
      </c>
      <c r="M35" s="1">
        <f t="shared" si="14"/>
        <v>2.9249579255305656</v>
      </c>
      <c r="N35" s="1">
        <v>1239.0447588450099</v>
      </c>
      <c r="O35" s="1">
        <f t="shared" si="15"/>
        <v>3.0930869949703368</v>
      </c>
      <c r="P35" s="1">
        <v>-397.73112765150802</v>
      </c>
      <c r="Q35" s="1" t="e">
        <f ca="1"/>
        <v>#NAME?</v>
      </c>
      <c r="R35" s="1" t="e">
        <f t="shared" ca="1" si="0"/>
        <v>#NAME?</v>
      </c>
      <c r="T35" s="1">
        <v>67704.333333333299</v>
      </c>
      <c r="U35" s="1" t="e">
        <f ca="1"/>
        <v>#NAME?</v>
      </c>
      <c r="V35" s="1" t="e">
        <f t="shared" ca="1" si="1"/>
        <v>#NAME?</v>
      </c>
      <c r="W35" s="1" t="e">
        <f ca="1"/>
        <v>#NAME?</v>
      </c>
      <c r="X35" s="1" t="e">
        <f t="shared" ca="1" si="2"/>
        <v>#NAME?</v>
      </c>
      <c r="Y35" s="1" t="e">
        <f ca="1"/>
        <v>#NAME?</v>
      </c>
      <c r="Z35" s="1" t="e">
        <f t="shared" ca="1" si="3"/>
        <v>#NAME?</v>
      </c>
      <c r="AA35" s="1" t="e">
        <f ca="1"/>
        <v>#NAME?</v>
      </c>
      <c r="AB35" s="1" t="e">
        <f t="shared" ca="1" si="4"/>
        <v>#NAME?</v>
      </c>
      <c r="AC35" s="1" t="e">
        <f ca="1"/>
        <v>#NAME?</v>
      </c>
      <c r="AD35" s="1" t="e">
        <f t="shared" ca="1" si="5"/>
        <v>#NAME?</v>
      </c>
      <c r="AE35" s="1" t="e">
        <f ca="1"/>
        <v>#NAME?</v>
      </c>
      <c r="AF35" s="1" t="e">
        <f t="shared" ca="1" si="6"/>
        <v>#NAME?</v>
      </c>
      <c r="AG35" s="1" t="e">
        <f ca="1"/>
        <v>#NAME?</v>
      </c>
      <c r="AH35" s="1" t="e">
        <f t="shared" ca="1" si="7"/>
        <v>#NAME?</v>
      </c>
      <c r="AI35" s="1" t="e">
        <f ca="1"/>
        <v>#NAME?</v>
      </c>
      <c r="AJ35" s="1" t="e">
        <f t="shared" ca="1" si="16"/>
        <v>#NAME?</v>
      </c>
      <c r="AK35" s="1" t="e">
        <f ca="1"/>
        <v>#NAME?</v>
      </c>
      <c r="AL35" s="1" t="e">
        <f t="shared" ca="1" si="8"/>
        <v>#NAME?</v>
      </c>
    </row>
    <row r="36" spans="1:38" x14ac:dyDescent="0.25">
      <c r="A36" s="1" t="s">
        <v>51</v>
      </c>
      <c r="B36" s="1">
        <v>35</v>
      </c>
      <c r="C36" s="1">
        <v>24024.696886023201</v>
      </c>
      <c r="D36" s="1">
        <f t="shared" si="9"/>
        <v>4.3806579169833322</v>
      </c>
      <c r="E36" s="1">
        <v>14665.810932501499</v>
      </c>
      <c r="F36" s="1">
        <f t="shared" si="10"/>
        <v>4.1663060818936994</v>
      </c>
      <c r="G36" s="1">
        <v>2858.44564844251</v>
      </c>
      <c r="H36" s="1">
        <f t="shared" si="11"/>
        <v>3.4561299387906579</v>
      </c>
      <c r="I36" s="1">
        <v>7995.7163539754301</v>
      </c>
      <c r="J36" s="1">
        <f t="shared" si="12"/>
        <v>0.33281237186501539</v>
      </c>
      <c r="K36" s="1">
        <f t="shared" si="13"/>
        <v>3.9028573792319405</v>
      </c>
      <c r="L36" s="1">
        <v>898.69500539809098</v>
      </c>
      <c r="M36" s="1">
        <f t="shared" si="14"/>
        <v>2.9536123280553053</v>
      </c>
      <c r="N36" s="1">
        <v>1309.9498997497501</v>
      </c>
      <c r="O36" s="1">
        <f t="shared" si="15"/>
        <v>3.1172546859776706</v>
      </c>
      <c r="P36" s="1">
        <v>-411.25489435165701</v>
      </c>
      <c r="Q36" s="1" t="e">
        <f ca="1"/>
        <v>#NAME?</v>
      </c>
      <c r="R36" s="1" t="e">
        <f t="shared" ca="1" si="0"/>
        <v>#NAME?</v>
      </c>
      <c r="T36" s="1">
        <v>68313.333333333299</v>
      </c>
      <c r="U36" s="1" t="e">
        <f ca="1"/>
        <v>#NAME?</v>
      </c>
      <c r="V36" s="1" t="e">
        <f t="shared" ca="1" si="1"/>
        <v>#NAME?</v>
      </c>
      <c r="W36" s="1" t="e">
        <f ca="1"/>
        <v>#NAME?</v>
      </c>
      <c r="X36" s="1" t="e">
        <f t="shared" ca="1" si="2"/>
        <v>#NAME?</v>
      </c>
      <c r="Y36" s="1" t="e">
        <f ca="1"/>
        <v>#NAME?</v>
      </c>
      <c r="Z36" s="1" t="e">
        <f t="shared" ca="1" si="3"/>
        <v>#NAME?</v>
      </c>
      <c r="AA36" s="1" t="e">
        <f ca="1"/>
        <v>#NAME?</v>
      </c>
      <c r="AB36" s="1" t="e">
        <f t="shared" ca="1" si="4"/>
        <v>#NAME?</v>
      </c>
      <c r="AC36" s="1" t="e">
        <f ca="1"/>
        <v>#NAME?</v>
      </c>
      <c r="AD36" s="1" t="e">
        <f t="shared" ca="1" si="5"/>
        <v>#NAME?</v>
      </c>
      <c r="AE36" s="1" t="e">
        <f ca="1"/>
        <v>#NAME?</v>
      </c>
      <c r="AF36" s="1" t="e">
        <f t="shared" ca="1" si="6"/>
        <v>#NAME?</v>
      </c>
      <c r="AG36" s="1" t="e">
        <f ca="1"/>
        <v>#NAME?</v>
      </c>
      <c r="AH36" s="1" t="e">
        <f t="shared" ca="1" si="7"/>
        <v>#NAME?</v>
      </c>
      <c r="AI36" s="1" t="e">
        <f ca="1"/>
        <v>#NAME?</v>
      </c>
      <c r="AJ36" s="1" t="e">
        <f t="shared" ca="1" si="16"/>
        <v>#NAME?</v>
      </c>
      <c r="AK36" s="1" t="e">
        <f ca="1"/>
        <v>#NAME?</v>
      </c>
      <c r="AL36" s="1" t="e">
        <f t="shared" ca="1" si="8"/>
        <v>#NAME?</v>
      </c>
    </row>
    <row r="37" spans="1:38" x14ac:dyDescent="0.25">
      <c r="A37" s="1" t="s">
        <v>52</v>
      </c>
      <c r="B37" s="1">
        <v>36</v>
      </c>
      <c r="C37" s="1">
        <v>24054.4463078923</v>
      </c>
      <c r="D37" s="1">
        <f t="shared" si="9"/>
        <v>4.3811953646393489</v>
      </c>
      <c r="E37" s="1">
        <v>14692.4202879854</v>
      </c>
      <c r="F37" s="1">
        <f t="shared" si="10"/>
        <v>4.1670933431787116</v>
      </c>
      <c r="G37" s="1">
        <v>2881.7840804215598</v>
      </c>
      <c r="H37" s="1">
        <f t="shared" si="11"/>
        <v>3.4596614378956132</v>
      </c>
      <c r="I37" s="1">
        <v>7981.4873621848001</v>
      </c>
      <c r="J37" s="1">
        <f t="shared" si="12"/>
        <v>0.33180923227345549</v>
      </c>
      <c r="K37" s="1">
        <f t="shared" si="13"/>
        <v>3.9020838303229772</v>
      </c>
      <c r="L37" s="1">
        <v>876.36574740247499</v>
      </c>
      <c r="M37" s="1">
        <f t="shared" si="14"/>
        <v>2.9426853948987093</v>
      </c>
      <c r="N37" s="1">
        <v>1295.4231956256399</v>
      </c>
      <c r="O37" s="1">
        <f t="shared" si="15"/>
        <v>3.1124116691900299</v>
      </c>
      <c r="P37" s="1">
        <v>-419.05744822316399</v>
      </c>
      <c r="Q37" s="1" t="e">
        <f ca="1"/>
        <v>#NAME?</v>
      </c>
      <c r="R37" s="1" t="e">
        <f t="shared" ca="1" si="0"/>
        <v>#NAME?</v>
      </c>
      <c r="T37" s="1">
        <v>68984.333333333299</v>
      </c>
      <c r="U37" s="1" t="e">
        <f ca="1"/>
        <v>#NAME?</v>
      </c>
      <c r="V37" s="1" t="e">
        <f t="shared" ca="1" si="1"/>
        <v>#NAME?</v>
      </c>
      <c r="W37" s="1" t="e">
        <f ca="1"/>
        <v>#NAME?</v>
      </c>
      <c r="X37" s="1" t="e">
        <f t="shared" ca="1" si="2"/>
        <v>#NAME?</v>
      </c>
      <c r="Y37" s="1" t="e">
        <f ca="1"/>
        <v>#NAME?</v>
      </c>
      <c r="Z37" s="1" t="e">
        <f t="shared" ca="1" si="3"/>
        <v>#NAME?</v>
      </c>
      <c r="AA37" s="1" t="e">
        <f ca="1"/>
        <v>#NAME?</v>
      </c>
      <c r="AB37" s="1" t="e">
        <f t="shared" ca="1" si="4"/>
        <v>#NAME?</v>
      </c>
      <c r="AC37" s="1" t="e">
        <f ca="1"/>
        <v>#NAME?</v>
      </c>
      <c r="AD37" s="1" t="e">
        <f t="shared" ca="1" si="5"/>
        <v>#NAME?</v>
      </c>
      <c r="AE37" s="1" t="e">
        <f ca="1"/>
        <v>#NAME?</v>
      </c>
      <c r="AF37" s="1" t="e">
        <f t="shared" ca="1" si="6"/>
        <v>#NAME?</v>
      </c>
      <c r="AG37" s="1" t="e">
        <f ca="1"/>
        <v>#NAME?</v>
      </c>
      <c r="AH37" s="1" t="e">
        <f t="shared" ca="1" si="7"/>
        <v>#NAME?</v>
      </c>
      <c r="AI37" s="1" t="e">
        <f ca="1"/>
        <v>#NAME?</v>
      </c>
      <c r="AJ37" s="1" t="e">
        <f t="shared" ca="1" si="16"/>
        <v>#NAME?</v>
      </c>
      <c r="AK37" s="1" t="e">
        <f ca="1"/>
        <v>#NAME?</v>
      </c>
      <c r="AL37" s="1" t="e">
        <f t="shared" ca="1" si="8"/>
        <v>#NAME?</v>
      </c>
    </row>
    <row r="38" spans="1:38" x14ac:dyDescent="0.25">
      <c r="A38" s="1" t="s">
        <v>53</v>
      </c>
      <c r="B38" s="1">
        <v>37</v>
      </c>
      <c r="C38" s="1">
        <v>24380.480800178299</v>
      </c>
      <c r="D38" s="1">
        <f t="shared" si="9"/>
        <v>4.3870422659585477</v>
      </c>
      <c r="E38" s="1">
        <v>14824.654007080801</v>
      </c>
      <c r="F38" s="1">
        <f t="shared" si="10"/>
        <v>4.1709845661463127</v>
      </c>
      <c r="G38" s="1">
        <v>3045.1783813225702</v>
      </c>
      <c r="H38" s="1">
        <f t="shared" si="11"/>
        <v>3.4836127379393349</v>
      </c>
      <c r="I38" s="1">
        <v>7983.0605828031003</v>
      </c>
      <c r="J38" s="1">
        <f t="shared" si="12"/>
        <v>0.3274365525533327</v>
      </c>
      <c r="K38" s="1">
        <f t="shared" si="13"/>
        <v>3.9021694251093639</v>
      </c>
      <c r="L38" s="1">
        <v>772.89495184570796</v>
      </c>
      <c r="M38" s="1">
        <f t="shared" si="14"/>
        <v>2.8881204707178689</v>
      </c>
      <c r="N38" s="1">
        <v>1170.8152806318201</v>
      </c>
      <c r="O38" s="1">
        <f t="shared" si="15"/>
        <v>3.0684883818953153</v>
      </c>
      <c r="P38" s="1">
        <v>-397.92032878611599</v>
      </c>
      <c r="Q38" s="1" t="e">
        <f ca="1"/>
        <v>#NAME?</v>
      </c>
      <c r="R38" s="1" t="e">
        <f t="shared" ca="1" si="0"/>
        <v>#NAME?</v>
      </c>
      <c r="T38" s="1">
        <v>69681</v>
      </c>
      <c r="U38" s="1" t="e">
        <f ca="1"/>
        <v>#NAME?</v>
      </c>
      <c r="V38" s="1" t="e">
        <f t="shared" ca="1" si="1"/>
        <v>#NAME?</v>
      </c>
      <c r="W38" s="1" t="e">
        <f ca="1"/>
        <v>#NAME?</v>
      </c>
      <c r="X38" s="1" t="e">
        <f t="shared" ca="1" si="2"/>
        <v>#NAME?</v>
      </c>
      <c r="Y38" s="1" t="e">
        <f ca="1"/>
        <v>#NAME?</v>
      </c>
      <c r="Z38" s="1" t="e">
        <f t="shared" ca="1" si="3"/>
        <v>#NAME?</v>
      </c>
      <c r="AA38" s="1" t="e">
        <f ca="1"/>
        <v>#NAME?</v>
      </c>
      <c r="AB38" s="1" t="e">
        <f t="shared" ca="1" si="4"/>
        <v>#NAME?</v>
      </c>
      <c r="AC38" s="1" t="e">
        <f ca="1"/>
        <v>#NAME?</v>
      </c>
      <c r="AD38" s="1" t="e">
        <f t="shared" ca="1" si="5"/>
        <v>#NAME?</v>
      </c>
      <c r="AE38" s="1" t="e">
        <f ca="1"/>
        <v>#NAME?</v>
      </c>
      <c r="AF38" s="1" t="e">
        <f t="shared" ca="1" si="6"/>
        <v>#NAME?</v>
      </c>
      <c r="AG38" s="1" t="e">
        <f ca="1"/>
        <v>#NAME?</v>
      </c>
      <c r="AH38" s="1" t="e">
        <f t="shared" ca="1" si="7"/>
        <v>#NAME?</v>
      </c>
      <c r="AI38" s="1" t="e">
        <f ca="1"/>
        <v>#NAME?</v>
      </c>
      <c r="AJ38" s="1" t="e">
        <f t="shared" ca="1" si="16"/>
        <v>#NAME?</v>
      </c>
      <c r="AK38" s="1" t="e">
        <f ca="1"/>
        <v>#NAME?</v>
      </c>
      <c r="AL38" s="1" t="e">
        <f t="shared" ca="1" si="8"/>
        <v>#NAME?</v>
      </c>
    </row>
    <row r="39" spans="1:38" x14ac:dyDescent="0.25">
      <c r="A39" s="1" t="s">
        <v>54</v>
      </c>
      <c r="B39" s="1">
        <v>38</v>
      </c>
      <c r="C39" s="1">
        <v>24398.539662778701</v>
      </c>
      <c r="D39" s="1">
        <f t="shared" si="9"/>
        <v>4.3873638330855913</v>
      </c>
      <c r="E39" s="1">
        <v>14886.087768440701</v>
      </c>
      <c r="F39" s="1">
        <f t="shared" si="10"/>
        <v>4.1727805752656275</v>
      </c>
      <c r="G39" s="1">
        <v>3020.29947781582</v>
      </c>
      <c r="H39" s="1">
        <f t="shared" si="11"/>
        <v>3.4800500075646084</v>
      </c>
      <c r="I39" s="1">
        <v>7939.9265879191198</v>
      </c>
      <c r="J39" s="1">
        <f t="shared" si="12"/>
        <v>0.32542630410097495</v>
      </c>
      <c r="K39" s="1">
        <f t="shared" si="13"/>
        <v>3.8998164869851539</v>
      </c>
      <c r="L39" s="1">
        <v>940.11431733187101</v>
      </c>
      <c r="M39" s="1">
        <f t="shared" si="14"/>
        <v>2.9731806667568783</v>
      </c>
      <c r="N39" s="1">
        <v>1398.58906525573</v>
      </c>
      <c r="O39" s="1">
        <f t="shared" si="15"/>
        <v>3.1456901284246968</v>
      </c>
      <c r="P39" s="1">
        <v>-458.474747923861</v>
      </c>
      <c r="Q39" s="1" t="e">
        <f ca="1"/>
        <v>#NAME?</v>
      </c>
      <c r="R39" s="1" t="e">
        <f t="shared" ca="1" si="0"/>
        <v>#NAME?</v>
      </c>
      <c r="T39" s="1">
        <v>70345.333333333299</v>
      </c>
      <c r="U39" s="1" t="e">
        <f ca="1"/>
        <v>#NAME?</v>
      </c>
      <c r="V39" s="1" t="e">
        <f t="shared" ca="1" si="1"/>
        <v>#NAME?</v>
      </c>
      <c r="W39" s="1" t="e">
        <f ca="1"/>
        <v>#NAME?</v>
      </c>
      <c r="X39" s="1" t="e">
        <f t="shared" ca="1" si="2"/>
        <v>#NAME?</v>
      </c>
      <c r="Y39" s="1" t="e">
        <f ca="1"/>
        <v>#NAME?</v>
      </c>
      <c r="Z39" s="1" t="e">
        <f t="shared" ca="1" si="3"/>
        <v>#NAME?</v>
      </c>
      <c r="AA39" s="1" t="e">
        <f ca="1"/>
        <v>#NAME?</v>
      </c>
      <c r="AB39" s="1" t="e">
        <f t="shared" ca="1" si="4"/>
        <v>#NAME?</v>
      </c>
      <c r="AC39" s="1" t="e">
        <f ca="1"/>
        <v>#NAME?</v>
      </c>
      <c r="AD39" s="1" t="e">
        <f t="shared" ca="1" si="5"/>
        <v>#NAME?</v>
      </c>
      <c r="AE39" s="1" t="e">
        <f ca="1"/>
        <v>#NAME?</v>
      </c>
      <c r="AF39" s="1" t="e">
        <f t="shared" ca="1" si="6"/>
        <v>#NAME?</v>
      </c>
      <c r="AG39" s="1" t="e">
        <f ca="1"/>
        <v>#NAME?</v>
      </c>
      <c r="AH39" s="1" t="e">
        <f t="shared" ca="1" si="7"/>
        <v>#NAME?</v>
      </c>
      <c r="AI39" s="1" t="e">
        <f ca="1"/>
        <v>#NAME?</v>
      </c>
      <c r="AJ39" s="1" t="e">
        <f t="shared" ca="1" si="16"/>
        <v>#NAME?</v>
      </c>
      <c r="AK39" s="1" t="e">
        <f ca="1"/>
        <v>#NAME?</v>
      </c>
      <c r="AL39" s="1" t="e">
        <f t="shared" ca="1" si="8"/>
        <v>#NAME?</v>
      </c>
    </row>
    <row r="40" spans="1:38" x14ac:dyDescent="0.25">
      <c r="A40" s="1" t="s">
        <v>55</v>
      </c>
      <c r="B40" s="1">
        <v>39</v>
      </c>
      <c r="C40" s="1">
        <v>24491.092981782</v>
      </c>
      <c r="D40" s="1">
        <f t="shared" si="9"/>
        <v>4.3890081671322569</v>
      </c>
      <c r="E40" s="1">
        <v>14916.880967160299</v>
      </c>
      <c r="F40" s="1">
        <f t="shared" si="10"/>
        <v>4.1736780241850049</v>
      </c>
      <c r="G40" s="1">
        <v>3073.00996127812</v>
      </c>
      <c r="H40" s="1">
        <f t="shared" si="11"/>
        <v>3.4875639680406634</v>
      </c>
      <c r="I40" s="1">
        <v>7933.8033164848803</v>
      </c>
      <c r="J40" s="1">
        <f t="shared" si="12"/>
        <v>0.32394647810885929</v>
      </c>
      <c r="K40" s="1">
        <f t="shared" si="13"/>
        <v>3.8994814298633553</v>
      </c>
      <c r="L40" s="1">
        <v>921.79756239346602</v>
      </c>
      <c r="M40" s="1">
        <f t="shared" si="14"/>
        <v>2.9646355553393082</v>
      </c>
      <c r="N40" s="1">
        <v>1376.61218015036</v>
      </c>
      <c r="O40" s="1">
        <f t="shared" si="15"/>
        <v>3.1388116078362591</v>
      </c>
      <c r="P40" s="1">
        <v>-454.81461775689002</v>
      </c>
      <c r="Q40" s="1" t="e">
        <f ca="1"/>
        <v>#NAME?</v>
      </c>
      <c r="R40" s="1" t="e">
        <f t="shared" ca="1" si="0"/>
        <v>#NAME?</v>
      </c>
      <c r="T40" s="1">
        <v>70883.666666666701</v>
      </c>
      <c r="U40" s="1" t="e">
        <f ca="1"/>
        <v>#NAME?</v>
      </c>
      <c r="V40" s="1" t="e">
        <f t="shared" ca="1" si="1"/>
        <v>#NAME?</v>
      </c>
      <c r="W40" s="1" t="e">
        <f ca="1"/>
        <v>#NAME?</v>
      </c>
      <c r="X40" s="1" t="e">
        <f t="shared" ca="1" si="2"/>
        <v>#NAME?</v>
      </c>
      <c r="Y40" s="1" t="e">
        <f ca="1"/>
        <v>#NAME?</v>
      </c>
      <c r="Z40" s="1" t="e">
        <f t="shared" ca="1" si="3"/>
        <v>#NAME?</v>
      </c>
      <c r="AA40" s="1" t="e">
        <f ca="1"/>
        <v>#NAME?</v>
      </c>
      <c r="AB40" s="1" t="e">
        <f t="shared" ca="1" si="4"/>
        <v>#NAME?</v>
      </c>
      <c r="AC40" s="1" t="e">
        <f ca="1"/>
        <v>#NAME?</v>
      </c>
      <c r="AD40" s="1" t="e">
        <f t="shared" ca="1" si="5"/>
        <v>#NAME?</v>
      </c>
      <c r="AE40" s="1" t="e">
        <f ca="1"/>
        <v>#NAME?</v>
      </c>
      <c r="AF40" s="1" t="e">
        <f t="shared" ca="1" si="6"/>
        <v>#NAME?</v>
      </c>
      <c r="AG40" s="1" t="e">
        <f ca="1"/>
        <v>#NAME?</v>
      </c>
      <c r="AH40" s="1" t="e">
        <f t="shared" ca="1" si="7"/>
        <v>#NAME?</v>
      </c>
      <c r="AI40" s="1" t="e">
        <f ca="1"/>
        <v>#NAME?</v>
      </c>
      <c r="AJ40" s="1" t="e">
        <f t="shared" ca="1" si="16"/>
        <v>#NAME?</v>
      </c>
      <c r="AK40" s="1" t="e">
        <f ca="1"/>
        <v>#NAME?</v>
      </c>
      <c r="AL40" s="1" t="e">
        <f t="shared" ca="1" si="8"/>
        <v>#NAME?</v>
      </c>
    </row>
    <row r="41" spans="1:38" x14ac:dyDescent="0.25">
      <c r="A41" s="1" t="s">
        <v>56</v>
      </c>
      <c r="B41" s="1">
        <v>40</v>
      </c>
      <c r="C41" s="1">
        <v>24300.0628733103</v>
      </c>
      <c r="D41" s="1">
        <f t="shared" si="9"/>
        <v>4.3856073972812917</v>
      </c>
      <c r="E41" s="1">
        <v>14991.9345331657</v>
      </c>
      <c r="F41" s="1">
        <f t="shared" si="10"/>
        <v>4.1758576770691187</v>
      </c>
      <c r="G41" s="1">
        <v>2916.0395708896599</v>
      </c>
      <c r="H41" s="1">
        <f t="shared" si="11"/>
        <v>3.464793413096698</v>
      </c>
      <c r="I41" s="1">
        <v>7804.0906947500798</v>
      </c>
      <c r="J41" s="1">
        <f t="shared" si="12"/>
        <v>0.32115516471859068</v>
      </c>
      <c r="K41" s="1">
        <f t="shared" si="13"/>
        <v>3.892322307877865</v>
      </c>
      <c r="L41" s="1">
        <v>943.13403803835297</v>
      </c>
      <c r="M41" s="1">
        <f t="shared" si="14"/>
        <v>2.9745734189766582</v>
      </c>
      <c r="N41" s="1">
        <v>1357.4888006916101</v>
      </c>
      <c r="O41" s="1">
        <f t="shared" si="15"/>
        <v>3.1327362553379392</v>
      </c>
      <c r="P41" s="1">
        <v>-414.354762653254</v>
      </c>
      <c r="Q41" s="1" t="e">
        <f ca="1"/>
        <v>#NAME?</v>
      </c>
      <c r="R41" s="1" t="e">
        <f t="shared" ca="1" si="0"/>
        <v>#NAME?</v>
      </c>
      <c r="T41" s="1">
        <v>71149.333333333299</v>
      </c>
      <c r="U41" s="1" t="e">
        <f ca="1"/>
        <v>#NAME?</v>
      </c>
      <c r="V41" s="1" t="e">
        <f t="shared" ca="1" si="1"/>
        <v>#NAME?</v>
      </c>
      <c r="W41" s="1" t="e">
        <f ca="1"/>
        <v>#NAME?</v>
      </c>
      <c r="X41" s="1" t="e">
        <f t="shared" ca="1" si="2"/>
        <v>#NAME?</v>
      </c>
      <c r="Y41" s="1" t="e">
        <f ca="1"/>
        <v>#NAME?</v>
      </c>
      <c r="Z41" s="1" t="e">
        <f t="shared" ca="1" si="3"/>
        <v>#NAME?</v>
      </c>
      <c r="AA41" s="1" t="e">
        <f ca="1"/>
        <v>#NAME?</v>
      </c>
      <c r="AB41" s="1" t="e">
        <f t="shared" ca="1" si="4"/>
        <v>#NAME?</v>
      </c>
      <c r="AC41" s="1" t="e">
        <f ca="1"/>
        <v>#NAME?</v>
      </c>
      <c r="AD41" s="1" t="e">
        <f t="shared" ca="1" si="5"/>
        <v>#NAME?</v>
      </c>
      <c r="AE41" s="1" t="e">
        <f ca="1"/>
        <v>#NAME?</v>
      </c>
      <c r="AF41" s="1" t="e">
        <f t="shared" ca="1" si="6"/>
        <v>#NAME?</v>
      </c>
      <c r="AG41" s="1" t="e">
        <f ca="1"/>
        <v>#NAME?</v>
      </c>
      <c r="AH41" s="1" t="e">
        <f t="shared" ca="1" si="7"/>
        <v>#NAME?</v>
      </c>
      <c r="AI41" s="1" t="e">
        <f ca="1"/>
        <v>#NAME?</v>
      </c>
      <c r="AJ41" s="1" t="e">
        <f t="shared" ca="1" si="16"/>
        <v>#NAME?</v>
      </c>
      <c r="AK41" s="1" t="e">
        <f ca="1"/>
        <v>#NAME?</v>
      </c>
      <c r="AL41" s="1" t="e">
        <f t="shared" ca="1" si="8"/>
        <v>#NAME?</v>
      </c>
    </row>
    <row r="42" spans="1:38" x14ac:dyDescent="0.25">
      <c r="A42" s="1" t="s">
        <v>57</v>
      </c>
      <c r="B42" s="1">
        <v>41</v>
      </c>
      <c r="C42" s="1">
        <v>24204.3011279559</v>
      </c>
      <c r="D42" s="1">
        <f t="shared" si="9"/>
        <v>4.3838925473919419</v>
      </c>
      <c r="E42" s="1">
        <v>15047.852375959201</v>
      </c>
      <c r="F42" s="1">
        <f t="shared" si="10"/>
        <v>4.1774745220013338</v>
      </c>
      <c r="G42" s="1">
        <v>2822.1093068608302</v>
      </c>
      <c r="H42" s="1">
        <f t="shared" si="11"/>
        <v>3.450573830980038</v>
      </c>
      <c r="I42" s="1">
        <v>7747.4545044735996</v>
      </c>
      <c r="J42" s="1">
        <f t="shared" si="12"/>
        <v>0.32008585843965193</v>
      </c>
      <c r="K42" s="1">
        <f t="shared" si="13"/>
        <v>3.8891590346029528</v>
      </c>
      <c r="L42" s="1">
        <v>953.22560097213898</v>
      </c>
      <c r="M42" s="1">
        <f t="shared" si="14"/>
        <v>2.9791956977655074</v>
      </c>
      <c r="N42" s="1">
        <v>1349.7153160922401</v>
      </c>
      <c r="O42" s="1">
        <f t="shared" si="15"/>
        <v>3.1302421761334354</v>
      </c>
      <c r="P42" s="1">
        <v>-396.489715120097</v>
      </c>
      <c r="Q42" s="1" t="e">
        <f ca="1"/>
        <v>#NAME?</v>
      </c>
      <c r="R42" s="1" t="e">
        <f t="shared" ca="1" si="0"/>
        <v>#NAME?</v>
      </c>
      <c r="T42" s="1">
        <v>71310.666666666701</v>
      </c>
      <c r="U42" s="1" t="e">
        <f ca="1"/>
        <v>#NAME?</v>
      </c>
      <c r="V42" s="1" t="e">
        <f t="shared" ca="1" si="1"/>
        <v>#NAME?</v>
      </c>
      <c r="W42" s="1" t="e">
        <f ca="1"/>
        <v>#NAME?</v>
      </c>
      <c r="X42" s="1" t="e">
        <f t="shared" ca="1" si="2"/>
        <v>#NAME?</v>
      </c>
      <c r="Y42" s="1" t="e">
        <f ca="1"/>
        <v>#NAME?</v>
      </c>
      <c r="Z42" s="1" t="e">
        <f t="shared" ca="1" si="3"/>
        <v>#NAME?</v>
      </c>
      <c r="AA42" s="1" t="e">
        <f ca="1"/>
        <v>#NAME?</v>
      </c>
      <c r="AB42" s="1" t="e">
        <f t="shared" ca="1" si="4"/>
        <v>#NAME?</v>
      </c>
      <c r="AC42" s="1" t="e">
        <f ca="1"/>
        <v>#NAME?</v>
      </c>
      <c r="AD42" s="1" t="e">
        <f t="shared" ca="1" si="5"/>
        <v>#NAME?</v>
      </c>
      <c r="AE42" s="1" t="e">
        <f ca="1"/>
        <v>#NAME?</v>
      </c>
      <c r="AF42" s="1" t="e">
        <f t="shared" ca="1" si="6"/>
        <v>#NAME?</v>
      </c>
      <c r="AG42" s="1" t="e">
        <f ca="1"/>
        <v>#NAME?</v>
      </c>
      <c r="AH42" s="1" t="e">
        <f t="shared" ca="1" si="7"/>
        <v>#NAME?</v>
      </c>
      <c r="AI42" s="1" t="e">
        <f ca="1"/>
        <v>#NAME?</v>
      </c>
      <c r="AJ42" s="1" t="e">
        <f t="shared" ca="1" si="16"/>
        <v>#NAME?</v>
      </c>
      <c r="AK42" s="1" t="e">
        <f ca="1"/>
        <v>#NAME?</v>
      </c>
      <c r="AL42" s="1" t="e">
        <f t="shared" ca="1" si="8"/>
        <v>#NAME?</v>
      </c>
    </row>
    <row r="43" spans="1:38" x14ac:dyDescent="0.25">
      <c r="A43" s="1" t="s">
        <v>58</v>
      </c>
      <c r="B43" s="1">
        <v>42</v>
      </c>
      <c r="C43" s="1">
        <v>24163.471260886799</v>
      </c>
      <c r="D43" s="1">
        <f t="shared" si="9"/>
        <v>4.3831593240367557</v>
      </c>
      <c r="E43" s="1">
        <v>15069.133112870701</v>
      </c>
      <c r="F43" s="1">
        <f t="shared" si="10"/>
        <v>4.1780882692273362</v>
      </c>
      <c r="G43" s="1">
        <v>2819.4713781194901</v>
      </c>
      <c r="H43" s="1">
        <f t="shared" si="11"/>
        <v>3.4501676902037266</v>
      </c>
      <c r="I43" s="1">
        <v>7633.6282061928196</v>
      </c>
      <c r="J43" s="1">
        <f t="shared" si="12"/>
        <v>0.31591604218510222</v>
      </c>
      <c r="K43" s="1">
        <f t="shared" si="13"/>
        <v>3.8827310039323191</v>
      </c>
      <c r="L43" s="1">
        <v>987.08974653308599</v>
      </c>
      <c r="M43" s="1">
        <f t="shared" si="14"/>
        <v>2.9943566406657469</v>
      </c>
      <c r="N43" s="1">
        <v>1372.12108186263</v>
      </c>
      <c r="O43" s="1">
        <f t="shared" si="15"/>
        <v>3.1373924370737645</v>
      </c>
      <c r="P43" s="1">
        <v>-385.03133532954598</v>
      </c>
      <c r="Q43" s="1" t="e">
        <f ca="1"/>
        <v>#NAME?</v>
      </c>
      <c r="R43" s="1" t="e">
        <f t="shared" ca="1" si="0"/>
        <v>#NAME?</v>
      </c>
      <c r="T43" s="1">
        <v>71167</v>
      </c>
      <c r="U43" s="1" t="e">
        <f ca="1"/>
        <v>#NAME?</v>
      </c>
      <c r="V43" s="1" t="e">
        <f t="shared" ca="1" si="1"/>
        <v>#NAME?</v>
      </c>
      <c r="W43" s="1" t="e">
        <f ca="1"/>
        <v>#NAME?</v>
      </c>
      <c r="X43" s="1" t="e">
        <f t="shared" ca="1" si="2"/>
        <v>#NAME?</v>
      </c>
      <c r="Y43" s="1" t="e">
        <f ca="1"/>
        <v>#NAME?</v>
      </c>
      <c r="Z43" s="1" t="e">
        <f t="shared" ca="1" si="3"/>
        <v>#NAME?</v>
      </c>
      <c r="AA43" s="1" t="e">
        <f ca="1"/>
        <v>#NAME?</v>
      </c>
      <c r="AB43" s="1" t="e">
        <f t="shared" ca="1" si="4"/>
        <v>#NAME?</v>
      </c>
      <c r="AC43" s="1" t="e">
        <f ca="1"/>
        <v>#NAME?</v>
      </c>
      <c r="AD43" s="1" t="e">
        <f t="shared" ca="1" si="5"/>
        <v>#NAME?</v>
      </c>
      <c r="AE43" s="1" t="e">
        <f ca="1"/>
        <v>#NAME?</v>
      </c>
      <c r="AF43" s="1" t="e">
        <f t="shared" ca="1" si="6"/>
        <v>#NAME?</v>
      </c>
      <c r="AG43" s="1" t="e">
        <f ca="1"/>
        <v>#NAME?</v>
      </c>
      <c r="AH43" s="1" t="e">
        <f t="shared" ca="1" si="7"/>
        <v>#NAME?</v>
      </c>
      <c r="AI43" s="1" t="e">
        <f ca="1"/>
        <v>#NAME?</v>
      </c>
      <c r="AJ43" s="1" t="e">
        <f t="shared" ca="1" si="16"/>
        <v>#NAME?</v>
      </c>
      <c r="AK43" s="1" t="e">
        <f ca="1"/>
        <v>#NAME?</v>
      </c>
      <c r="AL43" s="1" t="e">
        <f t="shared" ca="1" si="8"/>
        <v>#NAME?</v>
      </c>
    </row>
    <row r="44" spans="1:38" x14ac:dyDescent="0.25">
      <c r="A44" s="1" t="s">
        <v>59</v>
      </c>
      <c r="B44" s="1">
        <v>43</v>
      </c>
      <c r="C44" s="1">
        <v>24303.2874271611</v>
      </c>
      <c r="D44" s="1">
        <f t="shared" si="9"/>
        <v>4.3856650231831029</v>
      </c>
      <c r="E44" s="1">
        <v>15149.5918099105</v>
      </c>
      <c r="F44" s="1">
        <f t="shared" si="10"/>
        <v>4.1804009313801282</v>
      </c>
      <c r="G44" s="1">
        <v>2855.6170558711701</v>
      </c>
      <c r="H44" s="1">
        <f t="shared" si="11"/>
        <v>3.4556999672242972</v>
      </c>
      <c r="I44" s="1">
        <v>7639.8483100394797</v>
      </c>
      <c r="J44" s="1">
        <f t="shared" si="12"/>
        <v>0.31435452232282224</v>
      </c>
      <c r="K44" s="1">
        <f t="shared" si="13"/>
        <v>3.8830847357004519</v>
      </c>
      <c r="L44" s="1">
        <v>987.67397368305797</v>
      </c>
      <c r="M44" s="1">
        <f t="shared" si="14"/>
        <v>2.9946136097726996</v>
      </c>
      <c r="N44" s="1">
        <v>1364.3236506846999</v>
      </c>
      <c r="O44" s="1">
        <f t="shared" si="15"/>
        <v>3.1349174077347004</v>
      </c>
      <c r="P44" s="1">
        <v>-376.64967700164101</v>
      </c>
      <c r="Q44" s="1" t="e">
        <f ca="1"/>
        <v>#NAME?</v>
      </c>
      <c r="R44" s="1" t="e">
        <f t="shared" ca="1" si="0"/>
        <v>#NAME?</v>
      </c>
      <c r="T44" s="1">
        <v>70978</v>
      </c>
      <c r="U44" s="1" t="e">
        <f ca="1"/>
        <v>#NAME?</v>
      </c>
      <c r="V44" s="1" t="e">
        <f t="shared" ca="1" si="1"/>
        <v>#NAME?</v>
      </c>
      <c r="W44" s="1" t="e">
        <f ca="1"/>
        <v>#NAME?</v>
      </c>
      <c r="X44" s="1" t="e">
        <f t="shared" ca="1" si="2"/>
        <v>#NAME?</v>
      </c>
      <c r="Y44" s="1" t="e">
        <f ca="1"/>
        <v>#NAME?</v>
      </c>
      <c r="Z44" s="1" t="e">
        <f t="shared" ca="1" si="3"/>
        <v>#NAME?</v>
      </c>
      <c r="AA44" s="1" t="e">
        <f ca="1"/>
        <v>#NAME?</v>
      </c>
      <c r="AB44" s="1" t="e">
        <f t="shared" ca="1" si="4"/>
        <v>#NAME?</v>
      </c>
      <c r="AC44" s="1" t="e">
        <f ca="1"/>
        <v>#NAME?</v>
      </c>
      <c r="AD44" s="1" t="e">
        <f t="shared" ca="1" si="5"/>
        <v>#NAME?</v>
      </c>
      <c r="AE44" s="1" t="e">
        <f ca="1"/>
        <v>#NAME?</v>
      </c>
      <c r="AF44" s="1" t="e">
        <f t="shared" ca="1" si="6"/>
        <v>#NAME?</v>
      </c>
      <c r="AG44" s="1" t="e">
        <f ca="1"/>
        <v>#NAME?</v>
      </c>
      <c r="AH44" s="1" t="e">
        <f t="shared" ca="1" si="7"/>
        <v>#NAME?</v>
      </c>
      <c r="AI44" s="1" t="e">
        <f ca="1"/>
        <v>#NAME?</v>
      </c>
      <c r="AJ44" s="1" t="e">
        <f t="shared" ca="1" si="16"/>
        <v>#NAME?</v>
      </c>
      <c r="AK44" s="1" t="e">
        <f ca="1"/>
        <v>#NAME?</v>
      </c>
      <c r="AL44" s="1" t="e">
        <f t="shared" ca="1" si="8"/>
        <v>#NAME?</v>
      </c>
    </row>
    <row r="45" spans="1:38" x14ac:dyDescent="0.25">
      <c r="A45" s="1" t="s">
        <v>60</v>
      </c>
      <c r="B45" s="1">
        <v>44</v>
      </c>
      <c r="C45" s="1">
        <v>23959.9136467278</v>
      </c>
      <c r="D45" s="1">
        <f t="shared" si="9"/>
        <v>4.3794852484911804</v>
      </c>
      <c r="E45" s="1">
        <v>15056.347935768699</v>
      </c>
      <c r="F45" s="1">
        <f t="shared" si="10"/>
        <v>4.1777196422706444</v>
      </c>
      <c r="G45" s="1">
        <v>2694.6781157522</v>
      </c>
      <c r="H45" s="1">
        <f t="shared" si="11"/>
        <v>3.43050689534779</v>
      </c>
      <c r="I45" s="1">
        <v>7617.04264299229</v>
      </c>
      <c r="J45" s="1">
        <f t="shared" si="12"/>
        <v>0.31790776691854011</v>
      </c>
      <c r="K45" s="1">
        <f t="shared" si="13"/>
        <v>3.8817863869396367</v>
      </c>
      <c r="L45" s="1">
        <v>986.30961044001401</v>
      </c>
      <c r="M45" s="1">
        <f t="shared" si="14"/>
        <v>2.9940132648388444</v>
      </c>
      <c r="N45" s="1">
        <v>1380.7014990539999</v>
      </c>
      <c r="O45" s="1">
        <f t="shared" si="15"/>
        <v>3.1400997963728678</v>
      </c>
      <c r="P45" s="1">
        <v>-394.391888613981</v>
      </c>
      <c r="Q45" s="1" t="e">
        <f ca="1"/>
        <v>#NAME?</v>
      </c>
      <c r="R45" s="1" t="e">
        <f t="shared" ca="1" si="0"/>
        <v>#NAME?</v>
      </c>
      <c r="T45" s="1">
        <v>70574</v>
      </c>
      <c r="U45" s="1" t="e">
        <f ca="1"/>
        <v>#NAME?</v>
      </c>
      <c r="V45" s="1" t="e">
        <f t="shared" ca="1" si="1"/>
        <v>#NAME?</v>
      </c>
      <c r="W45" s="1" t="e">
        <f ca="1"/>
        <v>#NAME?</v>
      </c>
      <c r="X45" s="1" t="e">
        <f t="shared" ca="1" si="2"/>
        <v>#NAME?</v>
      </c>
      <c r="Y45" s="1" t="e">
        <f ca="1"/>
        <v>#NAME?</v>
      </c>
      <c r="Z45" s="1" t="e">
        <f t="shared" ca="1" si="3"/>
        <v>#NAME?</v>
      </c>
      <c r="AA45" s="1" t="e">
        <f ca="1"/>
        <v>#NAME?</v>
      </c>
      <c r="AB45" s="1" t="e">
        <f t="shared" ca="1" si="4"/>
        <v>#NAME?</v>
      </c>
      <c r="AC45" s="1" t="e">
        <f ca="1"/>
        <v>#NAME?</v>
      </c>
      <c r="AD45" s="1" t="e">
        <f t="shared" ca="1" si="5"/>
        <v>#NAME?</v>
      </c>
      <c r="AE45" s="1" t="e">
        <f ca="1"/>
        <v>#NAME?</v>
      </c>
      <c r="AF45" s="1" t="e">
        <f t="shared" ca="1" si="6"/>
        <v>#NAME?</v>
      </c>
      <c r="AG45" s="1" t="e">
        <f ca="1"/>
        <v>#NAME?</v>
      </c>
      <c r="AH45" s="1" t="e">
        <f t="shared" ca="1" si="7"/>
        <v>#NAME?</v>
      </c>
      <c r="AI45" s="1" t="e">
        <f ca="1"/>
        <v>#NAME?</v>
      </c>
      <c r="AJ45" s="1" t="e">
        <f t="shared" ca="1" si="16"/>
        <v>#NAME?</v>
      </c>
      <c r="AK45" s="1" t="e">
        <f ca="1"/>
        <v>#NAME?</v>
      </c>
      <c r="AL45" s="1" t="e">
        <f t="shared" ca="1" si="8"/>
        <v>#NAME?</v>
      </c>
    </row>
    <row r="46" spans="1:38" x14ac:dyDescent="0.25">
      <c r="A46" s="1" t="s">
        <v>61</v>
      </c>
      <c r="B46" s="1">
        <v>45</v>
      </c>
      <c r="C46" s="1">
        <v>24535.318214574199</v>
      </c>
      <c r="D46" s="1">
        <f t="shared" si="9"/>
        <v>4.3897916950023808</v>
      </c>
      <c r="E46" s="1">
        <v>15298.3802711317</v>
      </c>
      <c r="F46" s="1">
        <f t="shared" si="10"/>
        <v>4.1846454519583194</v>
      </c>
      <c r="G46" s="1">
        <v>2999.6275929445801</v>
      </c>
      <c r="H46" s="1">
        <f t="shared" si="11"/>
        <v>3.477067339930155</v>
      </c>
      <c r="I46" s="1">
        <v>7482.6685625571299</v>
      </c>
      <c r="J46" s="1">
        <f t="shared" si="12"/>
        <v>0.30497540309513321</v>
      </c>
      <c r="K46" s="1">
        <f t="shared" si="13"/>
        <v>3.8740565090022199</v>
      </c>
      <c r="L46" s="1">
        <v>992.26650803093401</v>
      </c>
      <c r="M46" s="1">
        <f t="shared" si="14"/>
        <v>2.9966283328622487</v>
      </c>
      <c r="N46" s="1">
        <v>1360.24820688421</v>
      </c>
      <c r="O46" s="1">
        <f t="shared" si="15"/>
        <v>3.1336181620796468</v>
      </c>
      <c r="P46" s="1">
        <v>-367.98169885327701</v>
      </c>
      <c r="Q46" s="1" t="e">
        <f ca="1"/>
        <v>#NAME?</v>
      </c>
      <c r="R46" s="1" t="e">
        <f t="shared" ca="1" si="0"/>
        <v>#NAME?</v>
      </c>
      <c r="T46" s="1">
        <v>70844</v>
      </c>
      <c r="U46" s="1" t="e">
        <f ca="1"/>
        <v>#NAME?</v>
      </c>
      <c r="V46" s="1" t="e">
        <f t="shared" ca="1" si="1"/>
        <v>#NAME?</v>
      </c>
      <c r="W46" s="1" t="e">
        <f ca="1"/>
        <v>#NAME?</v>
      </c>
      <c r="X46" s="1" t="e">
        <f t="shared" ca="1" si="2"/>
        <v>#NAME?</v>
      </c>
      <c r="Y46" s="1" t="e">
        <f ca="1"/>
        <v>#NAME?</v>
      </c>
      <c r="Z46" s="1" t="e">
        <f t="shared" ca="1" si="3"/>
        <v>#NAME?</v>
      </c>
      <c r="AA46" s="1" t="e">
        <f ca="1"/>
        <v>#NAME?</v>
      </c>
      <c r="AB46" s="1" t="e">
        <f t="shared" ca="1" si="4"/>
        <v>#NAME?</v>
      </c>
      <c r="AC46" s="1" t="e">
        <f ca="1"/>
        <v>#NAME?</v>
      </c>
      <c r="AD46" s="1" t="e">
        <f t="shared" ca="1" si="5"/>
        <v>#NAME?</v>
      </c>
      <c r="AE46" s="1" t="e">
        <f ca="1"/>
        <v>#NAME?</v>
      </c>
      <c r="AF46" s="1" t="e">
        <f t="shared" ca="1" si="6"/>
        <v>#NAME?</v>
      </c>
      <c r="AG46" s="1" t="e">
        <f ca="1"/>
        <v>#NAME?</v>
      </c>
      <c r="AH46" s="1" t="e">
        <f t="shared" ca="1" si="7"/>
        <v>#NAME?</v>
      </c>
      <c r="AI46" s="1" t="e">
        <f ca="1"/>
        <v>#NAME?</v>
      </c>
      <c r="AJ46" s="1" t="e">
        <f t="shared" ca="1" si="16"/>
        <v>#NAME?</v>
      </c>
      <c r="AK46" s="1" t="e">
        <f ca="1"/>
        <v>#NAME?</v>
      </c>
      <c r="AL46" s="1" t="e">
        <f t="shared" ca="1" si="8"/>
        <v>#NAME?</v>
      </c>
    </row>
    <row r="47" spans="1:38" x14ac:dyDescent="0.25">
      <c r="A47" s="1" t="s">
        <v>62</v>
      </c>
      <c r="B47" s="1">
        <v>46</v>
      </c>
      <c r="C47" s="1">
        <v>24596.825840800098</v>
      </c>
      <c r="D47" s="1">
        <f t="shared" si="9"/>
        <v>4.3908790660965238</v>
      </c>
      <c r="E47" s="1">
        <v>15394.3827702279</v>
      </c>
      <c r="F47" s="1">
        <f t="shared" si="10"/>
        <v>4.1873622807768678</v>
      </c>
      <c r="G47" s="1">
        <v>3075.8335664200799</v>
      </c>
      <c r="H47" s="1">
        <f t="shared" si="11"/>
        <v>3.4879628320588805</v>
      </c>
      <c r="I47" s="1">
        <v>7443.9096845130698</v>
      </c>
      <c r="J47" s="1">
        <f t="shared" si="12"/>
        <v>0.30263700416845862</v>
      </c>
      <c r="K47" s="1">
        <f t="shared" si="13"/>
        <v>3.8718010952814659</v>
      </c>
      <c r="L47" s="1">
        <v>982.08447063589301</v>
      </c>
      <c r="M47" s="1">
        <f t="shared" si="14"/>
        <v>2.9921488437475738</v>
      </c>
      <c r="N47" s="1">
        <v>1458.63755172114</v>
      </c>
      <c r="O47" s="1">
        <f t="shared" si="15"/>
        <v>3.1639473900135893</v>
      </c>
      <c r="P47" s="1">
        <v>-476.55308108525202</v>
      </c>
      <c r="Q47" s="1" t="e">
        <f ca="1"/>
        <v>#NAME?</v>
      </c>
      <c r="R47" s="1" t="e">
        <f t="shared" ca="1" si="0"/>
        <v>#NAME?</v>
      </c>
      <c r="T47" s="1">
        <v>71179</v>
      </c>
      <c r="U47" s="1" t="e">
        <f ca="1"/>
        <v>#NAME?</v>
      </c>
      <c r="V47" s="1" t="e">
        <f t="shared" ca="1" si="1"/>
        <v>#NAME?</v>
      </c>
      <c r="W47" s="1" t="e">
        <f ca="1"/>
        <v>#NAME?</v>
      </c>
      <c r="X47" s="1" t="e">
        <f t="shared" ca="1" si="2"/>
        <v>#NAME?</v>
      </c>
      <c r="Y47" s="1" t="e">
        <f ca="1"/>
        <v>#NAME?</v>
      </c>
      <c r="Z47" s="1" t="e">
        <f t="shared" ca="1" si="3"/>
        <v>#NAME?</v>
      </c>
      <c r="AA47" s="1" t="e">
        <f ca="1"/>
        <v>#NAME?</v>
      </c>
      <c r="AB47" s="1" t="e">
        <f t="shared" ca="1" si="4"/>
        <v>#NAME?</v>
      </c>
      <c r="AC47" s="1" t="e">
        <f ca="1"/>
        <v>#NAME?</v>
      </c>
      <c r="AD47" s="1" t="e">
        <f t="shared" ca="1" si="5"/>
        <v>#NAME?</v>
      </c>
      <c r="AE47" s="1" t="e">
        <f ca="1"/>
        <v>#NAME?</v>
      </c>
      <c r="AF47" s="1" t="e">
        <f t="shared" ca="1" si="6"/>
        <v>#NAME?</v>
      </c>
      <c r="AG47" s="1" t="e">
        <f ca="1"/>
        <v>#NAME?</v>
      </c>
      <c r="AH47" s="1" t="e">
        <f t="shared" ca="1" si="7"/>
        <v>#NAME?</v>
      </c>
      <c r="AI47" s="1" t="e">
        <f ca="1"/>
        <v>#NAME?</v>
      </c>
      <c r="AJ47" s="1" t="e">
        <f t="shared" ca="1" si="16"/>
        <v>#NAME?</v>
      </c>
      <c r="AK47" s="1" t="e">
        <f ca="1"/>
        <v>#NAME?</v>
      </c>
      <c r="AL47" s="1" t="e">
        <f t="shared" ca="1" si="8"/>
        <v>#NAME?</v>
      </c>
    </row>
    <row r="48" spans="1:38" x14ac:dyDescent="0.25">
      <c r="A48" s="1" t="s">
        <v>63</v>
      </c>
      <c r="B48" s="1">
        <v>47</v>
      </c>
      <c r="C48" s="1">
        <v>24723.182692307699</v>
      </c>
      <c r="D48" s="1">
        <f t="shared" si="9"/>
        <v>4.3931043780969521</v>
      </c>
      <c r="E48" s="1">
        <v>15469.524038461501</v>
      </c>
      <c r="F48" s="1">
        <f t="shared" si="10"/>
        <v>4.1894769516664203</v>
      </c>
      <c r="G48" s="1">
        <v>3103.6009615384601</v>
      </c>
      <c r="H48" s="1">
        <f t="shared" si="11"/>
        <v>3.4918658777464997</v>
      </c>
      <c r="I48" s="1">
        <v>7417.2019230769201</v>
      </c>
      <c r="J48" s="1">
        <f t="shared" si="12"/>
        <v>0.30000999529015687</v>
      </c>
      <c r="K48" s="1">
        <f t="shared" si="13"/>
        <v>3.8702401022401065</v>
      </c>
      <c r="L48" s="1">
        <v>1028.0144230769199</v>
      </c>
      <c r="M48" s="1">
        <f t="shared" si="14"/>
        <v>3.0119992078681839</v>
      </c>
      <c r="N48" s="1">
        <v>1486.3076923076901</v>
      </c>
      <c r="O48" s="1">
        <f t="shared" si="15"/>
        <v>3.1721087254666789</v>
      </c>
      <c r="P48" s="1">
        <v>-458.293269230769</v>
      </c>
      <c r="Q48" s="1" t="e">
        <f ca="1"/>
        <v>#NAME?</v>
      </c>
      <c r="R48" s="1" t="e">
        <f t="shared" ca="1" si="0"/>
        <v>#NAME?</v>
      </c>
      <c r="T48" s="1">
        <v>71434</v>
      </c>
      <c r="U48" s="1" t="e">
        <f ca="1"/>
        <v>#NAME?</v>
      </c>
      <c r="V48" s="1" t="e">
        <f t="shared" ca="1" si="1"/>
        <v>#NAME?</v>
      </c>
      <c r="W48" s="1" t="e">
        <f ca="1"/>
        <v>#NAME?</v>
      </c>
      <c r="X48" s="1" t="e">
        <f t="shared" ca="1" si="2"/>
        <v>#NAME?</v>
      </c>
      <c r="Y48" s="1" t="e">
        <f ca="1"/>
        <v>#NAME?</v>
      </c>
      <c r="Z48" s="1" t="e">
        <f t="shared" ca="1" si="3"/>
        <v>#NAME?</v>
      </c>
      <c r="AA48" s="1" t="e">
        <f ca="1"/>
        <v>#NAME?</v>
      </c>
      <c r="AB48" s="1" t="e">
        <f t="shared" ca="1" si="4"/>
        <v>#NAME?</v>
      </c>
      <c r="AC48" s="1" t="e">
        <f ca="1"/>
        <v>#NAME?</v>
      </c>
      <c r="AD48" s="1" t="e">
        <f t="shared" ca="1" si="5"/>
        <v>#NAME?</v>
      </c>
      <c r="AE48" s="1" t="e">
        <f ca="1"/>
        <v>#NAME?</v>
      </c>
      <c r="AF48" s="1" t="e">
        <f t="shared" ca="1" si="6"/>
        <v>#NAME?</v>
      </c>
      <c r="AG48" s="1" t="e">
        <f ca="1"/>
        <v>#NAME?</v>
      </c>
      <c r="AH48" s="1" t="e">
        <f t="shared" ca="1" si="7"/>
        <v>#NAME?</v>
      </c>
      <c r="AI48" s="1" t="e">
        <f ca="1"/>
        <v>#NAME?</v>
      </c>
      <c r="AJ48" s="1" t="e">
        <f t="shared" ca="1" si="16"/>
        <v>#NAME?</v>
      </c>
      <c r="AK48" s="1" t="e">
        <f ca="1"/>
        <v>#NAME?</v>
      </c>
      <c r="AL48" s="1" t="e">
        <f t="shared" ca="1" si="8"/>
        <v>#NAME?</v>
      </c>
    </row>
    <row r="49" spans="1:42" x14ac:dyDescent="0.25">
      <c r="A49" s="1" t="s">
        <v>64</v>
      </c>
      <c r="B49" s="1">
        <v>48</v>
      </c>
      <c r="C49" s="1">
        <v>24705.222342577199</v>
      </c>
      <c r="D49" s="1">
        <f t="shared" si="9"/>
        <v>4.3927887668155936</v>
      </c>
      <c r="E49" s="1">
        <v>15677.8117541051</v>
      </c>
      <c r="F49" s="1">
        <f t="shared" si="10"/>
        <v>4.1952854455016944</v>
      </c>
      <c r="G49" s="1">
        <v>3010.7313005051701</v>
      </c>
      <c r="H49" s="1">
        <f t="shared" si="11"/>
        <v>3.4786719976532172</v>
      </c>
      <c r="I49" s="1">
        <v>7342.4142790042297</v>
      </c>
      <c r="J49" s="1">
        <f t="shared" si="12"/>
        <v>0.29720089854646836</v>
      </c>
      <c r="K49" s="1">
        <f t="shared" si="13"/>
        <v>3.8658388849363754</v>
      </c>
      <c r="L49" s="1">
        <v>930.24415026696397</v>
      </c>
      <c r="M49" s="1">
        <f t="shared" si="14"/>
        <v>2.9685969476914047</v>
      </c>
      <c r="N49" s="1">
        <v>1381.2990673018901</v>
      </c>
      <c r="O49" s="1">
        <f t="shared" si="15"/>
        <v>3.1402877185621896</v>
      </c>
      <c r="P49" s="1">
        <v>-451.054917034921</v>
      </c>
      <c r="Q49" s="1" t="e">
        <f ca="1"/>
        <v>#NAME?</v>
      </c>
      <c r="R49" s="1" t="e">
        <f t="shared" ca="1" si="0"/>
        <v>#NAME?</v>
      </c>
      <c r="T49" s="1">
        <v>71866</v>
      </c>
      <c r="U49" s="1" t="e">
        <f ca="1"/>
        <v>#NAME?</v>
      </c>
      <c r="V49" s="1" t="e">
        <f t="shared" ca="1" si="1"/>
        <v>#NAME?</v>
      </c>
      <c r="W49" s="1" t="e">
        <f ca="1"/>
        <v>#NAME?</v>
      </c>
      <c r="X49" s="1" t="e">
        <f t="shared" ca="1" si="2"/>
        <v>#NAME?</v>
      </c>
      <c r="Y49" s="1" t="e">
        <f ca="1"/>
        <v>#NAME?</v>
      </c>
      <c r="Z49" s="1" t="e">
        <f t="shared" ca="1" si="3"/>
        <v>#NAME?</v>
      </c>
      <c r="AA49" s="1" t="e">
        <f ca="1"/>
        <v>#NAME?</v>
      </c>
      <c r="AB49" s="1" t="e">
        <f t="shared" ca="1" si="4"/>
        <v>#NAME?</v>
      </c>
      <c r="AC49" s="1" t="e">
        <f ca="1"/>
        <v>#NAME?</v>
      </c>
      <c r="AD49" s="1" t="e">
        <f t="shared" ca="1" si="5"/>
        <v>#NAME?</v>
      </c>
      <c r="AE49" s="1" t="e">
        <f ca="1"/>
        <v>#NAME?</v>
      </c>
      <c r="AF49" s="1" t="e">
        <f t="shared" ca="1" si="6"/>
        <v>#NAME?</v>
      </c>
      <c r="AG49" s="1" t="e">
        <f ca="1"/>
        <v>#NAME?</v>
      </c>
      <c r="AH49" s="1" t="e">
        <f t="shared" ca="1" si="7"/>
        <v>#NAME?</v>
      </c>
      <c r="AI49" s="1" t="e">
        <f ca="1"/>
        <v>#NAME?</v>
      </c>
      <c r="AJ49" s="1" t="e">
        <f t="shared" ca="1" si="16"/>
        <v>#NAME?</v>
      </c>
      <c r="AK49" s="1" t="e">
        <f ca="1"/>
        <v>#NAME?</v>
      </c>
      <c r="AL49" s="1" t="e">
        <f t="shared" ca="1" si="8"/>
        <v>#NAME?</v>
      </c>
    </row>
    <row r="50" spans="1:42" x14ac:dyDescent="0.25">
      <c r="A50" s="1" t="s">
        <v>65</v>
      </c>
      <c r="B50" s="1">
        <v>49</v>
      </c>
      <c r="C50" s="1">
        <v>25099.391800786099</v>
      </c>
      <c r="D50" s="1">
        <f t="shared" si="9"/>
        <v>4.3996631979446752</v>
      </c>
      <c r="E50" s="1">
        <v>15846.754836426901</v>
      </c>
      <c r="F50" s="1">
        <f t="shared" si="10"/>
        <v>4.1999403390503165</v>
      </c>
      <c r="G50" s="1">
        <v>3201.45164529363</v>
      </c>
      <c r="H50" s="1">
        <f t="shared" si="11"/>
        <v>3.5053469466284848</v>
      </c>
      <c r="I50" s="1">
        <v>7365.3020435876097</v>
      </c>
      <c r="J50" s="1">
        <f t="shared" si="12"/>
        <v>0.29344543891923835</v>
      </c>
      <c r="K50" s="1">
        <f t="shared" si="13"/>
        <v>3.8671905615213058</v>
      </c>
      <c r="L50" s="1">
        <v>1033.5035526101899</v>
      </c>
      <c r="M50" s="1">
        <f t="shared" si="14"/>
        <v>3.0143119738286677</v>
      </c>
      <c r="N50" s="1">
        <v>1579.3910357556099</v>
      </c>
      <c r="O50" s="1">
        <f t="shared" si="15"/>
        <v>3.1984896687328117</v>
      </c>
      <c r="P50" s="1">
        <v>-545.88748314542295</v>
      </c>
      <c r="Q50" s="1" t="e">
        <f ca="1"/>
        <v>#NAME?</v>
      </c>
      <c r="R50" s="1" t="e">
        <f t="shared" ca="1" si="0"/>
        <v>#NAME?</v>
      </c>
      <c r="S50" s="4">
        <v>908537000000</v>
      </c>
      <c r="T50" s="1">
        <v>72677.666666666701</v>
      </c>
      <c r="U50" s="1" t="e">
        <f ca="1"/>
        <v>#NAME?</v>
      </c>
      <c r="V50" s="1" t="e">
        <f t="shared" ca="1" si="1"/>
        <v>#NAME?</v>
      </c>
      <c r="W50" s="1" t="e">
        <f ca="1"/>
        <v>#NAME?</v>
      </c>
      <c r="X50" s="1" t="e">
        <f t="shared" ca="1" si="2"/>
        <v>#NAME?</v>
      </c>
      <c r="Y50" s="1" t="e">
        <f ca="1"/>
        <v>#NAME?</v>
      </c>
      <c r="Z50" s="1" t="e">
        <f t="shared" ca="1" si="3"/>
        <v>#NAME?</v>
      </c>
      <c r="AA50" s="1" t="e">
        <f ca="1"/>
        <v>#NAME?</v>
      </c>
      <c r="AB50" s="1" t="e">
        <f t="shared" ca="1" si="4"/>
        <v>#NAME?</v>
      </c>
      <c r="AC50" s="1" t="e">
        <f ca="1"/>
        <v>#NAME?</v>
      </c>
      <c r="AD50" s="1" t="e">
        <f t="shared" ca="1" si="5"/>
        <v>#NAME?</v>
      </c>
      <c r="AE50" s="1" t="e">
        <f ca="1"/>
        <v>#NAME?</v>
      </c>
      <c r="AF50" s="1" t="e">
        <f t="shared" ca="1" si="6"/>
        <v>#NAME?</v>
      </c>
      <c r="AG50" s="1" t="e">
        <f ca="1"/>
        <v>#NAME?</v>
      </c>
      <c r="AH50" s="1" t="e">
        <f t="shared" ca="1" si="7"/>
        <v>#NAME?</v>
      </c>
      <c r="AI50" s="1" t="e">
        <f ca="1"/>
        <v>#NAME?</v>
      </c>
      <c r="AJ50" s="1" t="e">
        <f t="shared" ca="1" si="16"/>
        <v>#NAME?</v>
      </c>
      <c r="AK50" s="1" t="e">
        <f ca="1"/>
        <v>#NAME?</v>
      </c>
      <c r="AL50" s="1" t="e">
        <f t="shared" ca="1" si="8"/>
        <v>#NAME?</v>
      </c>
      <c r="AN50" s="1">
        <f t="shared" ref="AN50:AN113" si="17">LOG(C50*10^9)-0.36*LOG(S50)-0.64*LOG(T50*10^3)</f>
        <v>4.0633632307906193</v>
      </c>
      <c r="AO50" s="1" t="e">
        <f t="array" aca="1" ref="AO50:AO254" ca="1">[1]!HP(AN50:AN254,1600)</f>
        <v>#NAME?</v>
      </c>
      <c r="AP50" s="1" t="e">
        <f t="shared" ref="AP50:AP113" ca="1" si="18">100*(AN50-AO50)/AO50</f>
        <v>#NAME?</v>
      </c>
    </row>
    <row r="51" spans="1:42" x14ac:dyDescent="0.25">
      <c r="A51" s="1" t="s">
        <v>66</v>
      </c>
      <c r="B51" s="1">
        <v>50</v>
      </c>
      <c r="C51" s="1">
        <v>25608.4803732166</v>
      </c>
      <c r="D51" s="1">
        <f t="shared" si="9"/>
        <v>4.4083838078668043</v>
      </c>
      <c r="E51" s="1">
        <v>16110.2954154085</v>
      </c>
      <c r="F51" s="1">
        <f t="shared" si="10"/>
        <v>4.2071035041749898</v>
      </c>
      <c r="G51" s="1">
        <v>3375.3058858884601</v>
      </c>
      <c r="H51" s="1">
        <f t="shared" si="11"/>
        <v>3.5283131367326064</v>
      </c>
      <c r="I51" s="1">
        <v>7377.4810744286597</v>
      </c>
      <c r="J51" s="1">
        <f t="shared" si="12"/>
        <v>0.28808742131159881</v>
      </c>
      <c r="K51" s="1">
        <f t="shared" si="13"/>
        <v>3.8679081040707781</v>
      </c>
      <c r="L51" s="1">
        <v>1000.97788081302</v>
      </c>
      <c r="M51" s="1">
        <f t="shared" si="14"/>
        <v>3.0004244807290825</v>
      </c>
      <c r="N51" s="1">
        <v>1519.6792550933301</v>
      </c>
      <c r="O51" s="1">
        <f t="shared" si="15"/>
        <v>3.1817519350222816</v>
      </c>
      <c r="P51" s="1">
        <v>-518.70137428030398</v>
      </c>
      <c r="Q51" s="1" t="e">
        <f ca="1"/>
        <v>#NAME?</v>
      </c>
      <c r="R51" s="1" t="e">
        <f t="shared" ca="1" si="0"/>
        <v>#NAME?</v>
      </c>
      <c r="S51" s="4">
        <v>919345000000</v>
      </c>
      <c r="T51" s="1">
        <v>73463</v>
      </c>
      <c r="U51" s="1" t="e">
        <f ca="1"/>
        <v>#NAME?</v>
      </c>
      <c r="V51" s="1" t="e">
        <f t="shared" ca="1" si="1"/>
        <v>#NAME?</v>
      </c>
      <c r="W51" s="1" t="e">
        <f ca="1"/>
        <v>#NAME?</v>
      </c>
      <c r="X51" s="1" t="e">
        <f t="shared" ca="1" si="2"/>
        <v>#NAME?</v>
      </c>
      <c r="Y51" s="1" t="e">
        <f ca="1"/>
        <v>#NAME?</v>
      </c>
      <c r="Z51" s="1" t="e">
        <f t="shared" ca="1" si="3"/>
        <v>#NAME?</v>
      </c>
      <c r="AA51" s="1" t="e">
        <f ca="1"/>
        <v>#NAME?</v>
      </c>
      <c r="AB51" s="1" t="e">
        <f t="shared" ca="1" si="4"/>
        <v>#NAME?</v>
      </c>
      <c r="AC51" s="1" t="e">
        <f ca="1"/>
        <v>#NAME?</v>
      </c>
      <c r="AD51" s="1" t="e">
        <f t="shared" ca="1" si="5"/>
        <v>#NAME?</v>
      </c>
      <c r="AE51" s="1" t="e">
        <f ca="1"/>
        <v>#NAME?</v>
      </c>
      <c r="AF51" s="1" t="e">
        <f t="shared" ca="1" si="6"/>
        <v>#NAME?</v>
      </c>
      <c r="AG51" s="1" t="e">
        <f ca="1"/>
        <v>#NAME?</v>
      </c>
      <c r="AH51" s="1" t="e">
        <f t="shared" ca="1" si="7"/>
        <v>#NAME?</v>
      </c>
      <c r="AI51" s="1" t="e">
        <f ca="1"/>
        <v>#NAME?</v>
      </c>
      <c r="AJ51" s="1" t="e">
        <f t="shared" ca="1" si="16"/>
        <v>#NAME?</v>
      </c>
      <c r="AK51" s="1" t="e">
        <f ca="1"/>
        <v>#NAME?</v>
      </c>
      <c r="AL51" s="1" t="e">
        <f t="shared" ca="1" si="8"/>
        <v>#NAME?</v>
      </c>
      <c r="AN51" s="1">
        <f t="shared" si="17"/>
        <v>4.0672475990826387</v>
      </c>
      <c r="AO51" s="1" t="e">
        <f ca="1"/>
        <v>#NAME?</v>
      </c>
      <c r="AP51" s="1" t="e">
        <f t="shared" ca="1" si="18"/>
        <v>#NAME?</v>
      </c>
    </row>
    <row r="52" spans="1:42" x14ac:dyDescent="0.25">
      <c r="A52" s="1" t="s">
        <v>67</v>
      </c>
      <c r="B52" s="1">
        <v>51</v>
      </c>
      <c r="C52" s="1">
        <v>25783.415246858702</v>
      </c>
      <c r="D52" s="1">
        <f t="shared" si="9"/>
        <v>4.4113404430650016</v>
      </c>
      <c r="E52" s="1">
        <v>16316.232199865801</v>
      </c>
      <c r="F52" s="1">
        <f t="shared" si="10"/>
        <v>4.2126198772287085</v>
      </c>
      <c r="G52" s="1">
        <v>3414.3809383340999</v>
      </c>
      <c r="H52" s="1">
        <f t="shared" si="11"/>
        <v>3.533311973189718</v>
      </c>
      <c r="I52" s="1">
        <v>7218.2499845371403</v>
      </c>
      <c r="J52" s="1">
        <f t="shared" si="12"/>
        <v>0.27995709317122253</v>
      </c>
      <c r="K52" s="1">
        <f t="shared" si="13"/>
        <v>3.8584319185970073</v>
      </c>
      <c r="L52" s="1">
        <v>1058.5780827001499</v>
      </c>
      <c r="M52" s="1">
        <f t="shared" si="14"/>
        <v>3.0247228979105665</v>
      </c>
      <c r="N52" s="1">
        <v>1547.29495054263</v>
      </c>
      <c r="O52" s="1">
        <f t="shared" si="15"/>
        <v>3.1895731082587315</v>
      </c>
      <c r="P52" s="1">
        <v>-488.71686784247902</v>
      </c>
      <c r="Q52" s="1" t="e">
        <f ca="1"/>
        <v>#NAME?</v>
      </c>
      <c r="R52" s="1" t="e">
        <f t="shared" ca="1" si="0"/>
        <v>#NAME?</v>
      </c>
      <c r="S52" s="4">
        <v>917590000000</v>
      </c>
      <c r="T52" s="1">
        <v>74038</v>
      </c>
      <c r="U52" s="1" t="e">
        <f ca="1"/>
        <v>#NAME?</v>
      </c>
      <c r="V52" s="1" t="e">
        <f t="shared" ca="1" si="1"/>
        <v>#NAME?</v>
      </c>
      <c r="W52" s="1" t="e">
        <f ca="1"/>
        <v>#NAME?</v>
      </c>
      <c r="X52" s="1" t="e">
        <f t="shared" ca="1" si="2"/>
        <v>#NAME?</v>
      </c>
      <c r="Y52" s="1" t="e">
        <f ca="1"/>
        <v>#NAME?</v>
      </c>
      <c r="Z52" s="1" t="e">
        <f t="shared" ca="1" si="3"/>
        <v>#NAME?</v>
      </c>
      <c r="AA52" s="1" t="e">
        <f ca="1"/>
        <v>#NAME?</v>
      </c>
      <c r="AB52" s="1" t="e">
        <f t="shared" ca="1" si="4"/>
        <v>#NAME?</v>
      </c>
      <c r="AC52" s="1" t="e">
        <f ca="1"/>
        <v>#NAME?</v>
      </c>
      <c r="AD52" s="1" t="e">
        <f t="shared" ca="1" si="5"/>
        <v>#NAME?</v>
      </c>
      <c r="AE52" s="1" t="e">
        <f ca="1"/>
        <v>#NAME?</v>
      </c>
      <c r="AF52" s="1" t="e">
        <f t="shared" ca="1" si="6"/>
        <v>#NAME?</v>
      </c>
      <c r="AG52" s="1" t="e">
        <f ca="1"/>
        <v>#NAME?</v>
      </c>
      <c r="AH52" s="1" t="e">
        <f t="shared" ca="1" si="7"/>
        <v>#NAME?</v>
      </c>
      <c r="AI52" s="1" t="e">
        <f ca="1"/>
        <v>#NAME?</v>
      </c>
      <c r="AJ52" s="1" t="e">
        <f t="shared" ca="1" si="16"/>
        <v>#NAME?</v>
      </c>
      <c r="AK52" s="1" t="e">
        <f ca="1"/>
        <v>#NAME?</v>
      </c>
      <c r="AL52" s="1" t="e">
        <f t="shared" ca="1" si="8"/>
        <v>#NAME?</v>
      </c>
      <c r="AN52" s="1">
        <f t="shared" si="17"/>
        <v>4.0683359268827752</v>
      </c>
      <c r="AO52" s="1" t="e">
        <f ca="1"/>
        <v>#NAME?</v>
      </c>
      <c r="AP52" s="1" t="e">
        <f t="shared" ca="1" si="18"/>
        <v>#NAME?</v>
      </c>
    </row>
    <row r="53" spans="1:42" x14ac:dyDescent="0.25">
      <c r="A53" s="1" t="s">
        <v>68</v>
      </c>
      <c r="B53" s="1">
        <v>52</v>
      </c>
      <c r="C53" s="1">
        <v>26145.982907605201</v>
      </c>
      <c r="D53" s="1">
        <f t="shared" si="9"/>
        <v>4.417404972932756</v>
      </c>
      <c r="E53" s="1">
        <v>16655.062945756999</v>
      </c>
      <c r="F53" s="1">
        <f t="shared" si="10"/>
        <v>4.2215462783927471</v>
      </c>
      <c r="G53" s="1">
        <v>3426.7262037516002</v>
      </c>
      <c r="H53" s="1">
        <f t="shared" si="11"/>
        <v>3.5348794055824446</v>
      </c>
      <c r="I53" s="1">
        <v>7258.7680378860896</v>
      </c>
      <c r="J53" s="1">
        <f t="shared" si="12"/>
        <v>0.27762459967701952</v>
      </c>
      <c r="K53" s="1">
        <f t="shared" si="13"/>
        <v>3.860862918255386</v>
      </c>
      <c r="L53" s="1">
        <v>1100.43324143364</v>
      </c>
      <c r="M53" s="1">
        <f t="shared" si="14"/>
        <v>3.0415637009044429</v>
      </c>
      <c r="N53" s="1">
        <v>1612.7305598921901</v>
      </c>
      <c r="O53" s="1">
        <f t="shared" si="15"/>
        <v>3.2075618155436509</v>
      </c>
      <c r="P53" s="1">
        <v>-512.29731845855304</v>
      </c>
      <c r="Q53" s="1" t="e">
        <f ca="1"/>
        <v>#NAME?</v>
      </c>
      <c r="R53" s="1" t="e">
        <f t="shared" ca="1" si="0"/>
        <v>#NAME?</v>
      </c>
      <c r="S53" s="4">
        <v>956775000000</v>
      </c>
      <c r="T53" s="1">
        <v>74971.666666666701</v>
      </c>
      <c r="U53" s="1" t="e">
        <f ca="1"/>
        <v>#NAME?</v>
      </c>
      <c r="V53" s="1" t="e">
        <f t="shared" ca="1" si="1"/>
        <v>#NAME?</v>
      </c>
      <c r="W53" s="1" t="e">
        <f ca="1"/>
        <v>#NAME?</v>
      </c>
      <c r="X53" s="1" t="e">
        <f t="shared" ca="1" si="2"/>
        <v>#NAME?</v>
      </c>
      <c r="Y53" s="1" t="e">
        <f ca="1"/>
        <v>#NAME?</v>
      </c>
      <c r="Z53" s="1" t="e">
        <f t="shared" ca="1" si="3"/>
        <v>#NAME?</v>
      </c>
      <c r="AA53" s="1" t="e">
        <f ca="1"/>
        <v>#NAME?</v>
      </c>
      <c r="AB53" s="1" t="e">
        <f t="shared" ca="1" si="4"/>
        <v>#NAME?</v>
      </c>
      <c r="AC53" s="1" t="e">
        <f ca="1"/>
        <v>#NAME?</v>
      </c>
      <c r="AD53" s="1" t="e">
        <f t="shared" ca="1" si="5"/>
        <v>#NAME?</v>
      </c>
      <c r="AE53" s="1" t="e">
        <f ca="1"/>
        <v>#NAME?</v>
      </c>
      <c r="AF53" s="1" t="e">
        <f t="shared" ca="1" si="6"/>
        <v>#NAME?</v>
      </c>
      <c r="AG53" s="1" t="e">
        <f ca="1"/>
        <v>#NAME?</v>
      </c>
      <c r="AH53" s="1" t="e">
        <f t="shared" ca="1" si="7"/>
        <v>#NAME?</v>
      </c>
      <c r="AI53" s="1" t="e">
        <f ca="1"/>
        <v>#NAME?</v>
      </c>
      <c r="AJ53" s="1" t="e">
        <f t="shared" ca="1" si="16"/>
        <v>#NAME?</v>
      </c>
      <c r="AK53" s="1" t="e">
        <f ca="1"/>
        <v>#NAME?</v>
      </c>
      <c r="AL53" s="1" t="e">
        <f t="shared" ca="1" si="8"/>
        <v>#NAME?</v>
      </c>
      <c r="AN53" s="1">
        <f t="shared" si="17"/>
        <v>4.0643792521449251</v>
      </c>
      <c r="AO53" s="1" t="e">
        <f ca="1"/>
        <v>#NAME?</v>
      </c>
      <c r="AP53" s="1" t="e">
        <f t="shared" ca="1" si="18"/>
        <v>#NAME?</v>
      </c>
    </row>
    <row r="54" spans="1:42" x14ac:dyDescent="0.25">
      <c r="A54" s="1" t="s">
        <v>69</v>
      </c>
      <c r="B54" s="1">
        <v>53</v>
      </c>
      <c r="C54" s="1">
        <v>26735.321413689901</v>
      </c>
      <c r="D54" s="1">
        <f t="shared" si="9"/>
        <v>4.4270854095829035</v>
      </c>
      <c r="E54" s="1">
        <v>16922.601234895301</v>
      </c>
      <c r="F54" s="1">
        <f t="shared" si="10"/>
        <v>4.2284671208266102</v>
      </c>
      <c r="G54" s="1">
        <v>3619.7299140118898</v>
      </c>
      <c r="H54" s="1">
        <f t="shared" si="11"/>
        <v>3.5586761668784099</v>
      </c>
      <c r="I54" s="1">
        <v>7305.4897912799697</v>
      </c>
      <c r="J54" s="1">
        <f t="shared" si="12"/>
        <v>0.27325236447462986</v>
      </c>
      <c r="K54" s="1">
        <f t="shared" si="13"/>
        <v>3.8636493382058941</v>
      </c>
      <c r="L54" s="1">
        <v>1178.3921739459799</v>
      </c>
      <c r="M54" s="1">
        <f t="shared" si="14"/>
        <v>3.071289849564919</v>
      </c>
      <c r="N54" s="1">
        <v>1683.6149096556701</v>
      </c>
      <c r="O54" s="1">
        <f t="shared" si="15"/>
        <v>3.2262427630919701</v>
      </c>
      <c r="P54" s="1">
        <v>-505.22273570968599</v>
      </c>
      <c r="Q54" s="1" t="e">
        <f ca="1"/>
        <v>#NAME?</v>
      </c>
      <c r="R54" s="1" t="e">
        <f t="shared" ca="1" si="0"/>
        <v>#NAME?</v>
      </c>
      <c r="S54" s="4">
        <v>996161000000</v>
      </c>
      <c r="T54" s="1">
        <v>75971.666666666701</v>
      </c>
      <c r="U54" s="1" t="e">
        <f ca="1"/>
        <v>#NAME?</v>
      </c>
      <c r="V54" s="1" t="e">
        <f t="shared" ca="1" si="1"/>
        <v>#NAME?</v>
      </c>
      <c r="W54" s="1" t="e">
        <f ca="1"/>
        <v>#NAME?</v>
      </c>
      <c r="X54" s="1" t="e">
        <f t="shared" ca="1" si="2"/>
        <v>#NAME?</v>
      </c>
      <c r="Y54" s="1" t="e">
        <f ca="1"/>
        <v>#NAME?</v>
      </c>
      <c r="Z54" s="1" t="e">
        <f t="shared" ca="1" si="3"/>
        <v>#NAME?</v>
      </c>
      <c r="AA54" s="1" t="e">
        <f ca="1"/>
        <v>#NAME?</v>
      </c>
      <c r="AB54" s="1" t="e">
        <f t="shared" ca="1" si="4"/>
        <v>#NAME?</v>
      </c>
      <c r="AC54" s="1" t="e">
        <f ca="1"/>
        <v>#NAME?</v>
      </c>
      <c r="AD54" s="1" t="e">
        <f t="shared" ca="1" si="5"/>
        <v>#NAME?</v>
      </c>
      <c r="AE54" s="1" t="e">
        <f ca="1"/>
        <v>#NAME?</v>
      </c>
      <c r="AF54" s="1" t="e">
        <f t="shared" ca="1" si="6"/>
        <v>#NAME?</v>
      </c>
      <c r="AG54" s="1" t="e">
        <f ca="1"/>
        <v>#NAME?</v>
      </c>
      <c r="AH54" s="1" t="e">
        <f t="shared" ca="1" si="7"/>
        <v>#NAME?</v>
      </c>
      <c r="AI54" s="1" t="e">
        <f ca="1"/>
        <v>#NAME?</v>
      </c>
      <c r="AJ54" s="1" t="e">
        <f t="shared" ca="1" si="16"/>
        <v>#NAME?</v>
      </c>
      <c r="AK54" s="1" t="e">
        <f ca="1"/>
        <v>#NAME?</v>
      </c>
      <c r="AL54" s="1" t="e">
        <f t="shared" ca="1" si="8"/>
        <v>#NAME?</v>
      </c>
      <c r="AN54" s="1">
        <f t="shared" si="17"/>
        <v>4.0640697183933954</v>
      </c>
      <c r="AO54" s="1" t="e">
        <f ca="1"/>
        <v>#NAME?</v>
      </c>
      <c r="AP54" s="1" t="e">
        <f t="shared" ca="1" si="18"/>
        <v>#NAME?</v>
      </c>
    </row>
    <row r="55" spans="1:42" x14ac:dyDescent="0.25">
      <c r="A55" s="1" t="s">
        <v>70</v>
      </c>
      <c r="B55" s="1">
        <v>54</v>
      </c>
      <c r="C55" s="1">
        <v>26966.238785238798</v>
      </c>
      <c r="D55" s="1">
        <f t="shared" si="9"/>
        <v>4.4308203758660101</v>
      </c>
      <c r="E55" s="1">
        <v>16877.333308136</v>
      </c>
      <c r="F55" s="1">
        <f t="shared" si="10"/>
        <v>4.2273038272984396</v>
      </c>
      <c r="G55" s="1">
        <v>3765.6274360658199</v>
      </c>
      <c r="H55" s="1">
        <f t="shared" si="11"/>
        <v>3.575837349545564</v>
      </c>
      <c r="I55" s="1">
        <v>7237.8639629977797</v>
      </c>
      <c r="J55" s="1">
        <f t="shared" si="12"/>
        <v>0.26840465296776039</v>
      </c>
      <c r="K55" s="1">
        <f t="shared" si="13"/>
        <v>3.859610416203155</v>
      </c>
      <c r="L55" s="1">
        <v>1232.4119000486601</v>
      </c>
      <c r="M55" s="1">
        <f t="shared" si="14"/>
        <v>3.0907558831701514</v>
      </c>
      <c r="N55" s="1">
        <v>1631.4518834184501</v>
      </c>
      <c r="O55" s="1">
        <f t="shared" si="15"/>
        <v>3.2125742696200583</v>
      </c>
      <c r="P55" s="1">
        <v>-399.039983369791</v>
      </c>
      <c r="Q55" s="1" t="e">
        <f ca="1"/>
        <v>#NAME?</v>
      </c>
      <c r="R55" s="1" t="e">
        <f t="shared" ca="1" si="0"/>
        <v>#NAME?</v>
      </c>
      <c r="S55" s="4">
        <v>996956000000</v>
      </c>
      <c r="T55" s="1">
        <v>76663.333333333299</v>
      </c>
      <c r="U55" s="1" t="e">
        <f ca="1"/>
        <v>#NAME?</v>
      </c>
      <c r="V55" s="1" t="e">
        <f t="shared" ca="1" si="1"/>
        <v>#NAME?</v>
      </c>
      <c r="W55" s="1" t="e">
        <f ca="1"/>
        <v>#NAME?</v>
      </c>
      <c r="X55" s="1" t="e">
        <f t="shared" ca="1" si="2"/>
        <v>#NAME?</v>
      </c>
      <c r="Y55" s="1" t="e">
        <f ca="1"/>
        <v>#NAME?</v>
      </c>
      <c r="Z55" s="1" t="e">
        <f t="shared" ca="1" si="3"/>
        <v>#NAME?</v>
      </c>
      <c r="AA55" s="1" t="e">
        <f ca="1"/>
        <v>#NAME?</v>
      </c>
      <c r="AB55" s="1" t="e">
        <f t="shared" ca="1" si="4"/>
        <v>#NAME?</v>
      </c>
      <c r="AC55" s="1" t="e">
        <f ca="1"/>
        <v>#NAME?</v>
      </c>
      <c r="AD55" s="1" t="e">
        <f t="shared" ca="1" si="5"/>
        <v>#NAME?</v>
      </c>
      <c r="AE55" s="1" t="e">
        <f ca="1"/>
        <v>#NAME?</v>
      </c>
      <c r="AF55" s="1" t="e">
        <f t="shared" ca="1" si="6"/>
        <v>#NAME?</v>
      </c>
      <c r="AG55" s="1" t="e">
        <f ca="1"/>
        <v>#NAME?</v>
      </c>
      <c r="AH55" s="1" t="e">
        <f t="shared" ca="1" si="7"/>
        <v>#NAME?</v>
      </c>
      <c r="AI55" s="1" t="e">
        <f ca="1"/>
        <v>#NAME?</v>
      </c>
      <c r="AJ55" s="1" t="e">
        <f t="shared" ca="1" si="16"/>
        <v>#NAME?</v>
      </c>
      <c r="AK55" s="1" t="e">
        <f ca="1"/>
        <v>#NAME?</v>
      </c>
      <c r="AL55" s="1" t="e">
        <f t="shared" ca="1" si="8"/>
        <v>#NAME?</v>
      </c>
      <c r="AN55" s="1">
        <f t="shared" si="17"/>
        <v>4.0651608918985014</v>
      </c>
      <c r="AO55" s="1" t="e">
        <f ca="1"/>
        <v>#NAME?</v>
      </c>
      <c r="AP55" s="1" t="e">
        <f t="shared" ca="1" si="18"/>
        <v>#NAME?</v>
      </c>
    </row>
    <row r="56" spans="1:42" x14ac:dyDescent="0.25">
      <c r="A56" s="1" t="s">
        <v>71</v>
      </c>
      <c r="B56" s="1">
        <v>55</v>
      </c>
      <c r="C56" s="1">
        <v>26757.675867496699</v>
      </c>
      <c r="D56" s="1">
        <f t="shared" si="9"/>
        <v>4.4274483885518467</v>
      </c>
      <c r="E56" s="1">
        <v>16894.5949639711</v>
      </c>
      <c r="F56" s="1">
        <f t="shared" si="10"/>
        <v>4.2277477843310454</v>
      </c>
      <c r="G56" s="1">
        <v>3620.0545734738998</v>
      </c>
      <c r="H56" s="1">
        <f t="shared" si="11"/>
        <v>3.5587151177099399</v>
      </c>
      <c r="I56" s="1">
        <v>7134.9161840040297</v>
      </c>
      <c r="J56" s="1">
        <f t="shared" si="12"/>
        <v>0.26664932407941355</v>
      </c>
      <c r="K56" s="1">
        <f t="shared" si="13"/>
        <v>3.8533888756933639</v>
      </c>
      <c r="L56" s="1">
        <v>1233.48775395752</v>
      </c>
      <c r="M56" s="1">
        <f t="shared" si="14"/>
        <v>3.0911348421799709</v>
      </c>
      <c r="N56" s="1">
        <v>1582.43280817754</v>
      </c>
      <c r="O56" s="1">
        <f t="shared" si="15"/>
        <v>3.1993252784636463</v>
      </c>
      <c r="P56" s="1">
        <v>-348.94505422001902</v>
      </c>
      <c r="Q56" s="1" t="e">
        <f ca="1"/>
        <v>#NAME?</v>
      </c>
      <c r="R56" s="1" t="e">
        <f t="shared" ca="1" si="0"/>
        <v>#NAME?</v>
      </c>
      <c r="S56" s="4">
        <v>988511000000</v>
      </c>
      <c r="T56" s="1">
        <v>77119</v>
      </c>
      <c r="U56" s="1" t="e">
        <f ca="1"/>
        <v>#NAME?</v>
      </c>
      <c r="V56" s="1" t="e">
        <f t="shared" ca="1" si="1"/>
        <v>#NAME?</v>
      </c>
      <c r="W56" s="1" t="e">
        <f ca="1"/>
        <v>#NAME?</v>
      </c>
      <c r="X56" s="1" t="e">
        <f t="shared" ca="1" si="2"/>
        <v>#NAME?</v>
      </c>
      <c r="Y56" s="1" t="e">
        <f ca="1"/>
        <v>#NAME?</v>
      </c>
      <c r="Z56" s="1" t="e">
        <f t="shared" ca="1" si="3"/>
        <v>#NAME?</v>
      </c>
      <c r="AA56" s="1" t="e">
        <f ca="1"/>
        <v>#NAME?</v>
      </c>
      <c r="AB56" s="1" t="e">
        <f t="shared" ca="1" si="4"/>
        <v>#NAME?</v>
      </c>
      <c r="AC56" s="1" t="e">
        <f ca="1"/>
        <v>#NAME?</v>
      </c>
      <c r="AD56" s="1" t="e">
        <f t="shared" ca="1" si="5"/>
        <v>#NAME?</v>
      </c>
      <c r="AE56" s="1" t="e">
        <f ca="1"/>
        <v>#NAME?</v>
      </c>
      <c r="AF56" s="1" t="e">
        <f t="shared" ca="1" si="6"/>
        <v>#NAME?</v>
      </c>
      <c r="AG56" s="1" t="e">
        <f ca="1"/>
        <v>#NAME?</v>
      </c>
      <c r="AH56" s="1" t="e">
        <f t="shared" ca="1" si="7"/>
        <v>#NAME?</v>
      </c>
      <c r="AI56" s="1" t="e">
        <f ca="1"/>
        <v>#NAME?</v>
      </c>
      <c r="AJ56" s="1" t="e">
        <f t="shared" ca="1" si="16"/>
        <v>#NAME?</v>
      </c>
      <c r="AK56" s="1" t="e">
        <f ca="1"/>
        <v>#NAME?</v>
      </c>
      <c r="AL56" s="1" t="e">
        <f t="shared" ca="1" si="8"/>
        <v>#NAME?</v>
      </c>
      <c r="AN56" s="1">
        <f t="shared" si="17"/>
        <v>4.0614717569879248</v>
      </c>
      <c r="AO56" s="1" t="e">
        <f ca="1"/>
        <v>#NAME?</v>
      </c>
      <c r="AP56" s="1" t="e">
        <f t="shared" ca="1" si="18"/>
        <v>#NAME?</v>
      </c>
    </row>
    <row r="57" spans="1:42" x14ac:dyDescent="0.25">
      <c r="A57" s="1" t="s">
        <v>72</v>
      </c>
      <c r="B57" s="1">
        <v>56</v>
      </c>
      <c r="C57" s="1">
        <v>26946.0104932584</v>
      </c>
      <c r="D57" s="1">
        <f t="shared" si="9"/>
        <v>4.4304944745684294</v>
      </c>
      <c r="E57" s="1">
        <v>16803.260808244198</v>
      </c>
      <c r="F57" s="1">
        <f t="shared" si="10"/>
        <v>4.2253935682502881</v>
      </c>
      <c r="G57" s="1">
        <v>3739.88754536736</v>
      </c>
      <c r="H57" s="1">
        <f t="shared" si="11"/>
        <v>3.5728585436013693</v>
      </c>
      <c r="I57" s="1">
        <v>7170.9808751904002</v>
      </c>
      <c r="J57" s="1">
        <f t="shared" si="12"/>
        <v>0.26612402889787717</v>
      </c>
      <c r="K57" s="1">
        <f t="shared" si="13"/>
        <v>3.8555785642517733</v>
      </c>
      <c r="L57" s="1">
        <v>1291.01867348666</v>
      </c>
      <c r="M57" s="1">
        <f t="shared" si="14"/>
        <v>3.1109325240120156</v>
      </c>
      <c r="N57" s="1">
        <v>1590.3680162476301</v>
      </c>
      <c r="O57" s="1">
        <f t="shared" si="15"/>
        <v>3.2014976330826408</v>
      </c>
      <c r="P57" s="1">
        <v>-299.349342760968</v>
      </c>
      <c r="Q57" s="1" t="e">
        <f ca="1"/>
        <v>#NAME?</v>
      </c>
      <c r="R57" s="1" t="e">
        <f t="shared" ca="1" si="0"/>
        <v>#NAME?</v>
      </c>
      <c r="S57" s="4">
        <v>982628000000</v>
      </c>
      <c r="T57" s="1">
        <v>77852.666666666701</v>
      </c>
      <c r="U57" s="1" t="e">
        <f ca="1"/>
        <v>#NAME?</v>
      </c>
      <c r="V57" s="1" t="e">
        <f t="shared" ca="1" si="1"/>
        <v>#NAME?</v>
      </c>
      <c r="W57" s="1" t="e">
        <f ca="1"/>
        <v>#NAME?</v>
      </c>
      <c r="X57" s="1" t="e">
        <f t="shared" ca="1" si="2"/>
        <v>#NAME?</v>
      </c>
      <c r="Y57" s="1" t="e">
        <f ca="1"/>
        <v>#NAME?</v>
      </c>
      <c r="Z57" s="1" t="e">
        <f t="shared" ca="1" si="3"/>
        <v>#NAME?</v>
      </c>
      <c r="AA57" s="1" t="e">
        <f ca="1"/>
        <v>#NAME?</v>
      </c>
      <c r="AB57" s="1" t="e">
        <f t="shared" ca="1" si="4"/>
        <v>#NAME?</v>
      </c>
      <c r="AC57" s="1" t="e">
        <f ca="1"/>
        <v>#NAME?</v>
      </c>
      <c r="AD57" s="1" t="e">
        <f t="shared" ca="1" si="5"/>
        <v>#NAME?</v>
      </c>
      <c r="AE57" s="1" t="e">
        <f ca="1"/>
        <v>#NAME?</v>
      </c>
      <c r="AF57" s="1" t="e">
        <f t="shared" ca="1" si="6"/>
        <v>#NAME?</v>
      </c>
      <c r="AG57" s="1" t="e">
        <f ca="1"/>
        <v>#NAME?</v>
      </c>
      <c r="AH57" s="1" t="e">
        <f t="shared" ca="1" si="7"/>
        <v>#NAME?</v>
      </c>
      <c r="AI57" s="1" t="e">
        <f ca="1"/>
        <v>#NAME?</v>
      </c>
      <c r="AJ57" s="1" t="e">
        <f t="shared" ca="1" si="16"/>
        <v>#NAME?</v>
      </c>
      <c r="AK57" s="1" t="e">
        <f ca="1"/>
        <v>#NAME?</v>
      </c>
      <c r="AL57" s="1" t="e">
        <f t="shared" ca="1" si="8"/>
        <v>#NAME?</v>
      </c>
      <c r="AN57" s="1">
        <f t="shared" si="17"/>
        <v>4.0628193504187209</v>
      </c>
      <c r="AO57" s="1" t="e">
        <f ca="1"/>
        <v>#NAME?</v>
      </c>
      <c r="AP57" s="1" t="e">
        <f t="shared" ca="1" si="18"/>
        <v>#NAME?</v>
      </c>
    </row>
    <row r="58" spans="1:42" x14ac:dyDescent="0.25">
      <c r="A58" s="1" t="s">
        <v>73</v>
      </c>
      <c r="B58" s="1">
        <v>57</v>
      </c>
      <c r="C58" s="1">
        <v>26659.6901625192</v>
      </c>
      <c r="D58" s="1">
        <f t="shared" si="9"/>
        <v>4.425855097760131</v>
      </c>
      <c r="E58" s="1">
        <v>16618.863303681999</v>
      </c>
      <c r="F58" s="1">
        <f t="shared" si="10"/>
        <v>4.220601315608091</v>
      </c>
      <c r="G58" s="1">
        <v>3519.1044552039898</v>
      </c>
      <c r="H58" s="1">
        <f t="shared" si="11"/>
        <v>3.546432157896696</v>
      </c>
      <c r="I58" s="1">
        <v>7285.5815786510502</v>
      </c>
      <c r="J58" s="1">
        <f t="shared" si="12"/>
        <v>0.27328080462442256</v>
      </c>
      <c r="K58" s="1">
        <f t="shared" si="13"/>
        <v>3.8624642254701267</v>
      </c>
      <c r="L58" s="1">
        <v>1305.0848252824401</v>
      </c>
      <c r="M58" s="1">
        <f t="shared" si="14"/>
        <v>3.1156387399922041</v>
      </c>
      <c r="N58" s="1">
        <v>1533.2826633637401</v>
      </c>
      <c r="O58" s="1">
        <f t="shared" si="15"/>
        <v>3.1856222251890007</v>
      </c>
      <c r="P58" s="1">
        <v>-228.19783808129699</v>
      </c>
      <c r="Q58" s="1" t="e">
        <f ca="1"/>
        <v>#NAME?</v>
      </c>
      <c r="R58" s="1" t="e">
        <f t="shared" ca="1" si="0"/>
        <v>#NAME?</v>
      </c>
      <c r="S58" s="4">
        <v>973878000000</v>
      </c>
      <c r="T58" s="1">
        <v>78216.666666666701</v>
      </c>
      <c r="U58" s="1" t="e">
        <f ca="1"/>
        <v>#NAME?</v>
      </c>
      <c r="V58" s="1" t="e">
        <f t="shared" ca="1" si="1"/>
        <v>#NAME?</v>
      </c>
      <c r="W58" s="1" t="e">
        <f ca="1"/>
        <v>#NAME?</v>
      </c>
      <c r="X58" s="1" t="e">
        <f t="shared" ca="1" si="2"/>
        <v>#NAME?</v>
      </c>
      <c r="Y58" s="1" t="e">
        <f ca="1"/>
        <v>#NAME?</v>
      </c>
      <c r="Z58" s="1" t="e">
        <f t="shared" ca="1" si="3"/>
        <v>#NAME?</v>
      </c>
      <c r="AA58" s="1" t="e">
        <f ca="1"/>
        <v>#NAME?</v>
      </c>
      <c r="AB58" s="1" t="e">
        <f t="shared" ca="1" si="4"/>
        <v>#NAME?</v>
      </c>
      <c r="AC58" s="1" t="e">
        <f ca="1"/>
        <v>#NAME?</v>
      </c>
      <c r="AD58" s="1" t="e">
        <f t="shared" ca="1" si="5"/>
        <v>#NAME?</v>
      </c>
      <c r="AE58" s="1" t="e">
        <f ca="1"/>
        <v>#NAME?</v>
      </c>
      <c r="AF58" s="1" t="e">
        <f t="shared" ca="1" si="6"/>
        <v>#NAME?</v>
      </c>
      <c r="AG58" s="1" t="e">
        <f ca="1"/>
        <v>#NAME?</v>
      </c>
      <c r="AH58" s="1" t="e">
        <f t="shared" ca="1" si="7"/>
        <v>#NAME?</v>
      </c>
      <c r="AI58" s="1" t="e">
        <f ca="1"/>
        <v>#NAME?</v>
      </c>
      <c r="AJ58" s="1" t="e">
        <f t="shared" ca="1" si="16"/>
        <v>#NAME?</v>
      </c>
      <c r="AK58" s="1" t="e">
        <f ca="1"/>
        <v>#NAME?</v>
      </c>
      <c r="AL58" s="1" t="e">
        <f t="shared" ca="1" si="8"/>
        <v>#NAME?</v>
      </c>
      <c r="AN58" s="1">
        <f t="shared" si="17"/>
        <v>4.0582819034415083</v>
      </c>
      <c r="AO58" s="1" t="e">
        <f ca="1"/>
        <v>#NAME?</v>
      </c>
      <c r="AP58" s="1" t="e">
        <f t="shared" ca="1" si="18"/>
        <v>#NAME?</v>
      </c>
    </row>
    <row r="59" spans="1:42" x14ac:dyDescent="0.25">
      <c r="A59" s="1" t="s">
        <v>74</v>
      </c>
      <c r="B59" s="1">
        <v>58</v>
      </c>
      <c r="C59" s="1">
        <v>26665.7568749356</v>
      </c>
      <c r="D59" s="1">
        <f t="shared" si="9"/>
        <v>4.4259539151122018</v>
      </c>
      <c r="E59" s="1">
        <v>16642.9434181328</v>
      </c>
      <c r="F59" s="1">
        <f t="shared" si="10"/>
        <v>4.2212301366907266</v>
      </c>
      <c r="G59" s="1">
        <v>3497.54215784496</v>
      </c>
      <c r="H59" s="1">
        <f t="shared" si="11"/>
        <v>3.5437629579913392</v>
      </c>
      <c r="I59" s="1">
        <v>7306.3782174324197</v>
      </c>
      <c r="J59" s="1">
        <f t="shared" si="12"/>
        <v>0.27399853121364159</v>
      </c>
      <c r="K59" s="1">
        <f t="shared" si="13"/>
        <v>3.8637021498759463</v>
      </c>
      <c r="L59" s="1">
        <v>1365.78777352272</v>
      </c>
      <c r="M59" s="1">
        <f t="shared" si="14"/>
        <v>3.1353832206130332</v>
      </c>
      <c r="N59" s="1">
        <v>1611.0476493665799</v>
      </c>
      <c r="O59" s="1">
        <f t="shared" si="15"/>
        <v>3.2071083855780893</v>
      </c>
      <c r="P59" s="1">
        <v>-245.25987584385899</v>
      </c>
      <c r="Q59" s="1" t="e">
        <f ca="1"/>
        <v>#NAME?</v>
      </c>
      <c r="R59" s="1" t="e">
        <f t="shared" ca="1" si="0"/>
        <v>#NAME?</v>
      </c>
      <c r="S59" s="4">
        <v>970429000000</v>
      </c>
      <c r="T59" s="1">
        <v>78511.666666666701</v>
      </c>
      <c r="U59" s="1" t="e">
        <f ca="1"/>
        <v>#NAME?</v>
      </c>
      <c r="V59" s="1" t="e">
        <f t="shared" ca="1" si="1"/>
        <v>#NAME?</v>
      </c>
      <c r="W59" s="1" t="e">
        <f ca="1"/>
        <v>#NAME?</v>
      </c>
      <c r="X59" s="1" t="e">
        <f t="shared" ca="1" si="2"/>
        <v>#NAME?</v>
      </c>
      <c r="Y59" s="1" t="e">
        <f ca="1"/>
        <v>#NAME?</v>
      </c>
      <c r="Z59" s="1" t="e">
        <f t="shared" ca="1" si="3"/>
        <v>#NAME?</v>
      </c>
      <c r="AA59" s="1" t="e">
        <f ca="1"/>
        <v>#NAME?</v>
      </c>
      <c r="AB59" s="1" t="e">
        <f t="shared" ca="1" si="4"/>
        <v>#NAME?</v>
      </c>
      <c r="AC59" s="1" t="e">
        <f ca="1"/>
        <v>#NAME?</v>
      </c>
      <c r="AD59" s="1" t="e">
        <f t="shared" ca="1" si="5"/>
        <v>#NAME?</v>
      </c>
      <c r="AE59" s="1" t="e">
        <f ca="1"/>
        <v>#NAME?</v>
      </c>
      <c r="AF59" s="1" t="e">
        <f t="shared" ca="1" si="6"/>
        <v>#NAME?</v>
      </c>
      <c r="AG59" s="1" t="e">
        <f ca="1"/>
        <v>#NAME?</v>
      </c>
      <c r="AH59" s="1" t="e">
        <f t="shared" ca="1" si="7"/>
        <v>#NAME?</v>
      </c>
      <c r="AI59" s="1" t="e">
        <f ca="1"/>
        <v>#NAME?</v>
      </c>
      <c r="AJ59" s="1" t="e">
        <f t="shared" ca="1" si="16"/>
        <v>#NAME?</v>
      </c>
      <c r="AK59" s="1" t="e">
        <f ca="1"/>
        <v>#NAME?</v>
      </c>
      <c r="AL59" s="1" t="e">
        <f t="shared" ca="1" si="8"/>
        <v>#NAME?</v>
      </c>
      <c r="AN59" s="1">
        <f t="shared" si="17"/>
        <v>4.0578890732802346</v>
      </c>
      <c r="AO59" s="1" t="e">
        <f ca="1"/>
        <v>#NAME?</v>
      </c>
      <c r="AP59" s="1" t="e">
        <f t="shared" ca="1" si="18"/>
        <v>#NAME?</v>
      </c>
    </row>
    <row r="60" spans="1:42" x14ac:dyDescent="0.25">
      <c r="A60" s="1" t="s">
        <v>75</v>
      </c>
      <c r="B60" s="1">
        <v>59</v>
      </c>
      <c r="C60" s="1">
        <v>26346.5049708845</v>
      </c>
      <c r="D60" s="1">
        <f t="shared" si="9"/>
        <v>4.4207230114828304</v>
      </c>
      <c r="E60" s="1">
        <v>16671.893605794201</v>
      </c>
      <c r="F60" s="1">
        <f t="shared" si="10"/>
        <v>4.2219849301124777</v>
      </c>
      <c r="G60" s="1">
        <v>3307.8306023432501</v>
      </c>
      <c r="H60" s="1">
        <f t="shared" si="11"/>
        <v>3.5195432607501274</v>
      </c>
      <c r="I60" s="1">
        <v>7302.30168996064</v>
      </c>
      <c r="J60" s="1">
        <f t="shared" si="12"/>
        <v>0.27716396152090789</v>
      </c>
      <c r="K60" s="1">
        <f t="shared" si="13"/>
        <v>3.8634597715853003</v>
      </c>
      <c r="L60" s="1">
        <v>1288.9183598182599</v>
      </c>
      <c r="M60" s="1">
        <f t="shared" si="14"/>
        <v>3.1102254099807913</v>
      </c>
      <c r="N60" s="1">
        <v>1578.8640513292301</v>
      </c>
      <c r="O60" s="1">
        <f t="shared" si="15"/>
        <v>3.1983447365318085</v>
      </c>
      <c r="P60" s="1">
        <v>-289.94569151097102</v>
      </c>
      <c r="Q60" s="1" t="e">
        <f ca="1"/>
        <v>#NAME?</v>
      </c>
      <c r="R60" s="1" t="e">
        <f t="shared" ca="1" si="0"/>
        <v>#NAME?</v>
      </c>
      <c r="S60" s="4">
        <v>953837000000</v>
      </c>
      <c r="T60" s="1">
        <v>78621.666666666701</v>
      </c>
      <c r="U60" s="1" t="e">
        <f ca="1"/>
        <v>#NAME?</v>
      </c>
      <c r="V60" s="1" t="e">
        <f t="shared" ca="1" si="1"/>
        <v>#NAME?</v>
      </c>
      <c r="W60" s="1" t="e">
        <f ca="1"/>
        <v>#NAME?</v>
      </c>
      <c r="X60" s="1" t="e">
        <f t="shared" ca="1" si="2"/>
        <v>#NAME?</v>
      </c>
      <c r="Y60" s="1" t="e">
        <f ca="1"/>
        <v>#NAME?</v>
      </c>
      <c r="Z60" s="1" t="e">
        <f t="shared" ca="1" si="3"/>
        <v>#NAME?</v>
      </c>
      <c r="AA60" s="1" t="e">
        <f ca="1"/>
        <v>#NAME?</v>
      </c>
      <c r="AB60" s="1" t="e">
        <f t="shared" ca="1" si="4"/>
        <v>#NAME?</v>
      </c>
      <c r="AC60" s="1" t="e">
        <f ca="1"/>
        <v>#NAME?</v>
      </c>
      <c r="AD60" s="1" t="e">
        <f t="shared" ca="1" si="5"/>
        <v>#NAME?</v>
      </c>
      <c r="AE60" s="1" t="e">
        <f ca="1"/>
        <v>#NAME?</v>
      </c>
      <c r="AF60" s="1" t="e">
        <f t="shared" ca="1" si="6"/>
        <v>#NAME?</v>
      </c>
      <c r="AG60" s="1" t="e">
        <f ca="1"/>
        <v>#NAME?</v>
      </c>
      <c r="AH60" s="1" t="e">
        <f t="shared" ca="1" si="7"/>
        <v>#NAME?</v>
      </c>
      <c r="AI60" s="1" t="e">
        <f ca="1"/>
        <v>#NAME?</v>
      </c>
      <c r="AJ60" s="1" t="e">
        <f t="shared" ca="1" si="16"/>
        <v>#NAME?</v>
      </c>
      <c r="AK60" s="1" t="e">
        <f ca="1"/>
        <v>#NAME?</v>
      </c>
      <c r="AL60" s="1" t="e">
        <f t="shared" ca="1" si="8"/>
        <v>#NAME?</v>
      </c>
      <c r="AN60" s="1">
        <f t="shared" si="17"/>
        <v>4.0549652746379925</v>
      </c>
      <c r="AO60" s="1" t="e">
        <f ca="1"/>
        <v>#NAME?</v>
      </c>
      <c r="AP60" s="1" t="e">
        <f t="shared" ca="1" si="18"/>
        <v>#NAME?</v>
      </c>
    </row>
    <row r="61" spans="1:42" x14ac:dyDescent="0.25">
      <c r="A61" s="1" t="s">
        <v>76</v>
      </c>
      <c r="B61" s="1">
        <v>60</v>
      </c>
      <c r="C61" s="1">
        <v>26176.646483465302</v>
      </c>
      <c r="D61" s="1">
        <f t="shared" si="9"/>
        <v>4.4179140078750381</v>
      </c>
      <c r="E61" s="1">
        <v>16385.887284583099</v>
      </c>
      <c r="F61" s="1">
        <f t="shared" si="10"/>
        <v>4.2144699631041194</v>
      </c>
      <c r="G61" s="1">
        <v>3319.33395435491</v>
      </c>
      <c r="H61" s="1">
        <f t="shared" si="11"/>
        <v>3.5210509484729071</v>
      </c>
      <c r="I61" s="1">
        <v>7318.3977643223097</v>
      </c>
      <c r="J61" s="1">
        <f t="shared" si="12"/>
        <v>0.27957736178868586</v>
      </c>
      <c r="K61" s="1">
        <f t="shared" si="13"/>
        <v>3.8644160102552192</v>
      </c>
      <c r="L61" s="1">
        <v>1319.1802515137399</v>
      </c>
      <c r="M61" s="1">
        <f t="shared" si="14"/>
        <v>3.1203041411789081</v>
      </c>
      <c r="N61" s="1">
        <v>1559.17093619003</v>
      </c>
      <c r="O61" s="1">
        <f t="shared" si="15"/>
        <v>3.1928937306952916</v>
      </c>
      <c r="P61" s="1">
        <v>-239.990684676293</v>
      </c>
      <c r="Q61" s="1" t="e">
        <f ca="1"/>
        <v>#NAME?</v>
      </c>
      <c r="R61" s="1" t="e">
        <f t="shared" ca="1" si="0"/>
        <v>#NAME?</v>
      </c>
      <c r="S61" s="4">
        <v>911379000000</v>
      </c>
      <c r="T61" s="1">
        <v>78182.333333333299</v>
      </c>
      <c r="U61" s="1" t="e">
        <f ca="1"/>
        <v>#NAME?</v>
      </c>
      <c r="V61" s="1" t="e">
        <f t="shared" ca="1" si="1"/>
        <v>#NAME?</v>
      </c>
      <c r="W61" s="1" t="e">
        <f ca="1"/>
        <v>#NAME?</v>
      </c>
      <c r="X61" s="1" t="e">
        <f t="shared" ca="1" si="2"/>
        <v>#NAME?</v>
      </c>
      <c r="Y61" s="1" t="e">
        <f ca="1"/>
        <v>#NAME?</v>
      </c>
      <c r="Z61" s="1" t="e">
        <f t="shared" ca="1" si="3"/>
        <v>#NAME?</v>
      </c>
      <c r="AA61" s="1" t="e">
        <f ca="1"/>
        <v>#NAME?</v>
      </c>
      <c r="AB61" s="1" t="e">
        <f t="shared" ca="1" si="4"/>
        <v>#NAME?</v>
      </c>
      <c r="AC61" s="1" t="e">
        <f ca="1"/>
        <v>#NAME?</v>
      </c>
      <c r="AD61" s="1" t="e">
        <f t="shared" ca="1" si="5"/>
        <v>#NAME?</v>
      </c>
      <c r="AE61" s="1" t="e">
        <f ca="1"/>
        <v>#NAME?</v>
      </c>
      <c r="AF61" s="1" t="e">
        <f t="shared" ca="1" si="6"/>
        <v>#NAME?</v>
      </c>
      <c r="AG61" s="1" t="e">
        <f ca="1"/>
        <v>#NAME?</v>
      </c>
      <c r="AH61" s="1" t="e">
        <f t="shared" ca="1" si="7"/>
        <v>#NAME?</v>
      </c>
      <c r="AI61" s="1" t="e">
        <f ca="1"/>
        <v>#NAME?</v>
      </c>
      <c r="AJ61" s="1" t="e">
        <f t="shared" ca="1" si="16"/>
        <v>#NAME?</v>
      </c>
      <c r="AK61" s="1" t="e">
        <f ca="1"/>
        <v>#NAME?</v>
      </c>
      <c r="AL61" s="1" t="e">
        <f t="shared" ca="1" si="8"/>
        <v>#NAME?</v>
      </c>
      <c r="AN61" s="1">
        <f t="shared" si="17"/>
        <v>4.0608328398985503</v>
      </c>
      <c r="AO61" s="1" t="e">
        <f ca="1"/>
        <v>#NAME?</v>
      </c>
      <c r="AP61" s="1" t="e">
        <f t="shared" ca="1" si="18"/>
        <v>#NAME?</v>
      </c>
    </row>
    <row r="62" spans="1:42" x14ac:dyDescent="0.25">
      <c r="A62" s="1" t="s">
        <v>77</v>
      </c>
      <c r="B62" s="1">
        <v>61</v>
      </c>
      <c r="C62" s="1">
        <v>25805.717340274699</v>
      </c>
      <c r="D62" s="1">
        <f t="shared" si="9"/>
        <v>4.4117159359730271</v>
      </c>
      <c r="E62" s="1">
        <v>16489.910986125</v>
      </c>
      <c r="F62" s="1">
        <f t="shared" si="10"/>
        <v>4.2172183112940598</v>
      </c>
      <c r="G62" s="1">
        <v>2779.0271225044698</v>
      </c>
      <c r="H62" s="1">
        <f t="shared" si="11"/>
        <v>3.4438927853871402</v>
      </c>
      <c r="I62" s="1">
        <v>7383.1408185557902</v>
      </c>
      <c r="J62" s="1">
        <f t="shared" si="12"/>
        <v>0.28610484727866886</v>
      </c>
      <c r="K62" s="1">
        <f t="shared" si="13"/>
        <v>3.8682411517948752</v>
      </c>
      <c r="L62" s="1">
        <v>1325.6978176493801</v>
      </c>
      <c r="M62" s="1">
        <f t="shared" si="14"/>
        <v>3.1224445413512685</v>
      </c>
      <c r="N62" s="1">
        <v>1399.88379389686</v>
      </c>
      <c r="O62" s="1">
        <f t="shared" si="15"/>
        <v>3.1460919858468155</v>
      </c>
      <c r="P62" s="1">
        <v>-74.185976247472396</v>
      </c>
      <c r="Q62" s="1" t="e">
        <f ca="1"/>
        <v>#NAME?</v>
      </c>
      <c r="R62" s="1" t="e">
        <f t="shared" ca="1" si="0"/>
        <v>#NAME?</v>
      </c>
      <c r="S62" s="4">
        <v>876760000000</v>
      </c>
      <c r="T62" s="1">
        <v>76953</v>
      </c>
      <c r="U62" s="1" t="e">
        <f ca="1"/>
        <v>#NAME?</v>
      </c>
      <c r="V62" s="1" t="e">
        <f t="shared" ca="1" si="1"/>
        <v>#NAME?</v>
      </c>
      <c r="W62" s="1" t="e">
        <f ca="1"/>
        <v>#NAME?</v>
      </c>
      <c r="X62" s="1" t="e">
        <f t="shared" ca="1" si="2"/>
        <v>#NAME?</v>
      </c>
      <c r="Y62" s="1" t="e">
        <f ca="1"/>
        <v>#NAME?</v>
      </c>
      <c r="Z62" s="1" t="e">
        <f t="shared" ca="1" si="3"/>
        <v>#NAME?</v>
      </c>
      <c r="AA62" s="1" t="e">
        <f ca="1"/>
        <v>#NAME?</v>
      </c>
      <c r="AB62" s="1" t="e">
        <f t="shared" ca="1" si="4"/>
        <v>#NAME?</v>
      </c>
      <c r="AC62" s="1" t="e">
        <f ca="1"/>
        <v>#NAME?</v>
      </c>
      <c r="AD62" s="1" t="e">
        <f t="shared" ca="1" si="5"/>
        <v>#NAME?</v>
      </c>
      <c r="AE62" s="1" t="e">
        <f ca="1"/>
        <v>#NAME?</v>
      </c>
      <c r="AF62" s="1" t="e">
        <f t="shared" ca="1" si="6"/>
        <v>#NAME?</v>
      </c>
      <c r="AG62" s="1" t="e">
        <f ca="1"/>
        <v>#NAME?</v>
      </c>
      <c r="AH62" s="1" t="e">
        <f t="shared" ca="1" si="7"/>
        <v>#NAME?</v>
      </c>
      <c r="AI62" s="1" t="e">
        <f ca="1"/>
        <v>#NAME?</v>
      </c>
      <c r="AJ62" s="1" t="e">
        <f t="shared" ca="1" si="16"/>
        <v>#NAME?</v>
      </c>
      <c r="AK62" s="1" t="e">
        <f ca="1"/>
        <v>#NAME?</v>
      </c>
      <c r="AL62" s="1" t="e">
        <f t="shared" ca="1" si="8"/>
        <v>#NAME?</v>
      </c>
      <c r="AN62" s="1">
        <f t="shared" si="17"/>
        <v>4.0650945184452594</v>
      </c>
      <c r="AO62" s="1" t="e">
        <f ca="1"/>
        <v>#NAME?</v>
      </c>
      <c r="AP62" s="1" t="e">
        <f t="shared" ca="1" si="18"/>
        <v>#NAME?</v>
      </c>
    </row>
    <row r="63" spans="1:42" x14ac:dyDescent="0.25">
      <c r="A63" s="1" t="s">
        <v>78</v>
      </c>
      <c r="B63" s="1">
        <v>62</v>
      </c>
      <c r="C63" s="1">
        <v>25927.800345000302</v>
      </c>
      <c r="D63" s="1">
        <f t="shared" si="9"/>
        <v>4.4137656737863216</v>
      </c>
      <c r="E63" s="1">
        <v>16720.962476582601</v>
      </c>
      <c r="F63" s="1">
        <f t="shared" si="10"/>
        <v>4.2232612722799319</v>
      </c>
      <c r="G63" s="1">
        <v>2689.8289837330499</v>
      </c>
      <c r="H63" s="1">
        <f t="shared" si="11"/>
        <v>3.4297246689310144</v>
      </c>
      <c r="I63" s="1">
        <v>7303.1921799936899</v>
      </c>
      <c r="J63" s="1">
        <f t="shared" si="12"/>
        <v>0.28167419074568645</v>
      </c>
      <c r="K63" s="1">
        <f t="shared" si="13"/>
        <v>3.8635127290424691</v>
      </c>
      <c r="L63" s="1">
        <v>1283.962124163</v>
      </c>
      <c r="M63" s="1">
        <f t="shared" si="14"/>
        <v>3.1085522125882674</v>
      </c>
      <c r="N63" s="1">
        <v>1284.77825385343</v>
      </c>
      <c r="O63" s="1">
        <f t="shared" si="15"/>
        <v>3.1088281771318473</v>
      </c>
      <c r="P63" s="1">
        <v>-0.81612969042711303</v>
      </c>
      <c r="Q63" s="1" t="e">
        <f ca="1"/>
        <v>#NAME?</v>
      </c>
      <c r="R63" s="1" t="e">
        <f t="shared" ca="1" si="0"/>
        <v>#NAME?</v>
      </c>
      <c r="S63" s="4">
        <v>856806000000</v>
      </c>
      <c r="T63" s="1">
        <v>76535</v>
      </c>
      <c r="U63" s="1" t="e">
        <f ca="1"/>
        <v>#NAME?</v>
      </c>
      <c r="V63" s="1" t="e">
        <f t="shared" ca="1" si="1"/>
        <v>#NAME?</v>
      </c>
      <c r="W63" s="1" t="e">
        <f ca="1"/>
        <v>#NAME?</v>
      </c>
      <c r="X63" s="1" t="e">
        <f t="shared" ca="1" si="2"/>
        <v>#NAME?</v>
      </c>
      <c r="Y63" s="1" t="e">
        <f ca="1"/>
        <v>#NAME?</v>
      </c>
      <c r="Z63" s="1" t="e">
        <f t="shared" ca="1" si="3"/>
        <v>#NAME?</v>
      </c>
      <c r="AA63" s="1" t="e">
        <f ca="1"/>
        <v>#NAME?</v>
      </c>
      <c r="AB63" s="1" t="e">
        <f t="shared" ca="1" si="4"/>
        <v>#NAME?</v>
      </c>
      <c r="AC63" s="1" t="e">
        <f ca="1"/>
        <v>#NAME?</v>
      </c>
      <c r="AD63" s="1" t="e">
        <f t="shared" ca="1" si="5"/>
        <v>#NAME?</v>
      </c>
      <c r="AE63" s="1" t="e">
        <f ca="1"/>
        <v>#NAME?</v>
      </c>
      <c r="AF63" s="1" t="e">
        <f t="shared" ca="1" si="6"/>
        <v>#NAME?</v>
      </c>
      <c r="AG63" s="1" t="e">
        <f ca="1"/>
        <v>#NAME?</v>
      </c>
      <c r="AH63" s="1" t="e">
        <f t="shared" ca="1" si="7"/>
        <v>#NAME?</v>
      </c>
      <c r="AI63" s="1" t="e">
        <f ca="1"/>
        <v>#NAME?</v>
      </c>
      <c r="AJ63" s="1" t="e">
        <f t="shared" ca="1" si="16"/>
        <v>#NAME?</v>
      </c>
      <c r="AK63" s="1" t="e">
        <f ca="1"/>
        <v>#NAME?</v>
      </c>
      <c r="AL63" s="1" t="e">
        <f t="shared" ca="1" si="8"/>
        <v>#NAME?</v>
      </c>
      <c r="AN63" s="1">
        <f t="shared" si="17"/>
        <v>4.0722575187306758</v>
      </c>
      <c r="AO63" s="1" t="e">
        <f ca="1"/>
        <v>#NAME?</v>
      </c>
      <c r="AP63" s="1" t="e">
        <f t="shared" ca="1" si="18"/>
        <v>#NAME?</v>
      </c>
    </row>
    <row r="64" spans="1:42" x14ac:dyDescent="0.25">
      <c r="A64" s="1" t="s">
        <v>79</v>
      </c>
      <c r="B64" s="1">
        <v>63</v>
      </c>
      <c r="C64" s="1">
        <v>26293.926182099</v>
      </c>
      <c r="D64" s="1">
        <f t="shared" si="9"/>
        <v>4.4198554393551603</v>
      </c>
      <c r="E64" s="1">
        <v>16908.663871024401</v>
      </c>
      <c r="F64" s="1">
        <f t="shared" si="10"/>
        <v>4.2281092908403606</v>
      </c>
      <c r="G64" s="1">
        <v>2889.82333821877</v>
      </c>
      <c r="H64" s="1">
        <f t="shared" si="11"/>
        <v>3.4608712941123123</v>
      </c>
      <c r="I64" s="1">
        <v>7417.70963849294</v>
      </c>
      <c r="J64" s="1">
        <f t="shared" si="12"/>
        <v>0.28210734247603325</v>
      </c>
      <c r="K64" s="1">
        <f t="shared" si="13"/>
        <v>3.8702698291451472</v>
      </c>
      <c r="L64" s="1">
        <v>1258.58457896611</v>
      </c>
      <c r="M64" s="1">
        <f t="shared" si="14"/>
        <v>3.0998824061728261</v>
      </c>
      <c r="N64" s="1">
        <v>1387.4861874621499</v>
      </c>
      <c r="O64" s="1">
        <f t="shared" si="15"/>
        <v>3.1422286683793423</v>
      </c>
      <c r="P64" s="1">
        <v>-128.90160849604001</v>
      </c>
      <c r="Q64" s="1" t="e">
        <f ca="1"/>
        <v>#NAME?</v>
      </c>
      <c r="R64" s="1" t="e">
        <f t="shared" ca="1" si="0"/>
        <v>#NAME?</v>
      </c>
      <c r="S64" s="4">
        <v>887954000000</v>
      </c>
      <c r="T64" s="1">
        <v>77050.333333333299</v>
      </c>
      <c r="U64" s="1" t="e">
        <f ca="1"/>
        <v>#NAME?</v>
      </c>
      <c r="V64" s="1" t="e">
        <f t="shared" ca="1" si="1"/>
        <v>#NAME?</v>
      </c>
      <c r="W64" s="1" t="e">
        <f ca="1"/>
        <v>#NAME?</v>
      </c>
      <c r="X64" s="1" t="e">
        <f t="shared" ca="1" si="2"/>
        <v>#NAME?</v>
      </c>
      <c r="Y64" s="1" t="e">
        <f ca="1"/>
        <v>#NAME?</v>
      </c>
      <c r="Z64" s="1" t="e">
        <f t="shared" ca="1" si="3"/>
        <v>#NAME?</v>
      </c>
      <c r="AA64" s="1" t="e">
        <f ca="1"/>
        <v>#NAME?</v>
      </c>
      <c r="AB64" s="1" t="e">
        <f t="shared" ca="1" si="4"/>
        <v>#NAME?</v>
      </c>
      <c r="AC64" s="1" t="e">
        <f ca="1"/>
        <v>#NAME?</v>
      </c>
      <c r="AD64" s="1" t="e">
        <f t="shared" ca="1" si="5"/>
        <v>#NAME?</v>
      </c>
      <c r="AE64" s="1" t="e">
        <f ca="1"/>
        <v>#NAME?</v>
      </c>
      <c r="AF64" s="1" t="e">
        <f t="shared" ca="1" si="6"/>
        <v>#NAME?</v>
      </c>
      <c r="AG64" s="1" t="e">
        <f ca="1"/>
        <v>#NAME?</v>
      </c>
      <c r="AH64" s="1" t="e">
        <f t="shared" ca="1" si="7"/>
        <v>#NAME?</v>
      </c>
      <c r="AI64" s="1" t="e">
        <f ca="1"/>
        <v>#NAME?</v>
      </c>
      <c r="AJ64" s="1" t="e">
        <f t="shared" ca="1" si="16"/>
        <v>#NAME?</v>
      </c>
      <c r="AK64" s="1" t="e">
        <f ca="1"/>
        <v>#NAME?</v>
      </c>
      <c r="AL64" s="1" t="e">
        <f t="shared" ca="1" si="8"/>
        <v>#NAME?</v>
      </c>
      <c r="AN64" s="1">
        <f t="shared" si="17"/>
        <v>4.0708991768783021</v>
      </c>
      <c r="AO64" s="1" t="e">
        <f ca="1"/>
        <v>#NAME?</v>
      </c>
      <c r="AP64" s="1" t="e">
        <f t="shared" ca="1" si="18"/>
        <v>#NAME?</v>
      </c>
    </row>
    <row r="65" spans="1:42" x14ac:dyDescent="0.25">
      <c r="A65" s="1" t="s">
        <v>80</v>
      </c>
      <c r="B65" s="1">
        <v>64</v>
      </c>
      <c r="C65" s="1">
        <v>26579.2859514499</v>
      </c>
      <c r="D65" s="1">
        <f t="shared" si="9"/>
        <v>4.4245433095069924</v>
      </c>
      <c r="E65" s="1">
        <v>17046.4334464694</v>
      </c>
      <c r="F65" s="1">
        <f t="shared" si="10"/>
        <v>4.2316335272261716</v>
      </c>
      <c r="G65" s="1">
        <v>2962.83110750387</v>
      </c>
      <c r="H65" s="1">
        <f t="shared" si="11"/>
        <v>3.4717068957697403</v>
      </c>
      <c r="I65" s="1">
        <v>7463.4029366191999</v>
      </c>
      <c r="J65" s="1">
        <f t="shared" si="12"/>
        <v>0.28079772158860689</v>
      </c>
      <c r="K65" s="1">
        <f t="shared" si="13"/>
        <v>3.8729368890847389</v>
      </c>
      <c r="L65" s="1">
        <v>1326.31612927027</v>
      </c>
      <c r="M65" s="1">
        <f t="shared" si="14"/>
        <v>3.1226470510931397</v>
      </c>
      <c r="N65" s="1">
        <v>1457.78148749354</v>
      </c>
      <c r="O65" s="1">
        <f t="shared" si="15"/>
        <v>3.1636924307804475</v>
      </c>
      <c r="P65" s="1">
        <v>-131.46535822327201</v>
      </c>
      <c r="Q65" s="1" t="e">
        <f ca="1"/>
        <v>#NAME?</v>
      </c>
      <c r="R65" s="1" t="e">
        <f t="shared" ca="1" si="0"/>
        <v>#NAME?</v>
      </c>
      <c r="S65" s="4">
        <v>909903000000</v>
      </c>
      <c r="T65" s="1">
        <v>77747.333333333299</v>
      </c>
      <c r="U65" s="1" t="e">
        <f ca="1"/>
        <v>#NAME?</v>
      </c>
      <c r="V65" s="1" t="e">
        <f t="shared" ca="1" si="1"/>
        <v>#NAME?</v>
      </c>
      <c r="W65" s="1" t="e">
        <f ca="1"/>
        <v>#NAME?</v>
      </c>
      <c r="X65" s="1" t="e">
        <f t="shared" ca="1" si="2"/>
        <v>#NAME?</v>
      </c>
      <c r="Y65" s="1" t="e">
        <f ca="1"/>
        <v>#NAME?</v>
      </c>
      <c r="Z65" s="1" t="e">
        <f t="shared" ca="1" si="3"/>
        <v>#NAME?</v>
      </c>
      <c r="AA65" s="1" t="e">
        <f ca="1"/>
        <v>#NAME?</v>
      </c>
      <c r="AB65" s="1" t="e">
        <f t="shared" ca="1" si="4"/>
        <v>#NAME?</v>
      </c>
      <c r="AC65" s="1" t="e">
        <f ca="1"/>
        <v>#NAME?</v>
      </c>
      <c r="AD65" s="1" t="e">
        <f t="shared" ca="1" si="5"/>
        <v>#NAME?</v>
      </c>
      <c r="AE65" s="1" t="e">
        <f ca="1"/>
        <v>#NAME?</v>
      </c>
      <c r="AF65" s="1" t="e">
        <f t="shared" ca="1" si="6"/>
        <v>#NAME?</v>
      </c>
      <c r="AG65" s="1" t="e">
        <f ca="1"/>
        <v>#NAME?</v>
      </c>
      <c r="AH65" s="1" t="e">
        <f t="shared" ca="1" si="7"/>
        <v>#NAME?</v>
      </c>
      <c r="AI65" s="1" t="e">
        <f ca="1"/>
        <v>#NAME?</v>
      </c>
      <c r="AJ65" s="1" t="e">
        <f t="shared" ca="1" si="16"/>
        <v>#NAME?</v>
      </c>
      <c r="AK65" s="1" t="e">
        <f ca="1"/>
        <v>#NAME?</v>
      </c>
      <c r="AL65" s="1" t="e">
        <f t="shared" ca="1" si="8"/>
        <v>#NAME?</v>
      </c>
      <c r="AN65" s="1">
        <f t="shared" si="17"/>
        <v>4.0692663533165074</v>
      </c>
      <c r="AO65" s="1" t="e">
        <f ca="1"/>
        <v>#NAME?</v>
      </c>
      <c r="AP65" s="1" t="e">
        <f t="shared" ca="1" si="18"/>
        <v>#NAME?</v>
      </c>
    </row>
    <row r="66" spans="1:42" x14ac:dyDescent="0.25">
      <c r="A66" s="1" t="s">
        <v>81</v>
      </c>
      <c r="B66" s="1">
        <v>65</v>
      </c>
      <c r="C66" s="1">
        <v>27118.713014347901</v>
      </c>
      <c r="D66" s="1">
        <f t="shared" si="9"/>
        <v>4.4332690751644392</v>
      </c>
      <c r="E66" s="1">
        <v>17349.9682487092</v>
      </c>
      <c r="F66" s="1">
        <f t="shared" si="10"/>
        <v>4.2392986843474683</v>
      </c>
      <c r="G66" s="1">
        <v>3241.7377619481499</v>
      </c>
      <c r="H66" s="1">
        <f t="shared" si="11"/>
        <v>3.5107778799926921</v>
      </c>
      <c r="I66" s="1">
        <v>7459.1144611023701</v>
      </c>
      <c r="J66" s="1">
        <f t="shared" si="12"/>
        <v>0.27505414645436604</v>
      </c>
      <c r="K66" s="1">
        <f t="shared" si="13"/>
        <v>3.8726872715095846</v>
      </c>
      <c r="L66" s="1">
        <v>1314.3377785140401</v>
      </c>
      <c r="M66" s="1">
        <f t="shared" si="14"/>
        <v>3.1187069911698333</v>
      </c>
      <c r="N66" s="1">
        <v>1545.78628160174</v>
      </c>
      <c r="O66" s="1">
        <f t="shared" si="15"/>
        <v>3.1891494487432963</v>
      </c>
      <c r="P66" s="1">
        <v>-231.44850308769799</v>
      </c>
      <c r="Q66" s="1" t="e">
        <f ca="1"/>
        <v>#NAME?</v>
      </c>
      <c r="R66" s="1" t="e">
        <f t="shared" ref="R66:R129" ca="1" si="19">P66/Q66</f>
        <v>#NAME?</v>
      </c>
      <c r="S66" s="4">
        <v>942826000000</v>
      </c>
      <c r="T66" s="1">
        <v>78789</v>
      </c>
      <c r="U66" s="1" t="e">
        <f ca="1"/>
        <v>#NAME?</v>
      </c>
      <c r="V66" s="1" t="e">
        <f t="shared" ref="V66:V129" ca="1" si="20">100*(D66-U66)/U66</f>
        <v>#NAME?</v>
      </c>
      <c r="W66" s="1" t="e">
        <f ca="1"/>
        <v>#NAME?</v>
      </c>
      <c r="X66" s="1" t="e">
        <f t="shared" ref="X66:X129" ca="1" si="21">100*(F66-W66)/W66</f>
        <v>#NAME?</v>
      </c>
      <c r="Y66" s="1" t="e">
        <f ca="1"/>
        <v>#NAME?</v>
      </c>
      <c r="Z66" s="1" t="e">
        <f t="shared" ref="Z66:Z129" ca="1" si="22">100*(H66-Y66)/Y66</f>
        <v>#NAME?</v>
      </c>
      <c r="AA66" s="1" t="e">
        <f ca="1"/>
        <v>#NAME?</v>
      </c>
      <c r="AB66" s="1" t="e">
        <f t="shared" ref="AB66:AB129" ca="1" si="23">100*(K66-AA66)/AA66</f>
        <v>#NAME?</v>
      </c>
      <c r="AC66" s="1" t="e">
        <f ca="1"/>
        <v>#NAME?</v>
      </c>
      <c r="AD66" s="1" t="e">
        <f t="shared" ref="AD66:AD129" ca="1" si="24">100*(M66-AC66)/AC66</f>
        <v>#NAME?</v>
      </c>
      <c r="AE66" s="1" t="e">
        <f ca="1"/>
        <v>#NAME?</v>
      </c>
      <c r="AF66" s="1" t="e">
        <f t="shared" ref="AF66:AF129" ca="1" si="25">100*(O66-AE66)/AE66</f>
        <v>#NAME?</v>
      </c>
      <c r="AG66" s="1" t="e">
        <f ca="1"/>
        <v>#NAME?</v>
      </c>
      <c r="AH66" s="1" t="e">
        <f t="shared" ref="AH66:AH129" ca="1" si="26">100*(R66-AG66)</f>
        <v>#NAME?</v>
      </c>
      <c r="AI66" s="1" t="e">
        <f ca="1"/>
        <v>#NAME?</v>
      </c>
      <c r="AJ66" s="1" t="e">
        <f t="shared" ca="1" si="16"/>
        <v>#NAME?</v>
      </c>
      <c r="AK66" s="1" t="e">
        <f ca="1"/>
        <v>#NAME?</v>
      </c>
      <c r="AL66" s="1" t="e">
        <f t="shared" ref="AL66:AL129" ca="1" si="27">100*(J66-AK66)</f>
        <v>#NAME?</v>
      </c>
      <c r="AN66" s="1">
        <f t="shared" si="17"/>
        <v>4.0687357404441471</v>
      </c>
      <c r="AO66" s="1" t="e">
        <f ca="1"/>
        <v>#NAME?</v>
      </c>
      <c r="AP66" s="1" t="e">
        <f t="shared" ca="1" si="18"/>
        <v>#NAME?</v>
      </c>
    </row>
    <row r="67" spans="1:42" x14ac:dyDescent="0.25">
      <c r="A67" s="1" t="s">
        <v>82</v>
      </c>
      <c r="B67" s="1">
        <v>66</v>
      </c>
      <c r="C67" s="1">
        <v>27259.730181470899</v>
      </c>
      <c r="D67" s="1">
        <f t="shared" ref="D67:D130" si="28">LOG(C67)</f>
        <v>4.4355215528457483</v>
      </c>
      <c r="E67" s="1">
        <v>17472.453346557901</v>
      </c>
      <c r="F67" s="1">
        <f t="shared" ref="F67:F130" si="29">LOG(E67)</f>
        <v>4.2423538895316391</v>
      </c>
      <c r="G67" s="1">
        <v>3362.8958195577102</v>
      </c>
      <c r="H67" s="1">
        <f t="shared" ref="H67:H130" si="30">LOG(G67)</f>
        <v>3.526713413347335</v>
      </c>
      <c r="I67" s="1">
        <v>7360.4713099698802</v>
      </c>
      <c r="J67" s="1">
        <f t="shared" ref="J67:J130" si="31">I67/C67</f>
        <v>0.27001262525235747</v>
      </c>
      <c r="K67" s="1">
        <f t="shared" ref="K67:K130" si="32">LOG(I67)</f>
        <v>3.8669056242241453</v>
      </c>
      <c r="L67" s="1">
        <v>1324.76948791419</v>
      </c>
      <c r="M67" s="1">
        <f t="shared" ref="M67:M130" si="33">LOG(L67)</f>
        <v>3.1221403168871373</v>
      </c>
      <c r="N67" s="1">
        <v>1609.3141576665901</v>
      </c>
      <c r="O67" s="1">
        <f t="shared" ref="O67:O130" si="34">LOG(N67)</f>
        <v>3.2066408319319115</v>
      </c>
      <c r="P67" s="1">
        <v>-284.54466975240598</v>
      </c>
      <c r="Q67" s="1" t="e">
        <f ca="1"/>
        <v>#NAME?</v>
      </c>
      <c r="R67" s="1" t="e">
        <f t="shared" ca="1" si="19"/>
        <v>#NAME?</v>
      </c>
      <c r="S67" s="4">
        <v>943018000000</v>
      </c>
      <c r="T67" s="1">
        <v>79326.666666666701</v>
      </c>
      <c r="U67" s="1" t="e">
        <f ca="1"/>
        <v>#NAME?</v>
      </c>
      <c r="V67" s="1" t="e">
        <f t="shared" ca="1" si="20"/>
        <v>#NAME?</v>
      </c>
      <c r="W67" s="1" t="e">
        <f ca="1"/>
        <v>#NAME?</v>
      </c>
      <c r="X67" s="1" t="e">
        <f t="shared" ca="1" si="21"/>
        <v>#NAME?</v>
      </c>
      <c r="Y67" s="1" t="e">
        <f ca="1"/>
        <v>#NAME?</v>
      </c>
      <c r="Z67" s="1" t="e">
        <f t="shared" ca="1" si="22"/>
        <v>#NAME?</v>
      </c>
      <c r="AA67" s="1" t="e">
        <f ca="1"/>
        <v>#NAME?</v>
      </c>
      <c r="AB67" s="1" t="e">
        <f t="shared" ca="1" si="23"/>
        <v>#NAME?</v>
      </c>
      <c r="AC67" s="1" t="e">
        <f ca="1"/>
        <v>#NAME?</v>
      </c>
      <c r="AD67" s="1" t="e">
        <f t="shared" ca="1" si="24"/>
        <v>#NAME?</v>
      </c>
      <c r="AE67" s="1" t="e">
        <f ca="1"/>
        <v>#NAME?</v>
      </c>
      <c r="AF67" s="1" t="e">
        <f t="shared" ca="1" si="25"/>
        <v>#NAME?</v>
      </c>
      <c r="AG67" s="1" t="e">
        <f ca="1"/>
        <v>#NAME?</v>
      </c>
      <c r="AH67" s="1" t="e">
        <f t="shared" ca="1" si="26"/>
        <v>#NAME?</v>
      </c>
      <c r="AI67" s="1" t="e">
        <f ca="1"/>
        <v>#NAME?</v>
      </c>
      <c r="AJ67" s="1" t="e">
        <f t="shared" ref="AJ67:AJ130" ca="1" si="35">-100*(P67-AI67)/AI67</f>
        <v>#NAME?</v>
      </c>
      <c r="AK67" s="1" t="e">
        <f ca="1"/>
        <v>#NAME?</v>
      </c>
      <c r="AL67" s="1" t="e">
        <f t="shared" ca="1" si="27"/>
        <v>#NAME?</v>
      </c>
      <c r="AN67" s="1">
        <f t="shared" si="17"/>
        <v>4.0690660676534449</v>
      </c>
      <c r="AO67" s="1" t="e">
        <f ca="1"/>
        <v>#NAME?</v>
      </c>
      <c r="AP67" s="1" t="e">
        <f t="shared" ca="1" si="18"/>
        <v>#NAME?</v>
      </c>
    </row>
    <row r="68" spans="1:42" x14ac:dyDescent="0.25">
      <c r="A68" s="1" t="s">
        <v>83</v>
      </c>
      <c r="B68" s="1">
        <v>67</v>
      </c>
      <c r="C68" s="1">
        <v>27338.754591504901</v>
      </c>
      <c r="D68" s="1">
        <f t="shared" si="28"/>
        <v>4.4367787265318537</v>
      </c>
      <c r="E68" s="1">
        <v>17610.970147202999</v>
      </c>
      <c r="F68" s="1">
        <f t="shared" si="29"/>
        <v>4.2457832808946847</v>
      </c>
      <c r="G68" s="1">
        <v>3365.9280564995602</v>
      </c>
      <c r="H68" s="1">
        <f t="shared" si="30"/>
        <v>3.5271048291088603</v>
      </c>
      <c r="I68" s="1">
        <v>7320.0404876842304</v>
      </c>
      <c r="J68" s="1">
        <f t="shared" si="31"/>
        <v>0.26775325346966683</v>
      </c>
      <c r="K68" s="1">
        <f t="shared" si="32"/>
        <v>3.8645134831798695</v>
      </c>
      <c r="L68" s="1">
        <v>1359.7541426595501</v>
      </c>
      <c r="M68" s="1">
        <f t="shared" si="33"/>
        <v>3.1334603906211984</v>
      </c>
      <c r="N68" s="1">
        <v>1670.65742106276</v>
      </c>
      <c r="O68" s="1">
        <f t="shared" si="34"/>
        <v>3.2228874041751538</v>
      </c>
      <c r="P68" s="1">
        <v>-310.90327840320901</v>
      </c>
      <c r="Q68" s="1" t="e">
        <f ca="1"/>
        <v>#NAME?</v>
      </c>
      <c r="R68" s="1" t="e">
        <f t="shared" ca="1" si="19"/>
        <v>#NAME?</v>
      </c>
      <c r="S68" s="4">
        <v>949200000000</v>
      </c>
      <c r="T68" s="1">
        <v>79714.333333333299</v>
      </c>
      <c r="U68" s="1" t="e">
        <f ca="1"/>
        <v>#NAME?</v>
      </c>
      <c r="V68" s="1" t="e">
        <f t="shared" ca="1" si="20"/>
        <v>#NAME?</v>
      </c>
      <c r="W68" s="1" t="e">
        <f ca="1"/>
        <v>#NAME?</v>
      </c>
      <c r="X68" s="1" t="e">
        <f t="shared" ca="1" si="21"/>
        <v>#NAME?</v>
      </c>
      <c r="Y68" s="1" t="e">
        <f ca="1"/>
        <v>#NAME?</v>
      </c>
      <c r="Z68" s="1" t="e">
        <f t="shared" ca="1" si="22"/>
        <v>#NAME?</v>
      </c>
      <c r="AA68" s="1" t="e">
        <f ca="1"/>
        <v>#NAME?</v>
      </c>
      <c r="AB68" s="1" t="e">
        <f t="shared" ca="1" si="23"/>
        <v>#NAME?</v>
      </c>
      <c r="AC68" s="1" t="e">
        <f ca="1"/>
        <v>#NAME?</v>
      </c>
      <c r="AD68" s="1" t="e">
        <f t="shared" ca="1" si="24"/>
        <v>#NAME?</v>
      </c>
      <c r="AE68" s="1" t="e">
        <f ca="1"/>
        <v>#NAME?</v>
      </c>
      <c r="AF68" s="1" t="e">
        <f t="shared" ca="1" si="25"/>
        <v>#NAME?</v>
      </c>
      <c r="AG68" s="1" t="e">
        <f ca="1"/>
        <v>#NAME?</v>
      </c>
      <c r="AH68" s="1" t="e">
        <f t="shared" ca="1" si="26"/>
        <v>#NAME?</v>
      </c>
      <c r="AI68" s="1" t="e">
        <f ca="1"/>
        <v>#NAME?</v>
      </c>
      <c r="AJ68" s="1" t="e">
        <f t="shared" ca="1" si="35"/>
        <v>#NAME?</v>
      </c>
      <c r="AK68" s="1" t="e">
        <f ca="1"/>
        <v>#NAME?</v>
      </c>
      <c r="AL68" s="1" t="e">
        <f t="shared" ca="1" si="27"/>
        <v>#NAME?</v>
      </c>
      <c r="AN68" s="1">
        <f t="shared" si="17"/>
        <v>4.0679466361461571</v>
      </c>
      <c r="AO68" s="1" t="e">
        <f ca="1"/>
        <v>#NAME?</v>
      </c>
      <c r="AP68" s="1" t="e">
        <f t="shared" ca="1" si="18"/>
        <v>#NAME?</v>
      </c>
    </row>
    <row r="69" spans="1:42" x14ac:dyDescent="0.25">
      <c r="A69" s="1" t="s">
        <v>84</v>
      </c>
      <c r="B69" s="1">
        <v>68</v>
      </c>
      <c r="C69" s="1">
        <v>27464.089129670199</v>
      </c>
      <c r="D69" s="1">
        <f t="shared" si="28"/>
        <v>4.4387651998431643</v>
      </c>
      <c r="E69" s="1">
        <v>17792.286574363799</v>
      </c>
      <c r="F69" s="1">
        <f t="shared" si="29"/>
        <v>4.2502317649931589</v>
      </c>
      <c r="G69" s="1">
        <v>3382.1402632047798</v>
      </c>
      <c r="H69" s="1">
        <f t="shared" si="30"/>
        <v>3.5291916145783095</v>
      </c>
      <c r="I69" s="1">
        <v>7296.2081519479998</v>
      </c>
      <c r="J69" s="1">
        <f t="shared" si="31"/>
        <v>0.26566357680749397</v>
      </c>
      <c r="K69" s="1">
        <f t="shared" si="32"/>
        <v>3.8630972153906602</v>
      </c>
      <c r="L69" s="1">
        <v>1369.9164523540901</v>
      </c>
      <c r="M69" s="1">
        <f t="shared" si="33"/>
        <v>3.1366940814717248</v>
      </c>
      <c r="N69" s="1">
        <v>1721.38755784156</v>
      </c>
      <c r="O69" s="1">
        <f t="shared" si="34"/>
        <v>3.2358786595682489</v>
      </c>
      <c r="P69" s="1">
        <v>-351.47110548746798</v>
      </c>
      <c r="Q69" s="1" t="e">
        <f ca="1"/>
        <v>#NAME?</v>
      </c>
      <c r="R69" s="1" t="e">
        <f t="shared" ca="1" si="19"/>
        <v>#NAME?</v>
      </c>
      <c r="S69" s="4">
        <v>980029000000</v>
      </c>
      <c r="T69" s="1">
        <v>80199.666666666701</v>
      </c>
      <c r="U69" s="1" t="e">
        <f ca="1"/>
        <v>#NAME?</v>
      </c>
      <c r="V69" s="1" t="e">
        <f t="shared" ca="1" si="20"/>
        <v>#NAME?</v>
      </c>
      <c r="W69" s="1" t="e">
        <f ca="1"/>
        <v>#NAME?</v>
      </c>
      <c r="X69" s="1" t="e">
        <f t="shared" ca="1" si="21"/>
        <v>#NAME?</v>
      </c>
      <c r="Y69" s="1" t="e">
        <f ca="1"/>
        <v>#NAME?</v>
      </c>
      <c r="Z69" s="1" t="e">
        <f t="shared" ca="1" si="22"/>
        <v>#NAME?</v>
      </c>
      <c r="AA69" s="1" t="e">
        <f ca="1"/>
        <v>#NAME?</v>
      </c>
      <c r="AB69" s="1" t="e">
        <f t="shared" ca="1" si="23"/>
        <v>#NAME?</v>
      </c>
      <c r="AC69" s="1" t="e">
        <f ca="1"/>
        <v>#NAME?</v>
      </c>
      <c r="AD69" s="1" t="e">
        <f t="shared" ca="1" si="24"/>
        <v>#NAME?</v>
      </c>
      <c r="AE69" s="1" t="e">
        <f ca="1"/>
        <v>#NAME?</v>
      </c>
      <c r="AF69" s="1" t="e">
        <f t="shared" ca="1" si="25"/>
        <v>#NAME?</v>
      </c>
      <c r="AG69" s="1" t="e">
        <f ca="1"/>
        <v>#NAME?</v>
      </c>
      <c r="AH69" s="1" t="e">
        <f t="shared" ca="1" si="26"/>
        <v>#NAME?</v>
      </c>
      <c r="AI69" s="1" t="e">
        <f ca="1"/>
        <v>#NAME?</v>
      </c>
      <c r="AJ69" s="1" t="e">
        <f t="shared" ca="1" si="35"/>
        <v>#NAME?</v>
      </c>
      <c r="AK69" s="1" t="e">
        <f ca="1"/>
        <v>#NAME?</v>
      </c>
      <c r="AL69" s="1" t="e">
        <f t="shared" ca="1" si="27"/>
        <v>#NAME?</v>
      </c>
      <c r="AN69" s="1">
        <f t="shared" si="17"/>
        <v>4.0632487456276936</v>
      </c>
      <c r="AO69" s="1" t="e">
        <f ca="1"/>
        <v>#NAME?</v>
      </c>
      <c r="AP69" s="1" t="e">
        <f t="shared" ca="1" si="18"/>
        <v>#NAME?</v>
      </c>
    </row>
    <row r="70" spans="1:42" x14ac:dyDescent="0.25">
      <c r="A70" s="1" t="s">
        <v>85</v>
      </c>
      <c r="B70" s="1">
        <v>69</v>
      </c>
      <c r="C70" s="1">
        <v>27723.985653543099</v>
      </c>
      <c r="D70" s="1">
        <f t="shared" si="28"/>
        <v>4.4428556654387741</v>
      </c>
      <c r="E70" s="1">
        <v>17960.159870936601</v>
      </c>
      <c r="F70" s="1">
        <f t="shared" si="29"/>
        <v>4.2543101981863281</v>
      </c>
      <c r="G70" s="1">
        <v>3530.6092686861698</v>
      </c>
      <c r="H70" s="1">
        <f t="shared" si="30"/>
        <v>3.5478496570014828</v>
      </c>
      <c r="I70" s="1">
        <v>7341.1293961089596</v>
      </c>
      <c r="J70" s="1">
        <f t="shared" si="31"/>
        <v>0.26479343510880693</v>
      </c>
      <c r="K70" s="1">
        <f t="shared" si="32"/>
        <v>3.8657628790940421</v>
      </c>
      <c r="L70" s="1">
        <v>1344.73879695753</v>
      </c>
      <c r="M70" s="1">
        <f t="shared" si="33"/>
        <v>3.128637934854019</v>
      </c>
      <c r="N70" s="1">
        <v>1798.6847562059399</v>
      </c>
      <c r="O70" s="1">
        <f t="shared" si="34"/>
        <v>3.2549550540420173</v>
      </c>
      <c r="P70" s="1">
        <v>-453.94595924840598</v>
      </c>
      <c r="Q70" s="1" t="e">
        <f ca="1"/>
        <v>#NAME?</v>
      </c>
      <c r="R70" s="1" t="e">
        <f t="shared" ca="1" si="19"/>
        <v>#NAME?</v>
      </c>
      <c r="S70" s="4">
        <v>1011381000000</v>
      </c>
      <c r="T70" s="1">
        <v>81023</v>
      </c>
      <c r="U70" s="1" t="e">
        <f ca="1"/>
        <v>#NAME?</v>
      </c>
      <c r="V70" s="1" t="e">
        <f t="shared" ca="1" si="20"/>
        <v>#NAME?</v>
      </c>
      <c r="W70" s="1" t="e">
        <f ca="1"/>
        <v>#NAME?</v>
      </c>
      <c r="X70" s="1" t="e">
        <f t="shared" ca="1" si="21"/>
        <v>#NAME?</v>
      </c>
      <c r="Y70" s="1" t="e">
        <f ca="1"/>
        <v>#NAME?</v>
      </c>
      <c r="Z70" s="1" t="e">
        <f t="shared" ca="1" si="22"/>
        <v>#NAME?</v>
      </c>
      <c r="AA70" s="1" t="e">
        <f ca="1"/>
        <v>#NAME?</v>
      </c>
      <c r="AB70" s="1" t="e">
        <f t="shared" ca="1" si="23"/>
        <v>#NAME?</v>
      </c>
      <c r="AC70" s="1" t="e">
        <f ca="1"/>
        <v>#NAME?</v>
      </c>
      <c r="AD70" s="1" t="e">
        <f t="shared" ca="1" si="24"/>
        <v>#NAME?</v>
      </c>
      <c r="AE70" s="1" t="e">
        <f ca="1"/>
        <v>#NAME?</v>
      </c>
      <c r="AF70" s="1" t="e">
        <f t="shared" ca="1" si="25"/>
        <v>#NAME?</v>
      </c>
      <c r="AG70" s="1" t="e">
        <f ca="1"/>
        <v>#NAME?</v>
      </c>
      <c r="AH70" s="1" t="e">
        <f t="shared" ca="1" si="26"/>
        <v>#NAME?</v>
      </c>
      <c r="AI70" s="1" t="e">
        <f ca="1"/>
        <v>#NAME?</v>
      </c>
      <c r="AJ70" s="1" t="e">
        <f t="shared" ca="1" si="35"/>
        <v>#NAME?</v>
      </c>
      <c r="AK70" s="1" t="e">
        <f ca="1"/>
        <v>#NAME?</v>
      </c>
      <c r="AL70" s="1" t="e">
        <f t="shared" ca="1" si="27"/>
        <v>#NAME?</v>
      </c>
      <c r="AN70" s="1">
        <f t="shared" si="17"/>
        <v>4.0595770162925984</v>
      </c>
      <c r="AO70" s="1" t="e">
        <f ca="1"/>
        <v>#NAME?</v>
      </c>
      <c r="AP70" s="1" t="e">
        <f t="shared" ca="1" si="18"/>
        <v>#NAME?</v>
      </c>
    </row>
    <row r="71" spans="1:42" x14ac:dyDescent="0.25">
      <c r="A71" s="1" t="s">
        <v>86</v>
      </c>
      <c r="B71" s="1">
        <v>70</v>
      </c>
      <c r="C71" s="1">
        <v>28194.998090527199</v>
      </c>
      <c r="D71" s="1">
        <f t="shared" si="28"/>
        <v>4.4501720695122939</v>
      </c>
      <c r="E71" s="1">
        <v>18014.121006019399</v>
      </c>
      <c r="F71" s="1">
        <f t="shared" si="29"/>
        <v>4.2556130756981796</v>
      </c>
      <c r="G71" s="1">
        <v>3774.6231064394701</v>
      </c>
      <c r="H71" s="1">
        <f t="shared" si="30"/>
        <v>3.5768735941201371</v>
      </c>
      <c r="I71" s="1">
        <v>7390.4780956191198</v>
      </c>
      <c r="J71" s="1">
        <f t="shared" si="31"/>
        <v>0.26212018429262218</v>
      </c>
      <c r="K71" s="1">
        <f t="shared" si="32"/>
        <v>3.8686725341421941</v>
      </c>
      <c r="L71" s="1">
        <v>1377.6573496517501</v>
      </c>
      <c r="M71" s="1">
        <f t="shared" si="33"/>
        <v>3.1391412134641641</v>
      </c>
      <c r="N71" s="1">
        <v>1810.9030897088501</v>
      </c>
      <c r="O71" s="1">
        <f t="shared" si="34"/>
        <v>3.2578952097117266</v>
      </c>
      <c r="P71" s="1">
        <v>-433.24574005710201</v>
      </c>
      <c r="Q71" s="1" t="e">
        <f ca="1"/>
        <v>#NAME?</v>
      </c>
      <c r="R71" s="1" t="e">
        <f t="shared" ca="1" si="19"/>
        <v>#NAME?</v>
      </c>
      <c r="S71" s="4">
        <v>1057035000000</v>
      </c>
      <c r="T71" s="1">
        <v>82101.333333333299</v>
      </c>
      <c r="U71" s="1" t="e">
        <f ca="1"/>
        <v>#NAME?</v>
      </c>
      <c r="V71" s="1" t="e">
        <f t="shared" ca="1" si="20"/>
        <v>#NAME?</v>
      </c>
      <c r="W71" s="1" t="e">
        <f ca="1"/>
        <v>#NAME?</v>
      </c>
      <c r="X71" s="1" t="e">
        <f t="shared" ca="1" si="21"/>
        <v>#NAME?</v>
      </c>
      <c r="Y71" s="1" t="e">
        <f ca="1"/>
        <v>#NAME?</v>
      </c>
      <c r="Z71" s="1" t="e">
        <f t="shared" ca="1" si="22"/>
        <v>#NAME?</v>
      </c>
      <c r="AA71" s="1" t="e">
        <f ca="1"/>
        <v>#NAME?</v>
      </c>
      <c r="AB71" s="1" t="e">
        <f t="shared" ca="1" si="23"/>
        <v>#NAME?</v>
      </c>
      <c r="AC71" s="1" t="e">
        <f ca="1"/>
        <v>#NAME?</v>
      </c>
      <c r="AD71" s="1" t="e">
        <f t="shared" ca="1" si="24"/>
        <v>#NAME?</v>
      </c>
      <c r="AE71" s="1" t="e">
        <f ca="1"/>
        <v>#NAME?</v>
      </c>
      <c r="AF71" s="1" t="e">
        <f t="shared" ca="1" si="25"/>
        <v>#NAME?</v>
      </c>
      <c r="AG71" s="1" t="e">
        <f ca="1"/>
        <v>#NAME?</v>
      </c>
      <c r="AH71" s="1" t="e">
        <f t="shared" ca="1" si="26"/>
        <v>#NAME?</v>
      </c>
      <c r="AI71" s="1" t="e">
        <f ca="1"/>
        <v>#NAME?</v>
      </c>
      <c r="AJ71" s="1" t="e">
        <f t="shared" ca="1" si="35"/>
        <v>#NAME?</v>
      </c>
      <c r="AK71" s="1" t="e">
        <f ca="1"/>
        <v>#NAME?</v>
      </c>
      <c r="AL71" s="1" t="e">
        <f t="shared" ca="1" si="27"/>
        <v>#NAME?</v>
      </c>
      <c r="AN71" s="1">
        <f t="shared" si="17"/>
        <v>4.056315762644795</v>
      </c>
      <c r="AO71" s="1" t="e">
        <f ca="1"/>
        <v>#NAME?</v>
      </c>
      <c r="AP71" s="1" t="e">
        <f t="shared" ca="1" si="18"/>
        <v>#NAME?</v>
      </c>
    </row>
    <row r="72" spans="1:42" x14ac:dyDescent="0.25">
      <c r="A72" s="1" t="s">
        <v>87</v>
      </c>
      <c r="B72" s="1">
        <v>71</v>
      </c>
      <c r="C72" s="1">
        <v>28623.444392559399</v>
      </c>
      <c r="D72" s="1">
        <f t="shared" si="28"/>
        <v>4.4567218932488899</v>
      </c>
      <c r="E72" s="1">
        <v>18133.583892860901</v>
      </c>
      <c r="F72" s="1">
        <f t="shared" si="29"/>
        <v>4.2584836458536142</v>
      </c>
      <c r="G72" s="1">
        <v>3954.5365933273802</v>
      </c>
      <c r="H72" s="1">
        <f t="shared" si="30"/>
        <v>3.5970955986422362</v>
      </c>
      <c r="I72" s="1">
        <v>7399.4006519383602</v>
      </c>
      <c r="J72" s="1">
        <f t="shared" si="31"/>
        <v>0.25850839439371659</v>
      </c>
      <c r="K72" s="1">
        <f t="shared" si="32"/>
        <v>3.8691965435015905</v>
      </c>
      <c r="L72" s="1">
        <v>1384.4622868619499</v>
      </c>
      <c r="M72" s="1">
        <f t="shared" si="33"/>
        <v>3.1412811299401509</v>
      </c>
      <c r="N72" s="1">
        <v>1780.6712516944499</v>
      </c>
      <c r="O72" s="1">
        <f t="shared" si="34"/>
        <v>3.2505837472264751</v>
      </c>
      <c r="P72" s="1">
        <v>-396.20896483250402</v>
      </c>
      <c r="Q72" s="1" t="e">
        <f ca="1"/>
        <v>#NAME?</v>
      </c>
      <c r="R72" s="1" t="e">
        <f t="shared" ca="1" si="19"/>
        <v>#NAME?</v>
      </c>
      <c r="S72" s="4">
        <v>1064587000000</v>
      </c>
      <c r="T72" s="1">
        <v>83147</v>
      </c>
      <c r="U72" s="1" t="e">
        <f ca="1"/>
        <v>#NAME?</v>
      </c>
      <c r="V72" s="1" t="e">
        <f t="shared" ca="1" si="20"/>
        <v>#NAME?</v>
      </c>
      <c r="W72" s="1" t="e">
        <f ca="1"/>
        <v>#NAME?</v>
      </c>
      <c r="X72" s="1" t="e">
        <f t="shared" ca="1" si="21"/>
        <v>#NAME?</v>
      </c>
      <c r="Y72" s="1" t="e">
        <f ca="1"/>
        <v>#NAME?</v>
      </c>
      <c r="Z72" s="1" t="e">
        <f t="shared" ca="1" si="22"/>
        <v>#NAME?</v>
      </c>
      <c r="AA72" s="1" t="e">
        <f ca="1"/>
        <v>#NAME?</v>
      </c>
      <c r="AB72" s="1" t="e">
        <f t="shared" ca="1" si="23"/>
        <v>#NAME?</v>
      </c>
      <c r="AC72" s="1" t="e">
        <f ca="1"/>
        <v>#NAME?</v>
      </c>
      <c r="AD72" s="1" t="e">
        <f t="shared" ca="1" si="24"/>
        <v>#NAME?</v>
      </c>
      <c r="AE72" s="1" t="e">
        <f ca="1"/>
        <v>#NAME?</v>
      </c>
      <c r="AF72" s="1" t="e">
        <f t="shared" ca="1" si="25"/>
        <v>#NAME?</v>
      </c>
      <c r="AG72" s="1" t="e">
        <f ca="1"/>
        <v>#NAME?</v>
      </c>
      <c r="AH72" s="1" t="e">
        <f t="shared" ca="1" si="26"/>
        <v>#NAME?</v>
      </c>
      <c r="AI72" s="1" t="e">
        <f ca="1"/>
        <v>#NAME?</v>
      </c>
      <c r="AJ72" s="1" t="e">
        <f t="shared" ca="1" si="35"/>
        <v>#NAME?</v>
      </c>
      <c r="AK72" s="1" t="e">
        <f ca="1"/>
        <v>#NAME?</v>
      </c>
      <c r="AL72" s="1" t="e">
        <f t="shared" ca="1" si="27"/>
        <v>#NAME?</v>
      </c>
      <c r="AN72" s="1">
        <f t="shared" si="17"/>
        <v>4.0582348622776552</v>
      </c>
      <c r="AO72" s="1" t="e">
        <f ca="1"/>
        <v>#NAME?</v>
      </c>
      <c r="AP72" s="1" t="e">
        <f t="shared" ca="1" si="18"/>
        <v>#NAME?</v>
      </c>
    </row>
    <row r="73" spans="1:42" x14ac:dyDescent="0.25">
      <c r="A73" s="1" t="s">
        <v>88</v>
      </c>
      <c r="B73" s="1">
        <v>72</v>
      </c>
      <c r="C73" s="1">
        <v>28542.8049601946</v>
      </c>
      <c r="D73" s="1">
        <f t="shared" si="28"/>
        <v>4.4554966498885102</v>
      </c>
      <c r="E73" s="1">
        <v>18353.9766999245</v>
      </c>
      <c r="F73" s="1">
        <f t="shared" si="29"/>
        <v>4.2637301760388766</v>
      </c>
      <c r="G73" s="1">
        <v>3844.3903960651201</v>
      </c>
      <c r="H73" s="1">
        <f t="shared" si="30"/>
        <v>3.5848274836395473</v>
      </c>
      <c r="I73" s="1">
        <v>7360.7985497353102</v>
      </c>
      <c r="J73" s="1">
        <f t="shared" si="31"/>
        <v>0.25788630654907874</v>
      </c>
      <c r="K73" s="1">
        <f t="shared" si="32"/>
        <v>3.8669249321270316</v>
      </c>
      <c r="L73" s="1">
        <v>1336.2688233778299</v>
      </c>
      <c r="M73" s="1">
        <f t="shared" si="33"/>
        <v>3.125893835957934</v>
      </c>
      <c r="N73" s="1">
        <v>1800.8146436950999</v>
      </c>
      <c r="O73" s="1">
        <f t="shared" si="34"/>
        <v>3.2554690135618323</v>
      </c>
      <c r="P73" s="1">
        <v>-464.54582031726801</v>
      </c>
      <c r="Q73" s="1" t="e">
        <f ca="1"/>
        <v>#NAME?</v>
      </c>
      <c r="R73" s="1" t="e">
        <f t="shared" ca="1" si="19"/>
        <v>#NAME?</v>
      </c>
      <c r="S73" s="4">
        <v>1076124000000</v>
      </c>
      <c r="T73" s="1">
        <v>84127.666666666701</v>
      </c>
      <c r="U73" s="1" t="e">
        <f ca="1"/>
        <v>#NAME?</v>
      </c>
      <c r="V73" s="1" t="e">
        <f t="shared" ca="1" si="20"/>
        <v>#NAME?</v>
      </c>
      <c r="W73" s="1" t="e">
        <f ca="1"/>
        <v>#NAME?</v>
      </c>
      <c r="X73" s="1" t="e">
        <f t="shared" ca="1" si="21"/>
        <v>#NAME?</v>
      </c>
      <c r="Y73" s="1" t="e">
        <f ca="1"/>
        <v>#NAME?</v>
      </c>
      <c r="Z73" s="1" t="e">
        <f t="shared" ca="1" si="22"/>
        <v>#NAME?</v>
      </c>
      <c r="AA73" s="1" t="e">
        <f ca="1"/>
        <v>#NAME?</v>
      </c>
      <c r="AB73" s="1" t="e">
        <f t="shared" ca="1" si="23"/>
        <v>#NAME?</v>
      </c>
      <c r="AC73" s="1" t="e">
        <f ca="1"/>
        <v>#NAME?</v>
      </c>
      <c r="AD73" s="1" t="e">
        <f t="shared" ca="1" si="24"/>
        <v>#NAME?</v>
      </c>
      <c r="AE73" s="1" t="e">
        <f ca="1"/>
        <v>#NAME?</v>
      </c>
      <c r="AF73" s="1" t="e">
        <f t="shared" ca="1" si="25"/>
        <v>#NAME?</v>
      </c>
      <c r="AG73" s="1" t="e">
        <f ca="1"/>
        <v>#NAME?</v>
      </c>
      <c r="AH73" s="1" t="e">
        <f t="shared" ca="1" si="26"/>
        <v>#NAME?</v>
      </c>
      <c r="AI73" s="1" t="e">
        <f ca="1"/>
        <v>#NAME?</v>
      </c>
      <c r="AJ73" s="1" t="e">
        <f t="shared" ca="1" si="35"/>
        <v>#NAME?</v>
      </c>
      <c r="AK73" s="1" t="e">
        <f ca="1"/>
        <v>#NAME?</v>
      </c>
      <c r="AL73" s="1" t="e">
        <f t="shared" ca="1" si="27"/>
        <v>#NAME?</v>
      </c>
      <c r="AN73" s="1">
        <f t="shared" si="17"/>
        <v>4.052065355738681</v>
      </c>
      <c r="AO73" s="1" t="e">
        <f ca="1"/>
        <v>#NAME?</v>
      </c>
      <c r="AP73" s="1" t="e">
        <f t="shared" ca="1" si="18"/>
        <v>#NAME?</v>
      </c>
    </row>
    <row r="74" spans="1:42" x14ac:dyDescent="0.25">
      <c r="A74" s="1" t="s">
        <v>89</v>
      </c>
      <c r="B74" s="1">
        <v>73</v>
      </c>
      <c r="C74" s="1">
        <v>28567.005985053202</v>
      </c>
      <c r="D74" s="1">
        <f t="shared" si="28"/>
        <v>4.4558647257762667</v>
      </c>
      <c r="E74" s="1">
        <v>18413.965424704202</v>
      </c>
      <c r="F74" s="1">
        <f t="shared" si="29"/>
        <v>4.2651473233558015</v>
      </c>
      <c r="G74" s="1">
        <v>3910.16105971974</v>
      </c>
      <c r="H74" s="1">
        <f t="shared" si="30"/>
        <v>3.5921946463746273</v>
      </c>
      <c r="I74" s="1">
        <v>7345.47332434298</v>
      </c>
      <c r="J74" s="1">
        <f t="shared" si="31"/>
        <v>0.25713136785094914</v>
      </c>
      <c r="K74" s="1">
        <f t="shared" si="32"/>
        <v>3.8660197859026133</v>
      </c>
      <c r="L74" s="1">
        <v>1364.62369034679</v>
      </c>
      <c r="M74" s="1">
        <f t="shared" si="33"/>
        <v>3.1350129065141483</v>
      </c>
      <c r="N74" s="1">
        <v>1917.15640066932</v>
      </c>
      <c r="O74" s="1">
        <f t="shared" si="34"/>
        <v>3.2826575438519674</v>
      </c>
      <c r="P74" s="1">
        <v>-552.53271032252496</v>
      </c>
      <c r="Q74" s="1" t="e">
        <f ca="1"/>
        <v>#NAME?</v>
      </c>
      <c r="R74" s="1" t="e">
        <f t="shared" ca="1" si="19"/>
        <v>#NAME?</v>
      </c>
      <c r="S74" s="4">
        <v>1081398000000</v>
      </c>
      <c r="T74" s="1">
        <v>85000.666666666701</v>
      </c>
      <c r="U74" s="1" t="e">
        <f ca="1"/>
        <v>#NAME?</v>
      </c>
      <c r="V74" s="1" t="e">
        <f t="shared" ca="1" si="20"/>
        <v>#NAME?</v>
      </c>
      <c r="W74" s="1" t="e">
        <f ca="1"/>
        <v>#NAME?</v>
      </c>
      <c r="X74" s="1" t="e">
        <f t="shared" ca="1" si="21"/>
        <v>#NAME?</v>
      </c>
      <c r="Y74" s="1" t="e">
        <f ca="1"/>
        <v>#NAME?</v>
      </c>
      <c r="Z74" s="1" t="e">
        <f t="shared" ca="1" si="22"/>
        <v>#NAME?</v>
      </c>
      <c r="AA74" s="1" t="e">
        <f ca="1"/>
        <v>#NAME?</v>
      </c>
      <c r="AB74" s="1" t="e">
        <f t="shared" ca="1" si="23"/>
        <v>#NAME?</v>
      </c>
      <c r="AC74" s="1" t="e">
        <f ca="1"/>
        <v>#NAME?</v>
      </c>
      <c r="AD74" s="1" t="e">
        <f t="shared" ca="1" si="24"/>
        <v>#NAME?</v>
      </c>
      <c r="AE74" s="1" t="e">
        <f ca="1"/>
        <v>#NAME?</v>
      </c>
      <c r="AF74" s="1" t="e">
        <f t="shared" ca="1" si="25"/>
        <v>#NAME?</v>
      </c>
      <c r="AG74" s="1" t="e">
        <f ca="1"/>
        <v>#NAME?</v>
      </c>
      <c r="AH74" s="1" t="e">
        <f t="shared" ca="1" si="26"/>
        <v>#NAME?</v>
      </c>
      <c r="AI74" s="1" t="e">
        <f ca="1"/>
        <v>#NAME?</v>
      </c>
      <c r="AJ74" s="1" t="e">
        <f t="shared" ca="1" si="35"/>
        <v>#NAME?</v>
      </c>
      <c r="AK74" s="1" t="e">
        <f ca="1"/>
        <v>#NAME?</v>
      </c>
      <c r="AL74" s="1" t="e">
        <f t="shared" ca="1" si="27"/>
        <v>#NAME?</v>
      </c>
      <c r="AN74" s="1">
        <f t="shared" si="17"/>
        <v>4.0487996310085146</v>
      </c>
      <c r="AO74" s="1" t="e">
        <f ca="1"/>
        <v>#NAME?</v>
      </c>
      <c r="AP74" s="1" t="e">
        <f t="shared" ca="1" si="18"/>
        <v>#NAME?</v>
      </c>
    </row>
    <row r="75" spans="1:42" x14ac:dyDescent="0.25">
      <c r="A75" s="1" t="s">
        <v>90</v>
      </c>
      <c r="B75" s="1">
        <v>74</v>
      </c>
      <c r="C75" s="1">
        <v>29595.894385934898</v>
      </c>
      <c r="D75" s="1">
        <f t="shared" si="28"/>
        <v>4.4712314688561756</v>
      </c>
      <c r="E75" s="1">
        <v>18760.082958057599</v>
      </c>
      <c r="F75" s="1">
        <f t="shared" si="29"/>
        <v>4.2732347545199643</v>
      </c>
      <c r="G75" s="1">
        <v>4153.5983732302802</v>
      </c>
      <c r="H75" s="1">
        <f t="shared" si="30"/>
        <v>3.6184245006915052</v>
      </c>
      <c r="I75" s="1">
        <v>7510.6599304483998</v>
      </c>
      <c r="J75" s="1">
        <f t="shared" si="31"/>
        <v>0.25377371038388868</v>
      </c>
      <c r="K75" s="1">
        <f t="shared" si="32"/>
        <v>3.8756780983304604</v>
      </c>
      <c r="L75" s="1">
        <v>1503.0794354893101</v>
      </c>
      <c r="M75" s="1">
        <f t="shared" si="33"/>
        <v>3.1769819330041167</v>
      </c>
      <c r="N75" s="1">
        <v>1918.3780889954601</v>
      </c>
      <c r="O75" s="1">
        <f t="shared" si="34"/>
        <v>3.282934205432261</v>
      </c>
      <c r="P75" s="1">
        <v>-415.29865350614801</v>
      </c>
      <c r="Q75" s="1" t="e">
        <f ca="1"/>
        <v>#NAME?</v>
      </c>
      <c r="R75" s="1" t="e">
        <f t="shared" ca="1" si="19"/>
        <v>#NAME?</v>
      </c>
      <c r="S75" s="4">
        <v>1162010000000</v>
      </c>
      <c r="T75" s="1">
        <v>86540.333333333299</v>
      </c>
      <c r="U75" s="1" t="e">
        <f ca="1"/>
        <v>#NAME?</v>
      </c>
      <c r="V75" s="1" t="e">
        <f t="shared" ca="1" si="20"/>
        <v>#NAME?</v>
      </c>
      <c r="W75" s="1" t="e">
        <f ca="1"/>
        <v>#NAME?</v>
      </c>
      <c r="X75" s="1" t="e">
        <f t="shared" ca="1" si="21"/>
        <v>#NAME?</v>
      </c>
      <c r="Y75" s="1" t="e">
        <f ca="1"/>
        <v>#NAME?</v>
      </c>
      <c r="Z75" s="1" t="e">
        <f t="shared" ca="1" si="22"/>
        <v>#NAME?</v>
      </c>
      <c r="AA75" s="1" t="e">
        <f ca="1"/>
        <v>#NAME?</v>
      </c>
      <c r="AB75" s="1" t="e">
        <f t="shared" ca="1" si="23"/>
        <v>#NAME?</v>
      </c>
      <c r="AC75" s="1" t="e">
        <f ca="1"/>
        <v>#NAME?</v>
      </c>
      <c r="AD75" s="1" t="e">
        <f t="shared" ca="1" si="24"/>
        <v>#NAME?</v>
      </c>
      <c r="AE75" s="1" t="e">
        <f ca="1"/>
        <v>#NAME?</v>
      </c>
      <c r="AF75" s="1" t="e">
        <f t="shared" ca="1" si="25"/>
        <v>#NAME?</v>
      </c>
      <c r="AG75" s="1" t="e">
        <f ca="1"/>
        <v>#NAME?</v>
      </c>
      <c r="AH75" s="1" t="e">
        <f t="shared" ca="1" si="26"/>
        <v>#NAME?</v>
      </c>
      <c r="AI75" s="1" t="e">
        <f ca="1"/>
        <v>#NAME?</v>
      </c>
      <c r="AJ75" s="1" t="e">
        <f t="shared" ca="1" si="35"/>
        <v>#NAME?</v>
      </c>
      <c r="AK75" s="1" t="e">
        <f ca="1"/>
        <v>#NAME?</v>
      </c>
      <c r="AL75" s="1" t="e">
        <f t="shared" ca="1" si="27"/>
        <v>#NAME?</v>
      </c>
      <c r="AN75" s="1">
        <f t="shared" si="17"/>
        <v>4.047936036524403</v>
      </c>
      <c r="AO75" s="1" t="e">
        <f ca="1"/>
        <v>#NAME?</v>
      </c>
      <c r="AP75" s="1" t="e">
        <f t="shared" ca="1" si="18"/>
        <v>#NAME?</v>
      </c>
    </row>
    <row r="76" spans="1:42" x14ac:dyDescent="0.25">
      <c r="A76" s="1" t="s">
        <v>91</v>
      </c>
      <c r="B76" s="1">
        <v>75</v>
      </c>
      <c r="C76" s="1">
        <v>29806.058322455599</v>
      </c>
      <c r="D76" s="1">
        <f t="shared" si="28"/>
        <v>4.4743045469151195</v>
      </c>
      <c r="E76" s="1">
        <v>18783.760143182</v>
      </c>
      <c r="F76" s="1">
        <f t="shared" si="29"/>
        <v>4.2737825339351962</v>
      </c>
      <c r="G76" s="1">
        <v>4262.11462636756</v>
      </c>
      <c r="H76" s="1">
        <f t="shared" si="30"/>
        <v>3.6296251255587291</v>
      </c>
      <c r="I76" s="1">
        <v>7557.8761331879996</v>
      </c>
      <c r="J76" s="1">
        <f t="shared" si="31"/>
        <v>0.25356845415195234</v>
      </c>
      <c r="K76" s="1">
        <f t="shared" si="32"/>
        <v>3.8783997699422335</v>
      </c>
      <c r="L76" s="1">
        <v>1515.1278635285</v>
      </c>
      <c r="M76" s="1">
        <f t="shared" si="33"/>
        <v>3.1804492850374375</v>
      </c>
      <c r="N76" s="1">
        <v>1937.7705409248499</v>
      </c>
      <c r="O76" s="1">
        <f t="shared" si="34"/>
        <v>3.2873023492317386</v>
      </c>
      <c r="P76" s="1">
        <v>-422.64267739634801</v>
      </c>
      <c r="Q76" s="1" t="e">
        <f ca="1"/>
        <v>#NAME?</v>
      </c>
      <c r="R76" s="1" t="e">
        <f t="shared" ca="1" si="19"/>
        <v>#NAME?</v>
      </c>
      <c r="S76" s="4">
        <v>1193667000000</v>
      </c>
      <c r="T76" s="1">
        <v>87436</v>
      </c>
      <c r="U76" s="1" t="e">
        <f ca="1"/>
        <v>#NAME?</v>
      </c>
      <c r="V76" s="1" t="e">
        <f t="shared" ca="1" si="20"/>
        <v>#NAME?</v>
      </c>
      <c r="W76" s="1" t="e">
        <f ca="1"/>
        <v>#NAME?</v>
      </c>
      <c r="X76" s="1" t="e">
        <f t="shared" ca="1" si="21"/>
        <v>#NAME?</v>
      </c>
      <c r="Y76" s="1" t="e">
        <f ca="1"/>
        <v>#NAME?</v>
      </c>
      <c r="Z76" s="1" t="e">
        <f t="shared" ca="1" si="22"/>
        <v>#NAME?</v>
      </c>
      <c r="AA76" s="1" t="e">
        <f ca="1"/>
        <v>#NAME?</v>
      </c>
      <c r="AB76" s="1" t="e">
        <f t="shared" ca="1" si="23"/>
        <v>#NAME?</v>
      </c>
      <c r="AC76" s="1" t="e">
        <f ca="1"/>
        <v>#NAME?</v>
      </c>
      <c r="AD76" s="1" t="e">
        <f t="shared" ca="1" si="24"/>
        <v>#NAME?</v>
      </c>
      <c r="AE76" s="1" t="e">
        <f ca="1"/>
        <v>#NAME?</v>
      </c>
      <c r="AF76" s="1" t="e">
        <f t="shared" ca="1" si="25"/>
        <v>#NAME?</v>
      </c>
      <c r="AG76" s="1" t="e">
        <f ca="1"/>
        <v>#NAME?</v>
      </c>
      <c r="AH76" s="1" t="e">
        <f t="shared" ca="1" si="26"/>
        <v>#NAME?</v>
      </c>
      <c r="AI76" s="1" t="e">
        <f ca="1"/>
        <v>#NAME?</v>
      </c>
      <c r="AJ76" s="1" t="e">
        <f t="shared" ca="1" si="35"/>
        <v>#NAME?</v>
      </c>
      <c r="AK76" s="1" t="e">
        <f ca="1"/>
        <v>#NAME?</v>
      </c>
      <c r="AL76" s="1" t="e">
        <f t="shared" ca="1" si="27"/>
        <v>#NAME?</v>
      </c>
      <c r="AN76" s="1">
        <f t="shared" si="17"/>
        <v>4.0439448192927356</v>
      </c>
      <c r="AO76" s="1" t="e">
        <f ca="1"/>
        <v>#NAME?</v>
      </c>
      <c r="AP76" s="1" t="e">
        <f t="shared" ca="1" si="18"/>
        <v>#NAME?</v>
      </c>
    </row>
    <row r="77" spans="1:42" x14ac:dyDescent="0.25">
      <c r="A77" s="1" t="s">
        <v>92</v>
      </c>
      <c r="B77" s="1">
        <v>76</v>
      </c>
      <c r="C77" s="1">
        <v>30118.877553302402</v>
      </c>
      <c r="D77" s="1">
        <f t="shared" si="28"/>
        <v>4.4788387828842326</v>
      </c>
      <c r="E77" s="1">
        <v>18880.281595649001</v>
      </c>
      <c r="F77" s="1">
        <f t="shared" si="29"/>
        <v>4.2760084674262702</v>
      </c>
      <c r="G77" s="1">
        <v>4348.0005188229898</v>
      </c>
      <c r="H77" s="1">
        <f t="shared" si="30"/>
        <v>3.638289587236232</v>
      </c>
      <c r="I77" s="1">
        <v>7603.7399981215003</v>
      </c>
      <c r="J77" s="1">
        <f t="shared" si="31"/>
        <v>0.25245761515066101</v>
      </c>
      <c r="K77" s="1">
        <f t="shared" si="32"/>
        <v>3.8810272582050258</v>
      </c>
      <c r="L77" s="1">
        <v>1570.6829231202701</v>
      </c>
      <c r="M77" s="1">
        <f t="shared" si="33"/>
        <v>3.1960885219988309</v>
      </c>
      <c r="N77" s="1">
        <v>1958.6641202595899</v>
      </c>
      <c r="O77" s="1">
        <f t="shared" si="34"/>
        <v>3.2919599677842299</v>
      </c>
      <c r="P77" s="1">
        <v>-387.98119713931698</v>
      </c>
      <c r="Q77" s="1" t="e">
        <f ca="1"/>
        <v>#NAME?</v>
      </c>
      <c r="R77" s="1" t="e">
        <f t="shared" ca="1" si="19"/>
        <v>#NAME?</v>
      </c>
      <c r="S77" s="4">
        <v>1220456000000</v>
      </c>
      <c r="T77" s="1">
        <v>88339.333333333299</v>
      </c>
      <c r="U77" s="1" t="e">
        <f ca="1"/>
        <v>#NAME?</v>
      </c>
      <c r="V77" s="1" t="e">
        <f t="shared" ca="1" si="20"/>
        <v>#NAME?</v>
      </c>
      <c r="W77" s="1" t="e">
        <f ca="1"/>
        <v>#NAME?</v>
      </c>
      <c r="X77" s="1" t="e">
        <f t="shared" ca="1" si="21"/>
        <v>#NAME?</v>
      </c>
      <c r="Y77" s="1" t="e">
        <f ca="1"/>
        <v>#NAME?</v>
      </c>
      <c r="Z77" s="1" t="e">
        <f t="shared" ca="1" si="22"/>
        <v>#NAME?</v>
      </c>
      <c r="AA77" s="1" t="e">
        <f ca="1"/>
        <v>#NAME?</v>
      </c>
      <c r="AB77" s="1" t="e">
        <f t="shared" ca="1" si="23"/>
        <v>#NAME?</v>
      </c>
      <c r="AC77" s="1" t="e">
        <f ca="1"/>
        <v>#NAME?</v>
      </c>
      <c r="AD77" s="1" t="e">
        <f t="shared" ca="1" si="24"/>
        <v>#NAME?</v>
      </c>
      <c r="AE77" s="1" t="e">
        <f ca="1"/>
        <v>#NAME?</v>
      </c>
      <c r="AF77" s="1" t="e">
        <f t="shared" ca="1" si="25"/>
        <v>#NAME?</v>
      </c>
      <c r="AG77" s="1" t="e">
        <f ca="1"/>
        <v>#NAME?</v>
      </c>
      <c r="AH77" s="1" t="e">
        <f t="shared" ca="1" si="26"/>
        <v>#NAME?</v>
      </c>
      <c r="AI77" s="1" t="e">
        <f ca="1"/>
        <v>#NAME?</v>
      </c>
      <c r="AJ77" s="1" t="e">
        <f t="shared" ca="1" si="35"/>
        <v>#NAME?</v>
      </c>
      <c r="AK77" s="1" t="e">
        <f ca="1"/>
        <v>#NAME?</v>
      </c>
      <c r="AL77" s="1" t="e">
        <f t="shared" ca="1" si="27"/>
        <v>#NAME?</v>
      </c>
      <c r="AN77" s="1">
        <f t="shared" si="17"/>
        <v>4.0421521820569408</v>
      </c>
      <c r="AO77" s="1" t="e">
        <f ca="1"/>
        <v>#NAME?</v>
      </c>
      <c r="AP77" s="1" t="e">
        <f t="shared" ca="1" si="18"/>
        <v>#NAME?</v>
      </c>
    </row>
    <row r="78" spans="1:42" x14ac:dyDescent="0.25">
      <c r="A78" s="1" t="s">
        <v>93</v>
      </c>
      <c r="B78" s="1">
        <v>77</v>
      </c>
      <c r="C78" s="1">
        <v>30096.4345622613</v>
      </c>
      <c r="D78" s="1">
        <f t="shared" si="28"/>
        <v>4.4785150490273296</v>
      </c>
      <c r="E78" s="1">
        <v>18929.8913237446</v>
      </c>
      <c r="F78" s="1">
        <f t="shared" si="29"/>
        <v>4.2771481206920843</v>
      </c>
      <c r="G78" s="1">
        <v>4344.1682429779803</v>
      </c>
      <c r="H78" s="1">
        <f t="shared" si="30"/>
        <v>3.6379066364661616</v>
      </c>
      <c r="I78" s="1">
        <v>7509.4489453585102</v>
      </c>
      <c r="J78" s="1">
        <f t="shared" si="31"/>
        <v>0.24951290923924932</v>
      </c>
      <c r="K78" s="1">
        <f t="shared" si="32"/>
        <v>3.8756080689920989</v>
      </c>
      <c r="L78" s="1">
        <v>1567.92265962383</v>
      </c>
      <c r="M78" s="1">
        <f t="shared" si="33"/>
        <v>3.195324636583758</v>
      </c>
      <c r="N78" s="1">
        <v>1948.3832399443199</v>
      </c>
      <c r="O78" s="1">
        <f t="shared" si="34"/>
        <v>3.2896743851006129</v>
      </c>
      <c r="P78" s="1">
        <v>-380.460580320497</v>
      </c>
      <c r="Q78" s="1" t="e">
        <f ca="1"/>
        <v>#NAME?</v>
      </c>
      <c r="R78" s="1" t="e">
        <f t="shared" ca="1" si="19"/>
        <v>#NAME?</v>
      </c>
      <c r="S78" s="4">
        <v>1216210000000</v>
      </c>
      <c r="T78" s="1">
        <v>89114</v>
      </c>
      <c r="U78" s="1" t="e">
        <f ca="1"/>
        <v>#NAME?</v>
      </c>
      <c r="V78" s="1" t="e">
        <f t="shared" ca="1" si="20"/>
        <v>#NAME?</v>
      </c>
      <c r="W78" s="1" t="e">
        <f ca="1"/>
        <v>#NAME?</v>
      </c>
      <c r="X78" s="1" t="e">
        <f t="shared" ca="1" si="21"/>
        <v>#NAME?</v>
      </c>
      <c r="Y78" s="1" t="e">
        <f ca="1"/>
        <v>#NAME?</v>
      </c>
      <c r="Z78" s="1" t="e">
        <f t="shared" ca="1" si="22"/>
        <v>#NAME?</v>
      </c>
      <c r="AA78" s="1" t="e">
        <f ca="1"/>
        <v>#NAME?</v>
      </c>
      <c r="AB78" s="1" t="e">
        <f t="shared" ca="1" si="23"/>
        <v>#NAME?</v>
      </c>
      <c r="AC78" s="1" t="e">
        <f ca="1"/>
        <v>#NAME?</v>
      </c>
      <c r="AD78" s="1" t="e">
        <f t="shared" ca="1" si="24"/>
        <v>#NAME?</v>
      </c>
      <c r="AE78" s="1" t="e">
        <f ca="1"/>
        <v>#NAME?</v>
      </c>
      <c r="AF78" s="1" t="e">
        <f t="shared" ca="1" si="25"/>
        <v>#NAME?</v>
      </c>
      <c r="AG78" s="1" t="e">
        <f ca="1"/>
        <v>#NAME?</v>
      </c>
      <c r="AH78" s="1" t="e">
        <f t="shared" ca="1" si="26"/>
        <v>#NAME?</v>
      </c>
      <c r="AI78" s="1" t="e">
        <f ca="1"/>
        <v>#NAME?</v>
      </c>
      <c r="AJ78" s="1" t="e">
        <f t="shared" ca="1" si="35"/>
        <v>#NAME?</v>
      </c>
      <c r="AK78" s="1" t="e">
        <f ca="1"/>
        <v>#NAME?</v>
      </c>
      <c r="AL78" s="1" t="e">
        <f t="shared" ca="1" si="27"/>
        <v>#NAME?</v>
      </c>
      <c r="AN78" s="1">
        <f t="shared" si="17"/>
        <v>4.039946563523344</v>
      </c>
      <c r="AO78" s="1" t="e">
        <f ca="1"/>
        <v>#NAME?</v>
      </c>
      <c r="AP78" s="1" t="e">
        <f t="shared" ca="1" si="18"/>
        <v>#NAME?</v>
      </c>
    </row>
    <row r="79" spans="1:42" x14ac:dyDescent="0.25">
      <c r="A79" s="1" t="s">
        <v>94</v>
      </c>
      <c r="B79" s="1">
        <v>78</v>
      </c>
      <c r="C79" s="1">
        <v>30050.187552561401</v>
      </c>
      <c r="D79" s="1">
        <f t="shared" si="28"/>
        <v>4.4778471869140759</v>
      </c>
      <c r="E79" s="1">
        <v>18868.3616849918</v>
      </c>
      <c r="F79" s="1">
        <f t="shared" si="29"/>
        <v>4.2757341925837666</v>
      </c>
      <c r="G79" s="1">
        <v>4328.9578485073698</v>
      </c>
      <c r="H79" s="1">
        <f t="shared" si="30"/>
        <v>3.6363833570652293</v>
      </c>
      <c r="I79" s="1">
        <v>7562.8801665947303</v>
      </c>
      <c r="J79" s="1">
        <f t="shared" si="31"/>
        <v>0.25167497385386833</v>
      </c>
      <c r="K79" s="1">
        <f t="shared" si="32"/>
        <v>3.8786872190793078</v>
      </c>
      <c r="L79" s="1">
        <v>1567.9171653977801</v>
      </c>
      <c r="M79" s="1">
        <f t="shared" si="33"/>
        <v>3.1953231147508911</v>
      </c>
      <c r="N79" s="1">
        <v>1953.8037795289599</v>
      </c>
      <c r="O79" s="1">
        <f t="shared" si="34"/>
        <v>3.2908809453874319</v>
      </c>
      <c r="P79" s="1">
        <v>-385.88661413118399</v>
      </c>
      <c r="Q79" s="1" t="e">
        <f ca="1"/>
        <v>#NAME?</v>
      </c>
      <c r="R79" s="1" t="e">
        <f t="shared" ca="1" si="19"/>
        <v>#NAME?</v>
      </c>
      <c r="S79" s="4">
        <v>1219844000000</v>
      </c>
      <c r="T79" s="1">
        <v>89771.333333333299</v>
      </c>
      <c r="U79" s="1" t="e">
        <f ca="1"/>
        <v>#NAME?</v>
      </c>
      <c r="V79" s="1" t="e">
        <f t="shared" ca="1" si="20"/>
        <v>#NAME?</v>
      </c>
      <c r="W79" s="1" t="e">
        <f ca="1"/>
        <v>#NAME?</v>
      </c>
      <c r="X79" s="1" t="e">
        <f t="shared" ca="1" si="21"/>
        <v>#NAME?</v>
      </c>
      <c r="Y79" s="1" t="e">
        <f ca="1"/>
        <v>#NAME?</v>
      </c>
      <c r="Z79" s="1" t="e">
        <f t="shared" ca="1" si="22"/>
        <v>#NAME?</v>
      </c>
      <c r="AA79" s="1" t="e">
        <f ca="1"/>
        <v>#NAME?</v>
      </c>
      <c r="AB79" s="1" t="e">
        <f t="shared" ca="1" si="23"/>
        <v>#NAME?</v>
      </c>
      <c r="AC79" s="1" t="e">
        <f ca="1"/>
        <v>#NAME?</v>
      </c>
      <c r="AD79" s="1" t="e">
        <f t="shared" ca="1" si="24"/>
        <v>#NAME?</v>
      </c>
      <c r="AE79" s="1" t="e">
        <f ca="1"/>
        <v>#NAME?</v>
      </c>
      <c r="AF79" s="1" t="e">
        <f t="shared" ca="1" si="25"/>
        <v>#NAME?</v>
      </c>
      <c r="AG79" s="1" t="e">
        <f ca="1"/>
        <v>#NAME?</v>
      </c>
      <c r="AH79" s="1" t="e">
        <f t="shared" ca="1" si="26"/>
        <v>#NAME?</v>
      </c>
      <c r="AI79" s="1" t="e">
        <f ca="1"/>
        <v>#NAME?</v>
      </c>
      <c r="AJ79" s="1" t="e">
        <f t="shared" ca="1" si="35"/>
        <v>#NAME?</v>
      </c>
      <c r="AK79" s="1" t="e">
        <f ca="1"/>
        <v>#NAME?</v>
      </c>
      <c r="AL79" s="1" t="e">
        <f t="shared" ca="1" si="27"/>
        <v>#NAME?</v>
      </c>
      <c r="AN79" s="1">
        <f t="shared" si="17"/>
        <v>4.0367695285428207</v>
      </c>
      <c r="AO79" s="1" t="e">
        <f ca="1"/>
        <v>#NAME?</v>
      </c>
      <c r="AP79" s="1" t="e">
        <f t="shared" ca="1" si="18"/>
        <v>#NAME?</v>
      </c>
    </row>
    <row r="80" spans="1:42" x14ac:dyDescent="0.25">
      <c r="A80" s="1" t="s">
        <v>95</v>
      </c>
      <c r="B80" s="1">
        <v>79</v>
      </c>
      <c r="C80" s="1">
        <v>30181.9641732249</v>
      </c>
      <c r="D80" s="1">
        <f t="shared" si="28"/>
        <v>4.4797474992512303</v>
      </c>
      <c r="E80" s="1">
        <v>18994.410384263902</v>
      </c>
      <c r="F80" s="1">
        <f t="shared" si="29"/>
        <v>4.2786258169307523</v>
      </c>
      <c r="G80" s="1">
        <v>4243.1970827529303</v>
      </c>
      <c r="H80" s="1">
        <f t="shared" si="30"/>
        <v>3.6276932038062837</v>
      </c>
      <c r="I80" s="1">
        <v>7562.0580432795996</v>
      </c>
      <c r="J80" s="1">
        <f t="shared" si="31"/>
        <v>0.25054890397053986</v>
      </c>
      <c r="K80" s="1">
        <f t="shared" si="32"/>
        <v>3.8786400065069846</v>
      </c>
      <c r="L80" s="1">
        <v>1619.4358924309499</v>
      </c>
      <c r="M80" s="1">
        <f t="shared" si="33"/>
        <v>3.2093637605496212</v>
      </c>
      <c r="N80" s="1">
        <v>1918.15205529283</v>
      </c>
      <c r="O80" s="1">
        <f t="shared" si="34"/>
        <v>3.2828830314879949</v>
      </c>
      <c r="P80" s="1">
        <v>-298.71616286188299</v>
      </c>
      <c r="Q80" s="1" t="e">
        <f ca="1"/>
        <v>#NAME?</v>
      </c>
      <c r="R80" s="1" t="e">
        <f t="shared" ca="1" si="19"/>
        <v>#NAME?</v>
      </c>
      <c r="S80" s="4">
        <v>1248048000000</v>
      </c>
      <c r="T80" s="1">
        <v>90281.333333333299</v>
      </c>
      <c r="U80" s="1" t="e">
        <f ca="1"/>
        <v>#NAME?</v>
      </c>
      <c r="V80" s="1" t="e">
        <f t="shared" ca="1" si="20"/>
        <v>#NAME?</v>
      </c>
      <c r="W80" s="1" t="e">
        <f ca="1"/>
        <v>#NAME?</v>
      </c>
      <c r="X80" s="1" t="e">
        <f t="shared" ca="1" si="21"/>
        <v>#NAME?</v>
      </c>
      <c r="Y80" s="1" t="e">
        <f ca="1"/>
        <v>#NAME?</v>
      </c>
      <c r="Z80" s="1" t="e">
        <f t="shared" ca="1" si="22"/>
        <v>#NAME?</v>
      </c>
      <c r="AA80" s="1" t="e">
        <f ca="1"/>
        <v>#NAME?</v>
      </c>
      <c r="AB80" s="1" t="e">
        <f t="shared" ca="1" si="23"/>
        <v>#NAME?</v>
      </c>
      <c r="AC80" s="1" t="e">
        <f ca="1"/>
        <v>#NAME?</v>
      </c>
      <c r="AD80" s="1" t="e">
        <f t="shared" ca="1" si="24"/>
        <v>#NAME?</v>
      </c>
      <c r="AE80" s="1" t="e">
        <f ca="1"/>
        <v>#NAME?</v>
      </c>
      <c r="AF80" s="1" t="e">
        <f t="shared" ca="1" si="25"/>
        <v>#NAME?</v>
      </c>
      <c r="AG80" s="1" t="e">
        <f ca="1"/>
        <v>#NAME?</v>
      </c>
      <c r="AH80" s="1" t="e">
        <f t="shared" ca="1" si="26"/>
        <v>#NAME?</v>
      </c>
      <c r="AI80" s="1" t="e">
        <f ca="1"/>
        <v>#NAME?</v>
      </c>
      <c r="AJ80" s="1" t="e">
        <f t="shared" ca="1" si="35"/>
        <v>#NAME?</v>
      </c>
      <c r="AK80" s="1" t="e">
        <f ca="1"/>
        <v>#NAME?</v>
      </c>
      <c r="AL80" s="1" t="e">
        <f t="shared" ca="1" si="27"/>
        <v>#NAME?</v>
      </c>
      <c r="AN80" s="1">
        <f t="shared" si="17"/>
        <v>4.0335215381205742</v>
      </c>
      <c r="AO80" s="1" t="e">
        <f ca="1"/>
        <v>#NAME?</v>
      </c>
      <c r="AP80" s="1" t="e">
        <f t="shared" ca="1" si="18"/>
        <v>#NAME?</v>
      </c>
    </row>
    <row r="81" spans="1:42" x14ac:dyDescent="0.25">
      <c r="A81" s="1" t="s">
        <v>96</v>
      </c>
      <c r="B81" s="1">
        <v>80</v>
      </c>
      <c r="C81" s="1">
        <v>30163.906296297901</v>
      </c>
      <c r="D81" s="1">
        <f t="shared" si="28"/>
        <v>4.4794875829892771</v>
      </c>
      <c r="E81" s="1">
        <v>18982.805361825998</v>
      </c>
      <c r="F81" s="1">
        <f t="shared" si="29"/>
        <v>4.2783603947682796</v>
      </c>
      <c r="G81" s="1">
        <v>4155.0436278563802</v>
      </c>
      <c r="H81" s="1">
        <f t="shared" si="30"/>
        <v>3.6185755882254993</v>
      </c>
      <c r="I81" s="1">
        <v>7588.3281663917396</v>
      </c>
      <c r="J81" s="1">
        <f t="shared" si="31"/>
        <v>0.25156980968751635</v>
      </c>
      <c r="K81" s="1">
        <f t="shared" si="32"/>
        <v>3.8801461042107328</v>
      </c>
      <c r="L81" s="1">
        <v>1716.00985330603</v>
      </c>
      <c r="M81" s="1">
        <f t="shared" si="33"/>
        <v>3.2345197772330549</v>
      </c>
      <c r="N81" s="1">
        <v>1953.9265070737699</v>
      </c>
      <c r="O81" s="1">
        <f t="shared" si="34"/>
        <v>3.2909082245963828</v>
      </c>
      <c r="P81" s="1">
        <v>-237.91665376774</v>
      </c>
      <c r="Q81" s="1" t="e">
        <f ca="1"/>
        <v>#NAME?</v>
      </c>
      <c r="R81" s="1" t="e">
        <f t="shared" ca="1" si="19"/>
        <v>#NAME?</v>
      </c>
      <c r="S81" s="4">
        <v>1238856000000</v>
      </c>
      <c r="T81" s="1">
        <v>90575.333333333299</v>
      </c>
      <c r="U81" s="1" t="e">
        <f ca="1"/>
        <v>#NAME?</v>
      </c>
      <c r="V81" s="1" t="e">
        <f t="shared" ca="1" si="20"/>
        <v>#NAME?</v>
      </c>
      <c r="W81" s="1" t="e">
        <f ca="1"/>
        <v>#NAME?</v>
      </c>
      <c r="X81" s="1" t="e">
        <f t="shared" ca="1" si="21"/>
        <v>#NAME?</v>
      </c>
      <c r="Y81" s="1" t="e">
        <f ca="1"/>
        <v>#NAME?</v>
      </c>
      <c r="Z81" s="1" t="e">
        <f t="shared" ca="1" si="22"/>
        <v>#NAME?</v>
      </c>
      <c r="AA81" s="1" t="e">
        <f ca="1"/>
        <v>#NAME?</v>
      </c>
      <c r="AB81" s="1" t="e">
        <f t="shared" ca="1" si="23"/>
        <v>#NAME?</v>
      </c>
      <c r="AC81" s="1" t="e">
        <f ca="1"/>
        <v>#NAME?</v>
      </c>
      <c r="AD81" s="1" t="e">
        <f t="shared" ca="1" si="24"/>
        <v>#NAME?</v>
      </c>
      <c r="AE81" s="1" t="e">
        <f ca="1"/>
        <v>#NAME?</v>
      </c>
      <c r="AF81" s="1" t="e">
        <f t="shared" ca="1" si="25"/>
        <v>#NAME?</v>
      </c>
      <c r="AG81" s="1" t="e">
        <f ca="1"/>
        <v>#NAME?</v>
      </c>
      <c r="AH81" s="1" t="e">
        <f t="shared" ca="1" si="26"/>
        <v>#NAME?</v>
      </c>
      <c r="AI81" s="1" t="e">
        <f ca="1"/>
        <v>#NAME?</v>
      </c>
      <c r="AJ81" s="1" t="e">
        <f t="shared" ca="1" si="35"/>
        <v>#NAME?</v>
      </c>
      <c r="AK81" s="1" t="e">
        <f ca="1"/>
        <v>#NAME?</v>
      </c>
      <c r="AL81" s="1" t="e">
        <f t="shared" ca="1" si="27"/>
        <v>#NAME?</v>
      </c>
      <c r="AN81" s="1">
        <f t="shared" si="17"/>
        <v>4.033513722481282</v>
      </c>
      <c r="AO81" s="1" t="e">
        <f ca="1"/>
        <v>#NAME?</v>
      </c>
      <c r="AP81" s="1" t="e">
        <f t="shared" ca="1" si="18"/>
        <v>#NAME?</v>
      </c>
    </row>
    <row r="82" spans="1:42" x14ac:dyDescent="0.25">
      <c r="A82" s="1" t="s">
        <v>97</v>
      </c>
      <c r="B82" s="1">
        <v>81</v>
      </c>
      <c r="C82" s="1">
        <v>30173.774222284901</v>
      </c>
      <c r="D82" s="1">
        <f t="shared" si="28"/>
        <v>4.4796296363730121</v>
      </c>
      <c r="E82" s="1">
        <v>18902.422890004102</v>
      </c>
      <c r="F82" s="1">
        <f t="shared" si="29"/>
        <v>4.2765174750895527</v>
      </c>
      <c r="G82" s="1">
        <v>4115.0365594432697</v>
      </c>
      <c r="H82" s="1">
        <f t="shared" si="30"/>
        <v>3.6143736979915309</v>
      </c>
      <c r="I82" s="1">
        <v>7678.07403618018</v>
      </c>
      <c r="J82" s="1">
        <f t="shared" si="31"/>
        <v>0.25446183760828711</v>
      </c>
      <c r="K82" s="1">
        <f t="shared" si="32"/>
        <v>3.8852522955059881</v>
      </c>
      <c r="L82" s="1">
        <v>1758.9458179348501</v>
      </c>
      <c r="M82" s="1">
        <f t="shared" si="33"/>
        <v>3.2452524617801846</v>
      </c>
      <c r="N82" s="1">
        <v>1949.76494350706</v>
      </c>
      <c r="O82" s="1">
        <f t="shared" si="34"/>
        <v>3.2899822575722655</v>
      </c>
      <c r="P82" s="1">
        <v>-190.81912557220599</v>
      </c>
      <c r="Q82" s="1" t="e">
        <f ca="1"/>
        <v>#NAME?</v>
      </c>
      <c r="R82" s="1" t="e">
        <f t="shared" ca="1" si="19"/>
        <v>#NAME?</v>
      </c>
      <c r="S82" s="4">
        <v>1233790000000</v>
      </c>
      <c r="T82" s="1">
        <v>90892.333333333299</v>
      </c>
      <c r="U82" s="1" t="e">
        <f ca="1"/>
        <v>#NAME?</v>
      </c>
      <c r="V82" s="1" t="e">
        <f t="shared" ca="1" si="20"/>
        <v>#NAME?</v>
      </c>
      <c r="W82" s="1" t="e">
        <f ca="1"/>
        <v>#NAME?</v>
      </c>
      <c r="X82" s="1" t="e">
        <f t="shared" ca="1" si="21"/>
        <v>#NAME?</v>
      </c>
      <c r="Y82" s="1" t="e">
        <f ca="1"/>
        <v>#NAME?</v>
      </c>
      <c r="Z82" s="1" t="e">
        <f t="shared" ca="1" si="22"/>
        <v>#NAME?</v>
      </c>
      <c r="AA82" s="1" t="e">
        <f ca="1"/>
        <v>#NAME?</v>
      </c>
      <c r="AB82" s="1" t="e">
        <f t="shared" ca="1" si="23"/>
        <v>#NAME?</v>
      </c>
      <c r="AC82" s="1" t="e">
        <f ca="1"/>
        <v>#NAME?</v>
      </c>
      <c r="AD82" s="1" t="e">
        <f t="shared" ca="1" si="24"/>
        <v>#NAME?</v>
      </c>
      <c r="AE82" s="1" t="e">
        <f ca="1"/>
        <v>#NAME?</v>
      </c>
      <c r="AF82" s="1" t="e">
        <f t="shared" ca="1" si="25"/>
        <v>#NAME?</v>
      </c>
      <c r="AG82" s="1" t="e">
        <f ca="1"/>
        <v>#NAME?</v>
      </c>
      <c r="AH82" s="1" t="e">
        <f t="shared" ca="1" si="26"/>
        <v>#NAME?</v>
      </c>
      <c r="AI82" s="1" t="e">
        <f ca="1"/>
        <v>#NAME?</v>
      </c>
      <c r="AJ82" s="1" t="e">
        <f t="shared" ca="1" si="35"/>
        <v>#NAME?</v>
      </c>
      <c r="AK82" s="1" t="e">
        <f ca="1"/>
        <v>#NAME?</v>
      </c>
      <c r="AL82" s="1" t="e">
        <f t="shared" ca="1" si="27"/>
        <v>#NAME?</v>
      </c>
      <c r="AN82" s="1">
        <f t="shared" si="17"/>
        <v>4.0333253462338821</v>
      </c>
      <c r="AO82" s="1" t="e">
        <f ca="1"/>
        <v>#NAME?</v>
      </c>
      <c r="AP82" s="1" t="e">
        <f t="shared" ca="1" si="18"/>
        <v>#NAME?</v>
      </c>
    </row>
    <row r="83" spans="1:42" x14ac:dyDescent="0.25">
      <c r="A83" s="1" t="s">
        <v>98</v>
      </c>
      <c r="B83" s="1">
        <v>82</v>
      </c>
      <c r="C83" s="1">
        <v>29469.525790605501</v>
      </c>
      <c r="D83" s="1">
        <f t="shared" si="28"/>
        <v>4.4693731474488292</v>
      </c>
      <c r="E83" s="1">
        <v>18425.1261054844</v>
      </c>
      <c r="F83" s="1">
        <f t="shared" si="29"/>
        <v>4.2654104689451238</v>
      </c>
      <c r="G83" s="1">
        <v>3754.6231348042302</v>
      </c>
      <c r="H83" s="1">
        <f t="shared" si="30"/>
        <v>3.574566351809223</v>
      </c>
      <c r="I83" s="1">
        <v>7671.6815677099603</v>
      </c>
      <c r="J83" s="1">
        <f t="shared" si="31"/>
        <v>0.26032592523614995</v>
      </c>
      <c r="K83" s="1">
        <f t="shared" si="32"/>
        <v>3.8848905680603534</v>
      </c>
      <c r="L83" s="1">
        <v>1787.1005193742899</v>
      </c>
      <c r="M83" s="1">
        <f t="shared" si="33"/>
        <v>3.2521489810349222</v>
      </c>
      <c r="N83" s="1">
        <v>1803.1303185290401</v>
      </c>
      <c r="O83" s="1">
        <f t="shared" si="34"/>
        <v>3.2560271158365368</v>
      </c>
      <c r="P83" s="1">
        <v>-16.0297991547524</v>
      </c>
      <c r="Q83" s="1" t="e">
        <f ca="1"/>
        <v>#NAME?</v>
      </c>
      <c r="R83" s="1" t="e">
        <f t="shared" ca="1" si="19"/>
        <v>#NAME?</v>
      </c>
      <c r="S83" s="4">
        <v>1144041000000</v>
      </c>
      <c r="T83" s="1">
        <v>90456.666666666701</v>
      </c>
      <c r="U83" s="1" t="e">
        <f ca="1"/>
        <v>#NAME?</v>
      </c>
      <c r="V83" s="1" t="e">
        <f t="shared" ca="1" si="20"/>
        <v>#NAME?</v>
      </c>
      <c r="W83" s="1" t="e">
        <f ca="1"/>
        <v>#NAME?</v>
      </c>
      <c r="X83" s="1" t="e">
        <f t="shared" ca="1" si="21"/>
        <v>#NAME?</v>
      </c>
      <c r="Y83" s="1" t="e">
        <f ca="1"/>
        <v>#NAME?</v>
      </c>
      <c r="Z83" s="1" t="e">
        <f t="shared" ca="1" si="22"/>
        <v>#NAME?</v>
      </c>
      <c r="AA83" s="1" t="e">
        <f ca="1"/>
        <v>#NAME?</v>
      </c>
      <c r="AB83" s="1" t="e">
        <f t="shared" ca="1" si="23"/>
        <v>#NAME?</v>
      </c>
      <c r="AC83" s="1" t="e">
        <f ca="1"/>
        <v>#NAME?</v>
      </c>
      <c r="AD83" s="1" t="e">
        <f t="shared" ca="1" si="24"/>
        <v>#NAME?</v>
      </c>
      <c r="AE83" s="1" t="e">
        <f ca="1"/>
        <v>#NAME?</v>
      </c>
      <c r="AF83" s="1" t="e">
        <f t="shared" ca="1" si="25"/>
        <v>#NAME?</v>
      </c>
      <c r="AG83" s="1" t="e">
        <f ca="1"/>
        <v>#NAME?</v>
      </c>
      <c r="AH83" s="1" t="e">
        <f t="shared" ca="1" si="26"/>
        <v>#NAME?</v>
      </c>
      <c r="AI83" s="1" t="e">
        <f ca="1"/>
        <v>#NAME?</v>
      </c>
      <c r="AJ83" s="1" t="e">
        <f t="shared" ca="1" si="35"/>
        <v>#NAME?</v>
      </c>
      <c r="AK83" s="1" t="e">
        <f ca="1"/>
        <v>#NAME?</v>
      </c>
      <c r="AL83" s="1" t="e">
        <f t="shared" ca="1" si="27"/>
        <v>#NAME?</v>
      </c>
      <c r="AN83" s="1">
        <f t="shared" si="17"/>
        <v>4.0362122042806794</v>
      </c>
      <c r="AO83" s="1" t="e">
        <f ca="1"/>
        <v>#NAME?</v>
      </c>
      <c r="AP83" s="1" t="e">
        <f t="shared" ca="1" si="18"/>
        <v>#NAME?</v>
      </c>
    </row>
    <row r="84" spans="1:42" x14ac:dyDescent="0.25">
      <c r="A84" s="1" t="s">
        <v>99</v>
      </c>
      <c r="B84" s="1">
        <v>83</v>
      </c>
      <c r="C84" s="1">
        <v>29346.6128820099</v>
      </c>
      <c r="D84" s="1">
        <f t="shared" si="28"/>
        <v>4.4675579832143155</v>
      </c>
      <c r="E84" s="1">
        <v>18571.6183627834</v>
      </c>
      <c r="F84" s="1">
        <f t="shared" si="29"/>
        <v>4.2688497505573384</v>
      </c>
      <c r="G84" s="1">
        <v>3496.3432279563299</v>
      </c>
      <c r="H84" s="1">
        <f t="shared" si="30"/>
        <v>3.5436140597434562</v>
      </c>
      <c r="I84" s="1">
        <v>7544.67049590038</v>
      </c>
      <c r="J84" s="1">
        <f t="shared" si="31"/>
        <v>0.25708828907220921</v>
      </c>
      <c r="K84" s="1">
        <f t="shared" si="32"/>
        <v>3.877640277254474</v>
      </c>
      <c r="L84" s="1">
        <v>1777.9672907440699</v>
      </c>
      <c r="M84" s="1">
        <f t="shared" si="33"/>
        <v>3.2499237669941357</v>
      </c>
      <c r="N84" s="1">
        <v>1668.3781295216399</v>
      </c>
      <c r="O84" s="1">
        <f t="shared" si="34"/>
        <v>3.2222944881203754</v>
      </c>
      <c r="P84" s="1">
        <v>109.589161222432</v>
      </c>
      <c r="Q84" s="1" t="e">
        <f ca="1"/>
        <v>#NAME?</v>
      </c>
      <c r="R84" s="1" t="e">
        <f t="shared" ca="1" si="19"/>
        <v>#NAME?</v>
      </c>
      <c r="S84" s="4">
        <v>1148860000000</v>
      </c>
      <c r="T84" s="1">
        <v>90050.666666666701</v>
      </c>
      <c r="U84" s="1" t="e">
        <f ca="1"/>
        <v>#NAME?</v>
      </c>
      <c r="V84" s="1" t="e">
        <f t="shared" ca="1" si="20"/>
        <v>#NAME?</v>
      </c>
      <c r="W84" s="1" t="e">
        <f ca="1"/>
        <v>#NAME?</v>
      </c>
      <c r="X84" s="1" t="e">
        <f t="shared" ca="1" si="21"/>
        <v>#NAME?</v>
      </c>
      <c r="Y84" s="1" t="e">
        <f ca="1"/>
        <v>#NAME?</v>
      </c>
      <c r="Z84" s="1" t="e">
        <f t="shared" ca="1" si="22"/>
        <v>#NAME?</v>
      </c>
      <c r="AA84" s="1" t="e">
        <f ca="1"/>
        <v>#NAME?</v>
      </c>
      <c r="AB84" s="1" t="e">
        <f t="shared" ca="1" si="23"/>
        <v>#NAME?</v>
      </c>
      <c r="AC84" s="1" t="e">
        <f ca="1"/>
        <v>#NAME?</v>
      </c>
      <c r="AD84" s="1" t="e">
        <f t="shared" ca="1" si="24"/>
        <v>#NAME?</v>
      </c>
      <c r="AE84" s="1" t="e">
        <f ca="1"/>
        <v>#NAME?</v>
      </c>
      <c r="AF84" s="1" t="e">
        <f t="shared" ca="1" si="25"/>
        <v>#NAME?</v>
      </c>
      <c r="AG84" s="1" t="e">
        <f ca="1"/>
        <v>#NAME?</v>
      </c>
      <c r="AH84" s="1" t="e">
        <f t="shared" ca="1" si="26"/>
        <v>#NAME?</v>
      </c>
      <c r="AI84" s="1" t="e">
        <f ca="1"/>
        <v>#NAME?</v>
      </c>
      <c r="AJ84" s="1" t="e">
        <f t="shared" ca="1" si="35"/>
        <v>#NAME?</v>
      </c>
      <c r="AK84" s="1" t="e">
        <f ca="1"/>
        <v>#NAME?</v>
      </c>
      <c r="AL84" s="1" t="e">
        <f t="shared" ca="1" si="27"/>
        <v>#NAME?</v>
      </c>
      <c r="AN84" s="1">
        <f t="shared" si="17"/>
        <v>4.034990187333845</v>
      </c>
      <c r="AO84" s="1" t="e">
        <f ca="1"/>
        <v>#NAME?</v>
      </c>
      <c r="AP84" s="1" t="e">
        <f t="shared" ca="1" si="18"/>
        <v>#NAME?</v>
      </c>
    </row>
    <row r="85" spans="1:42" x14ac:dyDescent="0.25">
      <c r="A85" s="1" t="s">
        <v>100</v>
      </c>
      <c r="B85" s="1">
        <v>84</v>
      </c>
      <c r="C85" s="1">
        <v>29812.990567976602</v>
      </c>
      <c r="D85" s="1">
        <f t="shared" si="28"/>
        <v>4.4744055426890066</v>
      </c>
      <c r="E85" s="1">
        <v>18771.589363720999</v>
      </c>
      <c r="F85" s="1">
        <f t="shared" si="29"/>
        <v>4.2735010452730045</v>
      </c>
      <c r="G85" s="1">
        <v>3811.87114378042</v>
      </c>
      <c r="H85" s="1">
        <f t="shared" si="30"/>
        <v>3.5811382113548063</v>
      </c>
      <c r="I85" s="1">
        <v>7522.5918168342196</v>
      </c>
      <c r="J85" s="1">
        <f t="shared" si="31"/>
        <v>0.25232597178340621</v>
      </c>
      <c r="K85" s="1">
        <f t="shared" si="32"/>
        <v>3.8763674972165179</v>
      </c>
      <c r="L85" s="1">
        <v>1762.41533261329</v>
      </c>
      <c r="M85" s="1">
        <f t="shared" si="33"/>
        <v>3.2461082624225455</v>
      </c>
      <c r="N85" s="1">
        <v>1753.0838824779501</v>
      </c>
      <c r="O85" s="1">
        <f t="shared" si="34"/>
        <v>3.2438026969413332</v>
      </c>
      <c r="P85" s="1">
        <v>9.3314501353367003</v>
      </c>
      <c r="Q85" s="1" t="e">
        <f ca="1"/>
        <v>#NAME?</v>
      </c>
      <c r="R85" s="1" t="e">
        <f t="shared" ca="1" si="19"/>
        <v>#NAME?</v>
      </c>
      <c r="S85" s="4">
        <v>1184951000000</v>
      </c>
      <c r="T85" s="1">
        <v>90726.666666666701</v>
      </c>
      <c r="U85" s="1" t="e">
        <f ca="1"/>
        <v>#NAME?</v>
      </c>
      <c r="V85" s="1" t="e">
        <f t="shared" ca="1" si="20"/>
        <v>#NAME?</v>
      </c>
      <c r="W85" s="1" t="e">
        <f ca="1"/>
        <v>#NAME?</v>
      </c>
      <c r="X85" s="1" t="e">
        <f t="shared" ca="1" si="21"/>
        <v>#NAME?</v>
      </c>
      <c r="Y85" s="1" t="e">
        <f ca="1"/>
        <v>#NAME?</v>
      </c>
      <c r="Z85" s="1" t="e">
        <f t="shared" ca="1" si="22"/>
        <v>#NAME?</v>
      </c>
      <c r="AA85" s="1" t="e">
        <f ca="1"/>
        <v>#NAME?</v>
      </c>
      <c r="AB85" s="1" t="e">
        <f t="shared" ca="1" si="23"/>
        <v>#NAME?</v>
      </c>
      <c r="AC85" s="1" t="e">
        <f ca="1"/>
        <v>#NAME?</v>
      </c>
      <c r="AD85" s="1" t="e">
        <f t="shared" ca="1" si="24"/>
        <v>#NAME?</v>
      </c>
      <c r="AE85" s="1" t="e">
        <f ca="1"/>
        <v>#NAME?</v>
      </c>
      <c r="AF85" s="1" t="e">
        <f t="shared" ca="1" si="25"/>
        <v>#NAME?</v>
      </c>
      <c r="AG85" s="1" t="e">
        <f ca="1"/>
        <v>#NAME?</v>
      </c>
      <c r="AH85" s="1" t="e">
        <f t="shared" ca="1" si="26"/>
        <v>#NAME?</v>
      </c>
      <c r="AI85" s="1" t="e">
        <f ca="1"/>
        <v>#NAME?</v>
      </c>
      <c r="AJ85" s="1" t="e">
        <f t="shared" ca="1" si="35"/>
        <v>#NAME?</v>
      </c>
      <c r="AK85" s="1" t="e">
        <f ca="1"/>
        <v>#NAME?</v>
      </c>
      <c r="AL85" s="1" t="e">
        <f t="shared" ca="1" si="27"/>
        <v>#NAME?</v>
      </c>
      <c r="AN85" s="1">
        <f t="shared" si="17"/>
        <v>4.0349230304254551</v>
      </c>
      <c r="AO85" s="1" t="e">
        <f ca="1"/>
        <v>#NAME?</v>
      </c>
      <c r="AP85" s="1" t="e">
        <f t="shared" ca="1" si="18"/>
        <v>#NAME?</v>
      </c>
    </row>
    <row r="86" spans="1:42" x14ac:dyDescent="0.25">
      <c r="A86" s="1" t="s">
        <v>101</v>
      </c>
      <c r="B86" s="1">
        <v>85</v>
      </c>
      <c r="C86" s="1">
        <v>30335.3407082542</v>
      </c>
      <c r="D86" s="1">
        <f t="shared" si="28"/>
        <v>4.4819488770411944</v>
      </c>
      <c r="E86" s="1">
        <v>18796.172896074699</v>
      </c>
      <c r="F86" s="1">
        <f t="shared" si="29"/>
        <v>4.2740694312150254</v>
      </c>
      <c r="G86" s="1">
        <v>4156.2174074316499</v>
      </c>
      <c r="H86" s="1">
        <f t="shared" si="30"/>
        <v>3.6186982569742572</v>
      </c>
      <c r="I86" s="1">
        <v>7607.7022102943401</v>
      </c>
      <c r="J86" s="1">
        <f t="shared" si="31"/>
        <v>0.25078677320490078</v>
      </c>
      <c r="K86" s="1">
        <f t="shared" si="32"/>
        <v>3.8812535045922036</v>
      </c>
      <c r="L86" s="1">
        <v>1791.9094062970501</v>
      </c>
      <c r="M86" s="1">
        <f t="shared" si="33"/>
        <v>3.2533160492212865</v>
      </c>
      <c r="N86" s="1">
        <v>1824.18886779691</v>
      </c>
      <c r="O86" s="1">
        <f t="shared" si="34"/>
        <v>3.2610698010952821</v>
      </c>
      <c r="P86" s="1">
        <v>-32.279461499858101</v>
      </c>
      <c r="Q86" s="1" t="e">
        <f ca="1"/>
        <v>#NAME?</v>
      </c>
      <c r="R86" s="1" t="e">
        <f t="shared" ca="1" si="19"/>
        <v>#NAME?</v>
      </c>
      <c r="S86" s="4">
        <v>1201243000000</v>
      </c>
      <c r="T86" s="1">
        <v>91116</v>
      </c>
      <c r="U86" s="1" t="e">
        <f ca="1"/>
        <v>#NAME?</v>
      </c>
      <c r="V86" s="1" t="e">
        <f t="shared" ca="1" si="20"/>
        <v>#NAME?</v>
      </c>
      <c r="W86" s="1" t="e">
        <f ca="1"/>
        <v>#NAME?</v>
      </c>
      <c r="X86" s="1" t="e">
        <f t="shared" ca="1" si="21"/>
        <v>#NAME?</v>
      </c>
      <c r="Y86" s="1" t="e">
        <f ca="1"/>
        <v>#NAME?</v>
      </c>
      <c r="Z86" s="1" t="e">
        <f t="shared" ca="1" si="22"/>
        <v>#NAME?</v>
      </c>
      <c r="AA86" s="1" t="e">
        <f ca="1"/>
        <v>#NAME?</v>
      </c>
      <c r="AB86" s="1" t="e">
        <f t="shared" ca="1" si="23"/>
        <v>#NAME?</v>
      </c>
      <c r="AC86" s="1" t="e">
        <f ca="1"/>
        <v>#NAME?</v>
      </c>
      <c r="AD86" s="1" t="e">
        <f t="shared" ca="1" si="24"/>
        <v>#NAME?</v>
      </c>
      <c r="AE86" s="1" t="e">
        <f ca="1"/>
        <v>#NAME?</v>
      </c>
      <c r="AF86" s="1" t="e">
        <f t="shared" ca="1" si="25"/>
        <v>#NAME?</v>
      </c>
      <c r="AG86" s="1" t="e">
        <f ca="1"/>
        <v>#NAME?</v>
      </c>
      <c r="AH86" s="1" t="e">
        <f t="shared" ca="1" si="26"/>
        <v>#NAME?</v>
      </c>
      <c r="AI86" s="1" t="e">
        <f ca="1"/>
        <v>#NAME?</v>
      </c>
      <c r="AJ86" s="1" t="e">
        <f t="shared" ca="1" si="35"/>
        <v>#NAME?</v>
      </c>
      <c r="AK86" s="1" t="e">
        <f ca="1"/>
        <v>#NAME?</v>
      </c>
      <c r="AL86" s="1" t="e">
        <f t="shared" ca="1" si="27"/>
        <v>#NAME?</v>
      </c>
      <c r="AN86" s="1">
        <f t="shared" si="17"/>
        <v>4.0391411904773076</v>
      </c>
      <c r="AO86" s="1" t="e">
        <f ca="1"/>
        <v>#NAME?</v>
      </c>
      <c r="AP86" s="1" t="e">
        <f t="shared" ca="1" si="18"/>
        <v>#NAME?</v>
      </c>
    </row>
    <row r="87" spans="1:42" x14ac:dyDescent="0.25">
      <c r="A87" s="1" t="s">
        <v>102</v>
      </c>
      <c r="B87" s="1">
        <v>86</v>
      </c>
      <c r="C87" s="1">
        <v>30042.495014673001</v>
      </c>
      <c r="D87" s="1">
        <f t="shared" si="28"/>
        <v>4.4777359977764872</v>
      </c>
      <c r="E87" s="1">
        <v>18755.061521983302</v>
      </c>
      <c r="F87" s="1">
        <f t="shared" si="29"/>
        <v>4.2731184930995934</v>
      </c>
      <c r="G87" s="1">
        <v>3974.9601609237402</v>
      </c>
      <c r="H87" s="1">
        <f t="shared" si="30"/>
        <v>3.5993327802936999</v>
      </c>
      <c r="I87" s="1">
        <v>7605.1054973571199</v>
      </c>
      <c r="J87" s="1">
        <f t="shared" si="31"/>
        <v>0.25314493665198995</v>
      </c>
      <c r="K87" s="1">
        <f t="shared" si="32"/>
        <v>3.8811052429258046</v>
      </c>
      <c r="L87" s="1">
        <v>1797.5260586744701</v>
      </c>
      <c r="M87" s="1">
        <f t="shared" si="33"/>
        <v>3.2546751950529704</v>
      </c>
      <c r="N87" s="1">
        <v>1822.7531196391401</v>
      </c>
      <c r="O87" s="1">
        <f t="shared" si="34"/>
        <v>3.2607278502023509</v>
      </c>
      <c r="P87" s="1">
        <v>-25.227060964671601</v>
      </c>
      <c r="Q87" s="1" t="e">
        <f ca="1"/>
        <v>#NAME?</v>
      </c>
      <c r="R87" s="1" t="e">
        <f t="shared" ca="1" si="19"/>
        <v>#NAME?</v>
      </c>
      <c r="S87" s="4">
        <v>1201530000000</v>
      </c>
      <c r="T87" s="1">
        <v>91356.333333333299</v>
      </c>
      <c r="U87" s="1" t="e">
        <f ca="1"/>
        <v>#NAME?</v>
      </c>
      <c r="V87" s="1" t="e">
        <f t="shared" ca="1" si="20"/>
        <v>#NAME?</v>
      </c>
      <c r="W87" s="1" t="e">
        <f ca="1"/>
        <v>#NAME?</v>
      </c>
      <c r="X87" s="1" t="e">
        <f t="shared" ca="1" si="21"/>
        <v>#NAME?</v>
      </c>
      <c r="Y87" s="1" t="e">
        <f ca="1"/>
        <v>#NAME?</v>
      </c>
      <c r="Z87" s="1" t="e">
        <f t="shared" ca="1" si="22"/>
        <v>#NAME?</v>
      </c>
      <c r="AA87" s="1" t="e">
        <f ca="1"/>
        <v>#NAME?</v>
      </c>
      <c r="AB87" s="1" t="e">
        <f t="shared" ca="1" si="23"/>
        <v>#NAME?</v>
      </c>
      <c r="AC87" s="1" t="e">
        <f ca="1"/>
        <v>#NAME?</v>
      </c>
      <c r="AD87" s="1" t="e">
        <f t="shared" ca="1" si="24"/>
        <v>#NAME?</v>
      </c>
      <c r="AE87" s="1" t="e">
        <f ca="1"/>
        <v>#NAME?</v>
      </c>
      <c r="AF87" s="1" t="e">
        <f t="shared" ca="1" si="25"/>
        <v>#NAME?</v>
      </c>
      <c r="AG87" s="1" t="e">
        <f ca="1"/>
        <v>#NAME?</v>
      </c>
      <c r="AH87" s="1" t="e">
        <f t="shared" ca="1" si="26"/>
        <v>#NAME?</v>
      </c>
      <c r="AI87" s="1" t="e">
        <f ca="1"/>
        <v>#NAME?</v>
      </c>
      <c r="AJ87" s="1" t="e">
        <f t="shared" ca="1" si="35"/>
        <v>#NAME?</v>
      </c>
      <c r="AK87" s="1" t="e">
        <f ca="1"/>
        <v>#NAME?</v>
      </c>
      <c r="AL87" s="1" t="e">
        <f t="shared" ca="1" si="27"/>
        <v>#NAME?</v>
      </c>
      <c r="AN87" s="1">
        <f t="shared" si="17"/>
        <v>4.0341587923091016</v>
      </c>
      <c r="AO87" s="1" t="e">
        <f ca="1"/>
        <v>#NAME?</v>
      </c>
      <c r="AP87" s="1" t="e">
        <f t="shared" ca="1" si="18"/>
        <v>#NAME?</v>
      </c>
    </row>
    <row r="88" spans="1:42" x14ac:dyDescent="0.25">
      <c r="A88" s="1" t="s">
        <v>103</v>
      </c>
      <c r="B88" s="1">
        <v>87</v>
      </c>
      <c r="C88" s="1">
        <v>30319.490579719601</v>
      </c>
      <c r="D88" s="1">
        <f t="shared" si="28"/>
        <v>4.4817219001171615</v>
      </c>
      <c r="E88" s="1">
        <v>18790.5219690753</v>
      </c>
      <c r="F88" s="1">
        <f t="shared" si="29"/>
        <v>4.2739388442378639</v>
      </c>
      <c r="G88" s="1">
        <v>4187.56757460888</v>
      </c>
      <c r="H88" s="1">
        <f t="shared" si="30"/>
        <v>3.6219618282939678</v>
      </c>
      <c r="I88" s="1">
        <v>7558.2824217002999</v>
      </c>
      <c r="J88" s="1">
        <f t="shared" si="31"/>
        <v>0.24928790943327914</v>
      </c>
      <c r="K88" s="1">
        <f t="shared" si="32"/>
        <v>3.878423115669702</v>
      </c>
      <c r="L88" s="1">
        <v>1754.44309837995</v>
      </c>
      <c r="M88" s="1">
        <f t="shared" si="33"/>
        <v>3.2441392873645705</v>
      </c>
      <c r="N88" s="1">
        <v>1796.98307866661</v>
      </c>
      <c r="O88" s="1">
        <f t="shared" si="34"/>
        <v>3.2545439875840336</v>
      </c>
      <c r="P88" s="1">
        <v>-42.539980286668197</v>
      </c>
      <c r="Q88" s="1" t="e">
        <f ca="1"/>
        <v>#NAME?</v>
      </c>
      <c r="R88" s="1" t="e">
        <f t="shared" ca="1" si="19"/>
        <v>#NAME?</v>
      </c>
      <c r="S88" s="4">
        <v>1197764000000</v>
      </c>
      <c r="T88" s="1">
        <v>91547.666666666701</v>
      </c>
      <c r="U88" s="1" t="e">
        <f ca="1"/>
        <v>#NAME?</v>
      </c>
      <c r="V88" s="1" t="e">
        <f t="shared" ca="1" si="20"/>
        <v>#NAME?</v>
      </c>
      <c r="W88" s="1" t="e">
        <f ca="1"/>
        <v>#NAME?</v>
      </c>
      <c r="X88" s="1" t="e">
        <f t="shared" ca="1" si="21"/>
        <v>#NAME?</v>
      </c>
      <c r="Y88" s="1" t="e">
        <f ca="1"/>
        <v>#NAME?</v>
      </c>
      <c r="Z88" s="1" t="e">
        <f t="shared" ca="1" si="22"/>
        <v>#NAME?</v>
      </c>
      <c r="AA88" s="1" t="e">
        <f ca="1"/>
        <v>#NAME?</v>
      </c>
      <c r="AB88" s="1" t="e">
        <f t="shared" ca="1" si="23"/>
        <v>#NAME?</v>
      </c>
      <c r="AC88" s="1" t="e">
        <f ca="1"/>
        <v>#NAME?</v>
      </c>
      <c r="AD88" s="1" t="e">
        <f t="shared" ca="1" si="24"/>
        <v>#NAME?</v>
      </c>
      <c r="AE88" s="1" t="e">
        <f ca="1"/>
        <v>#NAME?</v>
      </c>
      <c r="AF88" s="1" t="e">
        <f t="shared" ca="1" si="25"/>
        <v>#NAME?</v>
      </c>
      <c r="AG88" s="1" t="e">
        <f ca="1"/>
        <v>#NAME?</v>
      </c>
      <c r="AH88" s="1" t="e">
        <f t="shared" ca="1" si="26"/>
        <v>#NAME?</v>
      </c>
      <c r="AI88" s="1" t="e">
        <f ca="1"/>
        <v>#NAME?</v>
      </c>
      <c r="AJ88" s="1" t="e">
        <f t="shared" ca="1" si="35"/>
        <v>#NAME?</v>
      </c>
      <c r="AK88" s="1" t="e">
        <f ca="1"/>
        <v>#NAME?</v>
      </c>
      <c r="AL88" s="1" t="e">
        <f t="shared" ca="1" si="27"/>
        <v>#NAME?</v>
      </c>
      <c r="AN88" s="1">
        <f t="shared" si="17"/>
        <v>4.0380539890638074</v>
      </c>
      <c r="AO88" s="1" t="e">
        <f ca="1"/>
        <v>#NAME?</v>
      </c>
      <c r="AP88" s="1" t="e">
        <f t="shared" ca="1" si="18"/>
        <v>#NAME?</v>
      </c>
    </row>
    <row r="89" spans="1:42" x14ac:dyDescent="0.25">
      <c r="A89" s="1" t="s">
        <v>104</v>
      </c>
      <c r="B89" s="1">
        <v>88</v>
      </c>
      <c r="C89" s="1">
        <v>29910.953950360101</v>
      </c>
      <c r="D89" s="1">
        <f t="shared" si="28"/>
        <v>4.4758302642105479</v>
      </c>
      <c r="E89" s="1">
        <v>18613.3354698726</v>
      </c>
      <c r="F89" s="1">
        <f t="shared" si="29"/>
        <v>4.2698242047461132</v>
      </c>
      <c r="G89" s="1">
        <v>4029.5708587588701</v>
      </c>
      <c r="H89" s="1">
        <f t="shared" si="30"/>
        <v>3.6052587971096357</v>
      </c>
      <c r="I89" s="1">
        <v>7634.3919308107697</v>
      </c>
      <c r="J89" s="1">
        <f t="shared" si="31"/>
        <v>0.25523732688301165</v>
      </c>
      <c r="K89" s="1">
        <f t="shared" si="32"/>
        <v>3.8827744517905969</v>
      </c>
      <c r="L89" s="1">
        <v>1757.9026690861499</v>
      </c>
      <c r="M89" s="1">
        <f t="shared" si="33"/>
        <v>3.244994825544929</v>
      </c>
      <c r="N89" s="1">
        <v>1843.61398509331</v>
      </c>
      <c r="O89" s="1">
        <f t="shared" si="34"/>
        <v>3.2656699938904392</v>
      </c>
      <c r="P89" s="1">
        <v>-85.711316007154807</v>
      </c>
      <c r="Q89" s="1" t="e">
        <f ca="1"/>
        <v>#NAME?</v>
      </c>
      <c r="R89" s="1" t="e">
        <f t="shared" ca="1" si="19"/>
        <v>#NAME?</v>
      </c>
      <c r="S89" s="4">
        <v>1200996000000</v>
      </c>
      <c r="T89" s="1">
        <v>91148.666666666701</v>
      </c>
      <c r="U89" s="1" t="e">
        <f ca="1"/>
        <v>#NAME?</v>
      </c>
      <c r="V89" s="1" t="e">
        <f t="shared" ca="1" si="20"/>
        <v>#NAME?</v>
      </c>
      <c r="W89" s="1" t="e">
        <f ca="1"/>
        <v>#NAME?</v>
      </c>
      <c r="X89" s="1" t="e">
        <f t="shared" ca="1" si="21"/>
        <v>#NAME?</v>
      </c>
      <c r="Y89" s="1" t="e">
        <f ca="1"/>
        <v>#NAME?</v>
      </c>
      <c r="Z89" s="1" t="e">
        <f t="shared" ca="1" si="22"/>
        <v>#NAME?</v>
      </c>
      <c r="AA89" s="1" t="e">
        <f ca="1"/>
        <v>#NAME?</v>
      </c>
      <c r="AB89" s="1" t="e">
        <f t="shared" ca="1" si="23"/>
        <v>#NAME?</v>
      </c>
      <c r="AC89" s="1" t="e">
        <f ca="1"/>
        <v>#NAME?</v>
      </c>
      <c r="AD89" s="1" t="e">
        <f t="shared" ca="1" si="24"/>
        <v>#NAME?</v>
      </c>
      <c r="AE89" s="1" t="e">
        <f ca="1"/>
        <v>#NAME?</v>
      </c>
      <c r="AF89" s="1" t="e">
        <f t="shared" ca="1" si="25"/>
        <v>#NAME?</v>
      </c>
      <c r="AG89" s="1" t="e">
        <f ca="1"/>
        <v>#NAME?</v>
      </c>
      <c r="AH89" s="1" t="e">
        <f t="shared" ca="1" si="26"/>
        <v>#NAME?</v>
      </c>
      <c r="AI89" s="1" t="e">
        <f ca="1"/>
        <v>#NAME?</v>
      </c>
      <c r="AJ89" s="1" t="e">
        <f t="shared" ca="1" si="35"/>
        <v>#NAME?</v>
      </c>
      <c r="AK89" s="1" t="e">
        <f ca="1"/>
        <v>#NAME?</v>
      </c>
      <c r="AL89" s="1" t="e">
        <f t="shared" ca="1" si="27"/>
        <v>#NAME?</v>
      </c>
      <c r="AN89" s="1">
        <f t="shared" si="17"/>
        <v>4.0329550973844732</v>
      </c>
      <c r="AO89" s="1" t="e">
        <f ca="1"/>
        <v>#NAME?</v>
      </c>
      <c r="AP89" s="1" t="e">
        <f t="shared" ca="1" si="18"/>
        <v>#NAME?</v>
      </c>
    </row>
    <row r="90" spans="1:42" x14ac:dyDescent="0.25">
      <c r="A90" s="1" t="s">
        <v>105</v>
      </c>
      <c r="B90" s="1">
        <v>89</v>
      </c>
      <c r="C90" s="1">
        <v>29383.664296981398</v>
      </c>
      <c r="D90" s="1">
        <f t="shared" si="28"/>
        <v>4.4681059536301397</v>
      </c>
      <c r="E90" s="1">
        <v>18710.5728300093</v>
      </c>
      <c r="F90" s="1">
        <f t="shared" si="29"/>
        <v>4.2720870837642471</v>
      </c>
      <c r="G90" s="1">
        <v>3640.65342812075</v>
      </c>
      <c r="H90" s="1">
        <f t="shared" si="30"/>
        <v>3.5611793382531931</v>
      </c>
      <c r="I90" s="1">
        <v>7609.6717733745299</v>
      </c>
      <c r="J90" s="1">
        <f t="shared" si="31"/>
        <v>0.25897626982337518</v>
      </c>
      <c r="K90" s="1">
        <f t="shared" si="32"/>
        <v>3.8813659248275454</v>
      </c>
      <c r="L90" s="1">
        <v>1678.0353940232101</v>
      </c>
      <c r="M90" s="1">
        <f t="shared" si="33"/>
        <v>3.2248011169616086</v>
      </c>
      <c r="N90" s="1">
        <v>1787.15616154195</v>
      </c>
      <c r="O90" s="1">
        <f t="shared" si="34"/>
        <v>3.2521625027758239</v>
      </c>
      <c r="P90" s="1">
        <v>-109.120767518745</v>
      </c>
      <c r="Q90" s="1" t="e">
        <f ca="1"/>
        <v>#NAME?</v>
      </c>
      <c r="R90" s="1" t="e">
        <f t="shared" ca="1" si="19"/>
        <v>#NAME?</v>
      </c>
      <c r="S90" s="4">
        <v>1168917000000</v>
      </c>
      <c r="T90" s="1">
        <v>90520.666666666701</v>
      </c>
      <c r="U90" s="1" t="e">
        <f ca="1"/>
        <v>#NAME?</v>
      </c>
      <c r="V90" s="1" t="e">
        <f t="shared" ca="1" si="20"/>
        <v>#NAME?</v>
      </c>
      <c r="W90" s="1" t="e">
        <f ca="1"/>
        <v>#NAME?</v>
      </c>
      <c r="X90" s="1" t="e">
        <f t="shared" ca="1" si="21"/>
        <v>#NAME?</v>
      </c>
      <c r="Y90" s="1" t="e">
        <f ca="1"/>
        <v>#NAME?</v>
      </c>
      <c r="Z90" s="1" t="e">
        <f t="shared" ca="1" si="22"/>
        <v>#NAME?</v>
      </c>
      <c r="AA90" s="1" t="e">
        <f ca="1"/>
        <v>#NAME?</v>
      </c>
      <c r="AB90" s="1" t="e">
        <f t="shared" ca="1" si="23"/>
        <v>#NAME?</v>
      </c>
      <c r="AC90" s="1" t="e">
        <f ca="1"/>
        <v>#NAME?</v>
      </c>
      <c r="AD90" s="1" t="e">
        <f t="shared" ca="1" si="24"/>
        <v>#NAME?</v>
      </c>
      <c r="AE90" s="1" t="e">
        <f ca="1"/>
        <v>#NAME?</v>
      </c>
      <c r="AF90" s="1" t="e">
        <f t="shared" ca="1" si="25"/>
        <v>#NAME?</v>
      </c>
      <c r="AG90" s="1" t="e">
        <f ca="1"/>
        <v>#NAME?</v>
      </c>
      <c r="AH90" s="1" t="e">
        <f t="shared" ca="1" si="26"/>
        <v>#NAME?</v>
      </c>
      <c r="AI90" s="1" t="e">
        <f ca="1"/>
        <v>#NAME?</v>
      </c>
      <c r="AJ90" s="1" t="e">
        <f t="shared" ca="1" si="35"/>
        <v>#NAME?</v>
      </c>
      <c r="AK90" s="1" t="e">
        <f ca="1"/>
        <v>#NAME?</v>
      </c>
      <c r="AL90" s="1" t="e">
        <f t="shared" ca="1" si="27"/>
        <v>#NAME?</v>
      </c>
      <c r="AN90" s="1">
        <f t="shared" si="17"/>
        <v>4.0313852746831502</v>
      </c>
      <c r="AO90" s="1" t="e">
        <f ca="1"/>
        <v>#NAME?</v>
      </c>
      <c r="AP90" s="1" t="e">
        <f t="shared" ca="1" si="18"/>
        <v>#NAME?</v>
      </c>
    </row>
    <row r="91" spans="1:42" x14ac:dyDescent="0.25">
      <c r="A91" s="1" t="s">
        <v>106</v>
      </c>
      <c r="B91" s="1">
        <v>90</v>
      </c>
      <c r="C91" s="1">
        <v>29452.670478556</v>
      </c>
      <c r="D91" s="1">
        <f t="shared" si="28"/>
        <v>4.4691246784616894</v>
      </c>
      <c r="E91" s="1">
        <v>18726.212344656898</v>
      </c>
      <c r="F91" s="1">
        <f t="shared" si="29"/>
        <v>4.2724499437306962</v>
      </c>
      <c r="G91" s="1">
        <v>3629.87158590118</v>
      </c>
      <c r="H91" s="1">
        <f t="shared" si="30"/>
        <v>3.5598912612562268</v>
      </c>
      <c r="I91" s="1">
        <v>7621.7605409088201</v>
      </c>
      <c r="J91" s="1">
        <f t="shared" si="31"/>
        <v>0.25877994820395311</v>
      </c>
      <c r="K91" s="1">
        <f t="shared" si="32"/>
        <v>3.8820553000651716</v>
      </c>
      <c r="L91" s="1">
        <v>1684.32468327685</v>
      </c>
      <c r="M91" s="1">
        <f t="shared" si="33"/>
        <v>3.2264258131515908</v>
      </c>
      <c r="N91" s="1">
        <v>1754.0210257604399</v>
      </c>
      <c r="O91" s="1">
        <f t="shared" si="34"/>
        <v>3.2440347950260349</v>
      </c>
      <c r="P91" s="1">
        <v>-69.696342483592304</v>
      </c>
      <c r="Q91" s="1" t="e">
        <f ca="1"/>
        <v>#NAME?</v>
      </c>
      <c r="R91" s="1" t="e">
        <f t="shared" ca="1" si="19"/>
        <v>#NAME?</v>
      </c>
      <c r="S91" s="4">
        <v>1143141000000</v>
      </c>
      <c r="T91" s="1">
        <v>90040.666666666701</v>
      </c>
      <c r="U91" s="1" t="e">
        <f ca="1"/>
        <v>#NAME?</v>
      </c>
      <c r="V91" s="1" t="e">
        <f t="shared" ca="1" si="20"/>
        <v>#NAME?</v>
      </c>
      <c r="W91" s="1" t="e">
        <f ca="1"/>
        <v>#NAME?</v>
      </c>
      <c r="X91" s="1" t="e">
        <f t="shared" ca="1" si="21"/>
        <v>#NAME?</v>
      </c>
      <c r="Y91" s="1" t="e">
        <f ca="1"/>
        <v>#NAME?</v>
      </c>
      <c r="Z91" s="1" t="e">
        <f t="shared" ca="1" si="22"/>
        <v>#NAME?</v>
      </c>
      <c r="AA91" s="1" t="e">
        <f ca="1"/>
        <v>#NAME?</v>
      </c>
      <c r="AB91" s="1" t="e">
        <f t="shared" ca="1" si="23"/>
        <v>#NAME?</v>
      </c>
      <c r="AC91" s="1" t="e">
        <f ca="1"/>
        <v>#NAME?</v>
      </c>
      <c r="AD91" s="1" t="e">
        <f t="shared" ca="1" si="24"/>
        <v>#NAME?</v>
      </c>
      <c r="AE91" s="1" t="e">
        <f ca="1"/>
        <v>#NAME?</v>
      </c>
      <c r="AF91" s="1" t="e">
        <f t="shared" ca="1" si="25"/>
        <v>#NAME?</v>
      </c>
      <c r="AG91" s="1" t="e">
        <f ca="1"/>
        <v>#NAME?</v>
      </c>
      <c r="AH91" s="1" t="e">
        <f t="shared" ca="1" si="26"/>
        <v>#NAME?</v>
      </c>
      <c r="AI91" s="1" t="e">
        <f ca="1"/>
        <v>#NAME?</v>
      </c>
      <c r="AJ91" s="1" t="e">
        <f t="shared" ca="1" si="35"/>
        <v>#NAME?</v>
      </c>
      <c r="AK91" s="1" t="e">
        <f ca="1"/>
        <v>#NAME?</v>
      </c>
      <c r="AL91" s="1" t="e">
        <f t="shared" ca="1" si="27"/>
        <v>#NAME?</v>
      </c>
      <c r="AN91" s="1">
        <f t="shared" si="17"/>
        <v>4.0373679807248246</v>
      </c>
      <c r="AO91" s="1" t="e">
        <f ca="1"/>
        <v>#NAME?</v>
      </c>
      <c r="AP91" s="1" t="e">
        <f t="shared" ca="1" si="18"/>
        <v>#NAME?</v>
      </c>
    </row>
    <row r="92" spans="1:42" x14ac:dyDescent="0.25">
      <c r="A92" s="1" t="s">
        <v>107</v>
      </c>
      <c r="B92" s="1">
        <v>91</v>
      </c>
      <c r="C92" s="1">
        <v>29265.365723576098</v>
      </c>
      <c r="D92" s="1">
        <f t="shared" si="28"/>
        <v>4.4663539557776746</v>
      </c>
      <c r="E92" s="1">
        <v>18803.744548340201</v>
      </c>
      <c r="F92" s="1">
        <f t="shared" si="29"/>
        <v>4.274244342601313</v>
      </c>
      <c r="G92" s="1">
        <v>3587.4502146254999</v>
      </c>
      <c r="H92" s="1">
        <f t="shared" si="30"/>
        <v>3.5547858827975323</v>
      </c>
      <c r="I92" s="1">
        <v>7663.3046305774697</v>
      </c>
      <c r="J92" s="1">
        <f t="shared" si="31"/>
        <v>0.26185576161803892</v>
      </c>
      <c r="K92" s="1">
        <f t="shared" si="32"/>
        <v>3.8844160899112743</v>
      </c>
      <c r="L92" s="1">
        <v>1605.53209059863</v>
      </c>
      <c r="M92" s="1">
        <f t="shared" si="33"/>
        <v>3.2056189904572547</v>
      </c>
      <c r="N92" s="1">
        <v>1830.7039200337199</v>
      </c>
      <c r="O92" s="1">
        <f t="shared" si="34"/>
        <v>3.2626181114818693</v>
      </c>
      <c r="P92" s="1">
        <v>-225.17182943509201</v>
      </c>
      <c r="Q92" s="1" t="e">
        <f ca="1"/>
        <v>#NAME?</v>
      </c>
      <c r="R92" s="1" t="e">
        <f t="shared" ca="1" si="19"/>
        <v>#NAME?</v>
      </c>
      <c r="S92" s="4">
        <v>1121696000000</v>
      </c>
      <c r="T92" s="1">
        <v>89355.666666666701</v>
      </c>
      <c r="U92" s="1" t="e">
        <f ca="1"/>
        <v>#NAME?</v>
      </c>
      <c r="V92" s="1" t="e">
        <f t="shared" ca="1" si="20"/>
        <v>#NAME?</v>
      </c>
      <c r="W92" s="1" t="e">
        <f ca="1"/>
        <v>#NAME?</v>
      </c>
      <c r="X92" s="1" t="e">
        <f t="shared" ca="1" si="21"/>
        <v>#NAME?</v>
      </c>
      <c r="Y92" s="1" t="e">
        <f ca="1"/>
        <v>#NAME?</v>
      </c>
      <c r="Z92" s="1" t="e">
        <f t="shared" ca="1" si="22"/>
        <v>#NAME?</v>
      </c>
      <c r="AA92" s="1" t="e">
        <f ca="1"/>
        <v>#NAME?</v>
      </c>
      <c r="AB92" s="1" t="e">
        <f t="shared" ca="1" si="23"/>
        <v>#NAME?</v>
      </c>
      <c r="AC92" s="1" t="e">
        <f ca="1"/>
        <v>#NAME?</v>
      </c>
      <c r="AD92" s="1" t="e">
        <f t="shared" ca="1" si="24"/>
        <v>#NAME?</v>
      </c>
      <c r="AE92" s="1" t="e">
        <f ca="1"/>
        <v>#NAME?</v>
      </c>
      <c r="AF92" s="1" t="e">
        <f t="shared" ca="1" si="25"/>
        <v>#NAME?</v>
      </c>
      <c r="AG92" s="1" t="e">
        <f ca="1"/>
        <v>#NAME?</v>
      </c>
      <c r="AH92" s="1" t="e">
        <f t="shared" ca="1" si="26"/>
        <v>#NAME?</v>
      </c>
      <c r="AI92" s="1" t="e">
        <f ca="1"/>
        <v>#NAME?</v>
      </c>
      <c r="AJ92" s="1" t="e">
        <f t="shared" ca="1" si="35"/>
        <v>#NAME?</v>
      </c>
      <c r="AK92" s="1" t="e">
        <f ca="1"/>
        <v>#NAME?</v>
      </c>
      <c r="AL92" s="1" t="e">
        <f t="shared" ca="1" si="27"/>
        <v>#NAME?</v>
      </c>
      <c r="AN92" s="1">
        <f t="shared" si="17"/>
        <v>4.0396807505659327</v>
      </c>
      <c r="AO92" s="1" t="e">
        <f ca="1"/>
        <v>#NAME?</v>
      </c>
      <c r="AP92" s="1" t="e">
        <f t="shared" ca="1" si="18"/>
        <v>#NAME?</v>
      </c>
    </row>
    <row r="93" spans="1:42" x14ac:dyDescent="0.25">
      <c r="A93" s="1" t="s">
        <v>108</v>
      </c>
      <c r="B93" s="1">
        <v>92</v>
      </c>
      <c r="C93" s="1">
        <v>29204.703227301201</v>
      </c>
      <c r="D93" s="1">
        <f t="shared" si="28"/>
        <v>4.4654527973793314</v>
      </c>
      <c r="E93" s="1">
        <v>19085.8439808816</v>
      </c>
      <c r="F93" s="1">
        <f t="shared" si="29"/>
        <v>4.2807113693223418</v>
      </c>
      <c r="G93" s="1">
        <v>3301.9641830491601</v>
      </c>
      <c r="H93" s="1">
        <f t="shared" si="30"/>
        <v>3.5187723580883521</v>
      </c>
      <c r="I93" s="1">
        <v>7762.2171499180504</v>
      </c>
      <c r="J93" s="1">
        <f t="shared" si="31"/>
        <v>0.26578654436254495</v>
      </c>
      <c r="K93" s="1">
        <f t="shared" si="32"/>
        <v>3.8899857880680018</v>
      </c>
      <c r="L93" s="1">
        <v>1528.1756008821201</v>
      </c>
      <c r="M93" s="1">
        <f t="shared" si="33"/>
        <v>3.184173261381253</v>
      </c>
      <c r="N93" s="1">
        <v>1754.50286175206</v>
      </c>
      <c r="O93" s="1">
        <f t="shared" si="34"/>
        <v>3.2441540809253859</v>
      </c>
      <c r="P93" s="1">
        <v>-226.32726086993799</v>
      </c>
      <c r="Q93" s="1" t="e">
        <f ca="1"/>
        <v>#NAME?</v>
      </c>
      <c r="R93" s="1" t="e">
        <f t="shared" ca="1" si="19"/>
        <v>#NAME?</v>
      </c>
      <c r="S93" s="4">
        <v>1129354000000</v>
      </c>
      <c r="T93" s="1">
        <v>88821.333333333299</v>
      </c>
      <c r="U93" s="1" t="e">
        <f ca="1"/>
        <v>#NAME?</v>
      </c>
      <c r="V93" s="1" t="e">
        <f t="shared" ca="1" si="20"/>
        <v>#NAME?</v>
      </c>
      <c r="W93" s="1" t="e">
        <f ca="1"/>
        <v>#NAME?</v>
      </c>
      <c r="X93" s="1" t="e">
        <f t="shared" ca="1" si="21"/>
        <v>#NAME?</v>
      </c>
      <c r="Y93" s="1" t="e">
        <f ca="1"/>
        <v>#NAME?</v>
      </c>
      <c r="Z93" s="1" t="e">
        <f t="shared" ca="1" si="22"/>
        <v>#NAME?</v>
      </c>
      <c r="AA93" s="1" t="e">
        <f ca="1"/>
        <v>#NAME?</v>
      </c>
      <c r="AB93" s="1" t="e">
        <f t="shared" ca="1" si="23"/>
        <v>#NAME?</v>
      </c>
      <c r="AC93" s="1" t="e">
        <f ca="1"/>
        <v>#NAME?</v>
      </c>
      <c r="AD93" s="1" t="e">
        <f t="shared" ca="1" si="24"/>
        <v>#NAME?</v>
      </c>
      <c r="AE93" s="1" t="e">
        <f ca="1"/>
        <v>#NAME?</v>
      </c>
      <c r="AF93" s="1" t="e">
        <f t="shared" ca="1" si="25"/>
        <v>#NAME?</v>
      </c>
      <c r="AG93" s="1" t="e">
        <f ca="1"/>
        <v>#NAME?</v>
      </c>
      <c r="AH93" s="1" t="e">
        <f t="shared" ca="1" si="26"/>
        <v>#NAME?</v>
      </c>
      <c r="AI93" s="1" t="e">
        <f ca="1"/>
        <v>#NAME?</v>
      </c>
      <c r="AJ93" s="1" t="e">
        <f t="shared" ca="1" si="35"/>
        <v>#NAME?</v>
      </c>
      <c r="AK93" s="1" t="e">
        <f ca="1"/>
        <v>#NAME?</v>
      </c>
      <c r="AL93" s="1" t="e">
        <f t="shared" ca="1" si="27"/>
        <v>#NAME?</v>
      </c>
      <c r="AN93" s="1">
        <f t="shared" si="17"/>
        <v>4.0393828989084124</v>
      </c>
      <c r="AO93" s="1" t="e">
        <f ca="1"/>
        <v>#NAME?</v>
      </c>
      <c r="AP93" s="1" t="e">
        <f t="shared" ca="1" si="18"/>
        <v>#NAME?</v>
      </c>
    </row>
    <row r="94" spans="1:42" x14ac:dyDescent="0.25">
      <c r="A94" s="1" t="s">
        <v>109</v>
      </c>
      <c r="B94" s="1">
        <v>93</v>
      </c>
      <c r="C94" s="1">
        <v>29529.775718702102</v>
      </c>
      <c r="D94" s="1">
        <f t="shared" si="28"/>
        <v>4.4702601484720219</v>
      </c>
      <c r="E94" s="1">
        <v>19235.589562655801</v>
      </c>
      <c r="F94" s="1">
        <f t="shared" si="29"/>
        <v>4.2841055017883658</v>
      </c>
      <c r="G94" s="1">
        <v>3409.4610911769</v>
      </c>
      <c r="H94" s="1">
        <f t="shared" si="30"/>
        <v>3.5326857386335369</v>
      </c>
      <c r="I94" s="1">
        <v>7820.9774519794801</v>
      </c>
      <c r="J94" s="1">
        <f t="shared" si="31"/>
        <v>0.26485055377600508</v>
      </c>
      <c r="K94" s="1">
        <f t="shared" si="32"/>
        <v>3.8932610338108904</v>
      </c>
      <c r="L94" s="1">
        <v>1549.68614320091</v>
      </c>
      <c r="M94" s="1">
        <f t="shared" si="33"/>
        <v>3.1902437497328555</v>
      </c>
      <c r="N94" s="1">
        <v>1791.0861243609399</v>
      </c>
      <c r="O94" s="1">
        <f t="shared" si="34"/>
        <v>3.2531164693975687</v>
      </c>
      <c r="P94" s="1">
        <v>-241.39998116002801</v>
      </c>
      <c r="Q94" s="1" t="e">
        <f ca="1"/>
        <v>#NAME?</v>
      </c>
      <c r="R94" s="1" t="e">
        <f t="shared" ca="1" si="19"/>
        <v>#NAME?</v>
      </c>
      <c r="S94" s="4">
        <v>1150482000000</v>
      </c>
      <c r="T94" s="1">
        <v>88999</v>
      </c>
      <c r="U94" s="1" t="e">
        <f ca="1"/>
        <v>#NAME?</v>
      </c>
      <c r="V94" s="1" t="e">
        <f t="shared" ca="1" si="20"/>
        <v>#NAME?</v>
      </c>
      <c r="W94" s="1" t="e">
        <f ca="1"/>
        <v>#NAME?</v>
      </c>
      <c r="X94" s="1" t="e">
        <f t="shared" ca="1" si="21"/>
        <v>#NAME?</v>
      </c>
      <c r="Y94" s="1" t="e">
        <f ca="1"/>
        <v>#NAME?</v>
      </c>
      <c r="Z94" s="1" t="e">
        <f t="shared" ca="1" si="22"/>
        <v>#NAME?</v>
      </c>
      <c r="AA94" s="1" t="e">
        <f ca="1"/>
        <v>#NAME?</v>
      </c>
      <c r="AB94" s="1" t="e">
        <f t="shared" ca="1" si="23"/>
        <v>#NAME?</v>
      </c>
      <c r="AC94" s="1" t="e">
        <f ca="1"/>
        <v>#NAME?</v>
      </c>
      <c r="AD94" s="1" t="e">
        <f t="shared" ca="1" si="24"/>
        <v>#NAME?</v>
      </c>
      <c r="AE94" s="1" t="e">
        <f ca="1"/>
        <v>#NAME?</v>
      </c>
      <c r="AF94" s="1" t="e">
        <f t="shared" ca="1" si="25"/>
        <v>#NAME?</v>
      </c>
      <c r="AG94" s="1" t="e">
        <f ca="1"/>
        <v>#NAME?</v>
      </c>
      <c r="AH94" s="1" t="e">
        <f t="shared" ca="1" si="26"/>
        <v>#NAME?</v>
      </c>
      <c r="AI94" s="1" t="e">
        <f ca="1"/>
        <v>#NAME?</v>
      </c>
      <c r="AJ94" s="1" t="e">
        <f t="shared" ca="1" si="35"/>
        <v>#NAME?</v>
      </c>
      <c r="AK94" s="1" t="e">
        <f ca="1"/>
        <v>#NAME?</v>
      </c>
      <c r="AL94" s="1" t="e">
        <f t="shared" ca="1" si="27"/>
        <v>#NAME?</v>
      </c>
      <c r="AN94" s="1">
        <f t="shared" si="17"/>
        <v>4.0407369290822546</v>
      </c>
      <c r="AO94" s="1" t="e">
        <f ca="1"/>
        <v>#NAME?</v>
      </c>
      <c r="AP94" s="1" t="e">
        <f t="shared" ca="1" si="18"/>
        <v>#NAME?</v>
      </c>
    </row>
    <row r="95" spans="1:42" x14ac:dyDescent="0.25">
      <c r="A95" s="1" t="s">
        <v>110</v>
      </c>
      <c r="B95" s="1">
        <v>94</v>
      </c>
      <c r="C95" s="1">
        <v>30139.55595057</v>
      </c>
      <c r="D95" s="1">
        <f t="shared" si="28"/>
        <v>4.4791368495168422</v>
      </c>
      <c r="E95" s="1">
        <v>19586.857128206899</v>
      </c>
      <c r="F95" s="1">
        <f t="shared" si="29"/>
        <v>4.2919647554751617</v>
      </c>
      <c r="G95" s="1">
        <v>3703.76194301537</v>
      </c>
      <c r="H95" s="1">
        <f t="shared" si="30"/>
        <v>3.5686430649004759</v>
      </c>
      <c r="I95" s="1">
        <v>7869.1780470712902</v>
      </c>
      <c r="J95" s="1">
        <f t="shared" si="31"/>
        <v>0.26109137307719588</v>
      </c>
      <c r="K95" s="1">
        <f t="shared" si="32"/>
        <v>3.8959293717156331</v>
      </c>
      <c r="L95" s="1">
        <v>1551.12208795529</v>
      </c>
      <c r="M95" s="1">
        <f t="shared" si="33"/>
        <v>3.1906459822356319</v>
      </c>
      <c r="N95" s="1">
        <v>1924.8337805732599</v>
      </c>
      <c r="O95" s="1">
        <f t="shared" si="34"/>
        <v>3.2843932318722384</v>
      </c>
      <c r="P95" s="1">
        <v>-373.71169261797701</v>
      </c>
      <c r="Q95" s="1" t="e">
        <f ca="1"/>
        <v>#NAME?</v>
      </c>
      <c r="R95" s="1" t="e">
        <f t="shared" ca="1" si="19"/>
        <v>#NAME?</v>
      </c>
      <c r="S95" s="4">
        <v>1186910000000</v>
      </c>
      <c r="T95" s="1">
        <v>89676.333333333299</v>
      </c>
      <c r="U95" s="1" t="e">
        <f ca="1"/>
        <v>#NAME?</v>
      </c>
      <c r="V95" s="1" t="e">
        <f t="shared" ca="1" si="20"/>
        <v>#NAME?</v>
      </c>
      <c r="W95" s="1" t="e">
        <f ca="1"/>
        <v>#NAME?</v>
      </c>
      <c r="X95" s="1" t="e">
        <f t="shared" ca="1" si="21"/>
        <v>#NAME?</v>
      </c>
      <c r="Y95" s="1" t="e">
        <f ca="1"/>
        <v>#NAME?</v>
      </c>
      <c r="Z95" s="1" t="e">
        <f t="shared" ca="1" si="22"/>
        <v>#NAME?</v>
      </c>
      <c r="AA95" s="1" t="e">
        <f ca="1"/>
        <v>#NAME?</v>
      </c>
      <c r="AB95" s="1" t="e">
        <f t="shared" ca="1" si="23"/>
        <v>#NAME?</v>
      </c>
      <c r="AC95" s="1" t="e">
        <f ca="1"/>
        <v>#NAME?</v>
      </c>
      <c r="AD95" s="1" t="e">
        <f t="shared" ca="1" si="24"/>
        <v>#NAME?</v>
      </c>
      <c r="AE95" s="1" t="e">
        <f ca="1"/>
        <v>#NAME?</v>
      </c>
      <c r="AF95" s="1" t="e">
        <f t="shared" ca="1" si="25"/>
        <v>#NAME?</v>
      </c>
      <c r="AG95" s="1" t="e">
        <f ca="1"/>
        <v>#NAME?</v>
      </c>
      <c r="AH95" s="1" t="e">
        <f t="shared" ca="1" si="26"/>
        <v>#NAME?</v>
      </c>
      <c r="AI95" s="1" t="e">
        <f ca="1"/>
        <v>#NAME?</v>
      </c>
      <c r="AJ95" s="1" t="e">
        <f t="shared" ca="1" si="35"/>
        <v>#NAME?</v>
      </c>
      <c r="AK95" s="1" t="e">
        <f ca="1"/>
        <v>#NAME?</v>
      </c>
      <c r="AL95" s="1" t="e">
        <f t="shared" ca="1" si="27"/>
        <v>#NAME?</v>
      </c>
      <c r="AN95" s="1">
        <f t="shared" si="17"/>
        <v>4.0426326262453607</v>
      </c>
      <c r="AO95" s="1" t="e">
        <f ca="1"/>
        <v>#NAME?</v>
      </c>
      <c r="AP95" s="1" t="e">
        <f t="shared" ca="1" si="18"/>
        <v>#NAME?</v>
      </c>
    </row>
    <row r="96" spans="1:42" x14ac:dyDescent="0.25">
      <c r="A96" s="1" t="s">
        <v>111</v>
      </c>
      <c r="B96" s="1">
        <v>95</v>
      </c>
      <c r="C96" s="1">
        <v>30666.717816907701</v>
      </c>
      <c r="D96" s="1">
        <f t="shared" si="28"/>
        <v>4.4866672970035744</v>
      </c>
      <c r="E96" s="1">
        <v>19889.2171029356</v>
      </c>
      <c r="F96" s="1">
        <f t="shared" si="29"/>
        <v>4.2986176883749776</v>
      </c>
      <c r="G96" s="1">
        <v>3925.9983887674098</v>
      </c>
      <c r="H96" s="1">
        <f t="shared" si="30"/>
        <v>3.5939501170292534</v>
      </c>
      <c r="I96" s="1">
        <v>7985.3880811413301</v>
      </c>
      <c r="J96" s="1">
        <f t="shared" si="31"/>
        <v>0.26039265528242117</v>
      </c>
      <c r="K96" s="1">
        <f t="shared" si="32"/>
        <v>3.9022960272249936</v>
      </c>
      <c r="L96" s="1">
        <v>1570.5809388626701</v>
      </c>
      <c r="M96" s="1">
        <f t="shared" si="33"/>
        <v>3.1960603223936537</v>
      </c>
      <c r="N96" s="1">
        <v>2069.6922034245099</v>
      </c>
      <c r="O96" s="1">
        <f t="shared" si="34"/>
        <v>3.3159057636725908</v>
      </c>
      <c r="P96" s="1">
        <v>-499.11126456183399</v>
      </c>
      <c r="Q96" s="1" t="e">
        <f ca="1"/>
        <v>#NAME?</v>
      </c>
      <c r="R96" s="1" t="e">
        <f t="shared" ca="1" si="19"/>
        <v>#NAME?</v>
      </c>
      <c r="S96" s="4">
        <v>1248512000000</v>
      </c>
      <c r="T96" s="1">
        <v>90604.333333333299</v>
      </c>
      <c r="U96" s="1" t="e">
        <f ca="1"/>
        <v>#NAME?</v>
      </c>
      <c r="V96" s="1" t="e">
        <f t="shared" ca="1" si="20"/>
        <v>#NAME?</v>
      </c>
      <c r="W96" s="1" t="e">
        <f ca="1"/>
        <v>#NAME?</v>
      </c>
      <c r="X96" s="1" t="e">
        <f t="shared" ca="1" si="21"/>
        <v>#NAME?</v>
      </c>
      <c r="Y96" s="1" t="e">
        <f ca="1"/>
        <v>#NAME?</v>
      </c>
      <c r="Z96" s="1" t="e">
        <f t="shared" ca="1" si="22"/>
        <v>#NAME?</v>
      </c>
      <c r="AA96" s="1" t="e">
        <f ca="1"/>
        <v>#NAME?</v>
      </c>
      <c r="AB96" s="1" t="e">
        <f t="shared" ca="1" si="23"/>
        <v>#NAME?</v>
      </c>
      <c r="AC96" s="1" t="e">
        <f ca="1"/>
        <v>#NAME?</v>
      </c>
      <c r="AD96" s="1" t="e">
        <f t="shared" ca="1" si="24"/>
        <v>#NAME?</v>
      </c>
      <c r="AE96" s="1" t="e">
        <f ca="1"/>
        <v>#NAME?</v>
      </c>
      <c r="AF96" s="1" t="e">
        <f t="shared" ca="1" si="25"/>
        <v>#NAME?</v>
      </c>
      <c r="AG96" s="1" t="e">
        <f ca="1"/>
        <v>#NAME?</v>
      </c>
      <c r="AH96" s="1" t="e">
        <f t="shared" ca="1" si="26"/>
        <v>#NAME?</v>
      </c>
      <c r="AI96" s="1" t="e">
        <f ca="1"/>
        <v>#NAME?</v>
      </c>
      <c r="AJ96" s="1" t="e">
        <f t="shared" ca="1" si="35"/>
        <v>#NAME?</v>
      </c>
      <c r="AK96" s="1" t="e">
        <f ca="1"/>
        <v>#NAME?</v>
      </c>
      <c r="AL96" s="1" t="e">
        <f t="shared" ca="1" si="27"/>
        <v>#NAME?</v>
      </c>
      <c r="AN96" s="1">
        <f t="shared" si="17"/>
        <v>4.0393905772062393</v>
      </c>
      <c r="AO96" s="1" t="e">
        <f ca="1"/>
        <v>#NAME?</v>
      </c>
      <c r="AP96" s="1" t="e">
        <f t="shared" ca="1" si="18"/>
        <v>#NAME?</v>
      </c>
    </row>
    <row r="97" spans="1:42" x14ac:dyDescent="0.25">
      <c r="A97" s="1" t="s">
        <v>112</v>
      </c>
      <c r="B97" s="1">
        <v>96</v>
      </c>
      <c r="C97" s="1">
        <v>31233.269403324601</v>
      </c>
      <c r="D97" s="1">
        <f t="shared" si="28"/>
        <v>4.4946174472307057</v>
      </c>
      <c r="E97" s="1">
        <v>20158.905053305702</v>
      </c>
      <c r="F97" s="1">
        <f t="shared" si="29"/>
        <v>4.3044669393696458</v>
      </c>
      <c r="G97" s="1">
        <v>4297.85713981961</v>
      </c>
      <c r="H97" s="1">
        <f t="shared" si="30"/>
        <v>3.6332519755064778</v>
      </c>
      <c r="I97" s="1">
        <v>7839.2238244887403</v>
      </c>
      <c r="J97" s="1">
        <f t="shared" si="31"/>
        <v>0.25098953693442994</v>
      </c>
      <c r="K97" s="1">
        <f t="shared" si="32"/>
        <v>3.8942730645430026</v>
      </c>
      <c r="L97" s="1">
        <v>1598.44016448865</v>
      </c>
      <c r="M97" s="1">
        <f t="shared" si="33"/>
        <v>3.2036963836675909</v>
      </c>
      <c r="N97" s="1">
        <v>2166.1428942008001</v>
      </c>
      <c r="O97" s="1">
        <f t="shared" si="34"/>
        <v>3.3356871023890058</v>
      </c>
      <c r="P97" s="1">
        <v>-567.70272971214501</v>
      </c>
      <c r="Q97" s="1" t="e">
        <f ca="1"/>
        <v>#NAME?</v>
      </c>
      <c r="R97" s="1" t="e">
        <f t="shared" ca="1" si="19"/>
        <v>#NAME?</v>
      </c>
      <c r="S97" s="4">
        <v>1308453000000</v>
      </c>
      <c r="T97" s="1">
        <v>91875</v>
      </c>
      <c r="U97" s="1" t="e">
        <f ca="1"/>
        <v>#NAME?</v>
      </c>
      <c r="V97" s="1" t="e">
        <f t="shared" ca="1" si="20"/>
        <v>#NAME?</v>
      </c>
      <c r="W97" s="1" t="e">
        <f ca="1"/>
        <v>#NAME?</v>
      </c>
      <c r="X97" s="1" t="e">
        <f t="shared" ca="1" si="21"/>
        <v>#NAME?</v>
      </c>
      <c r="Y97" s="1" t="e">
        <f ca="1"/>
        <v>#NAME?</v>
      </c>
      <c r="Z97" s="1" t="e">
        <f t="shared" ca="1" si="22"/>
        <v>#NAME?</v>
      </c>
      <c r="AA97" s="1" t="e">
        <f ca="1"/>
        <v>#NAME?</v>
      </c>
      <c r="AB97" s="1" t="e">
        <f t="shared" ca="1" si="23"/>
        <v>#NAME?</v>
      </c>
      <c r="AC97" s="1" t="e">
        <f ca="1"/>
        <v>#NAME?</v>
      </c>
      <c r="AD97" s="1" t="e">
        <f t="shared" ca="1" si="24"/>
        <v>#NAME?</v>
      </c>
      <c r="AE97" s="1" t="e">
        <f ca="1"/>
        <v>#NAME?</v>
      </c>
      <c r="AF97" s="1" t="e">
        <f t="shared" ca="1" si="25"/>
        <v>#NAME?</v>
      </c>
      <c r="AG97" s="1" t="e">
        <f ca="1"/>
        <v>#NAME?</v>
      </c>
      <c r="AH97" s="1" t="e">
        <f t="shared" ca="1" si="26"/>
        <v>#NAME?</v>
      </c>
      <c r="AI97" s="1" t="e">
        <f ca="1"/>
        <v>#NAME?</v>
      </c>
      <c r="AJ97" s="1" t="e">
        <f t="shared" ca="1" si="35"/>
        <v>#NAME?</v>
      </c>
      <c r="AK97" s="1" t="e">
        <f ca="1"/>
        <v>#NAME?</v>
      </c>
      <c r="AL97" s="1" t="e">
        <f t="shared" ca="1" si="27"/>
        <v>#NAME?</v>
      </c>
      <c r="AN97" s="1">
        <f t="shared" si="17"/>
        <v>4.036138216072283</v>
      </c>
      <c r="AO97" s="1" t="e">
        <f ca="1"/>
        <v>#NAME?</v>
      </c>
      <c r="AP97" s="1" t="e">
        <f t="shared" ca="1" si="18"/>
        <v>#NAME?</v>
      </c>
    </row>
    <row r="98" spans="1:42" x14ac:dyDescent="0.25">
      <c r="A98" s="1" t="s">
        <v>113</v>
      </c>
      <c r="B98" s="1">
        <v>97</v>
      </c>
      <c r="C98" s="1">
        <v>31782.716835381299</v>
      </c>
      <c r="D98" s="1">
        <f t="shared" si="28"/>
        <v>4.5021910186165712</v>
      </c>
      <c r="E98" s="1">
        <v>20287.205280023802</v>
      </c>
      <c r="F98" s="1">
        <f t="shared" si="29"/>
        <v>4.3072222237183757</v>
      </c>
      <c r="G98" s="1">
        <v>4704.1786040194402</v>
      </c>
      <c r="H98" s="1">
        <f t="shared" si="30"/>
        <v>3.6724838022831285</v>
      </c>
      <c r="I98" s="1">
        <v>7907.1114789584299</v>
      </c>
      <c r="J98" s="1">
        <f t="shared" si="31"/>
        <v>0.24878651878356856</v>
      </c>
      <c r="K98" s="1">
        <f t="shared" si="32"/>
        <v>3.8980178617714745</v>
      </c>
      <c r="L98" s="1">
        <v>1628.6708686148399</v>
      </c>
      <c r="M98" s="1">
        <f t="shared" si="33"/>
        <v>3.2118333283929199</v>
      </c>
      <c r="N98" s="1">
        <v>2335.7908363574602</v>
      </c>
      <c r="O98" s="1">
        <f t="shared" si="34"/>
        <v>3.368433950305592</v>
      </c>
      <c r="P98" s="1">
        <v>-707.11996774262002</v>
      </c>
      <c r="Q98" s="1" t="e">
        <f ca="1"/>
        <v>#NAME?</v>
      </c>
      <c r="R98" s="1" t="e">
        <f t="shared" ca="1" si="19"/>
        <v>#NAME?</v>
      </c>
      <c r="S98" s="4">
        <v>1347773000000</v>
      </c>
      <c r="T98" s="1">
        <v>93086.333333333299</v>
      </c>
      <c r="U98" s="1" t="e">
        <f ca="1"/>
        <v>#NAME?</v>
      </c>
      <c r="V98" s="1" t="e">
        <f t="shared" ca="1" si="20"/>
        <v>#NAME?</v>
      </c>
      <c r="W98" s="1" t="e">
        <f ca="1"/>
        <v>#NAME?</v>
      </c>
      <c r="X98" s="1" t="e">
        <f t="shared" ca="1" si="21"/>
        <v>#NAME?</v>
      </c>
      <c r="Y98" s="1" t="e">
        <f ca="1"/>
        <v>#NAME?</v>
      </c>
      <c r="Z98" s="1" t="e">
        <f t="shared" ca="1" si="22"/>
        <v>#NAME?</v>
      </c>
      <c r="AA98" s="1" t="e">
        <f ca="1"/>
        <v>#NAME?</v>
      </c>
      <c r="AB98" s="1" t="e">
        <f t="shared" ca="1" si="23"/>
        <v>#NAME?</v>
      </c>
      <c r="AC98" s="1" t="e">
        <f ca="1"/>
        <v>#NAME?</v>
      </c>
      <c r="AD98" s="1" t="e">
        <f t="shared" ca="1" si="24"/>
        <v>#NAME?</v>
      </c>
      <c r="AE98" s="1" t="e">
        <f ca="1"/>
        <v>#NAME?</v>
      </c>
      <c r="AF98" s="1" t="e">
        <f t="shared" ca="1" si="25"/>
        <v>#NAME?</v>
      </c>
      <c r="AG98" s="1" t="e">
        <f ca="1"/>
        <v>#NAME?</v>
      </c>
      <c r="AH98" s="1" t="e">
        <f t="shared" ca="1" si="26"/>
        <v>#NAME?</v>
      </c>
      <c r="AI98" s="1" t="e">
        <f ca="1"/>
        <v>#NAME?</v>
      </c>
      <c r="AJ98" s="1" t="e">
        <f t="shared" ca="1" si="35"/>
        <v>#NAME?</v>
      </c>
      <c r="AK98" s="1" t="e">
        <f ca="1"/>
        <v>#NAME?</v>
      </c>
      <c r="AL98" s="1" t="e">
        <f t="shared" ca="1" si="27"/>
        <v>#NAME?</v>
      </c>
      <c r="AN98" s="1">
        <f t="shared" si="17"/>
        <v>4.0354419967075508</v>
      </c>
      <c r="AO98" s="1" t="e">
        <f ca="1"/>
        <v>#NAME?</v>
      </c>
      <c r="AP98" s="1" t="e">
        <f t="shared" ca="1" si="18"/>
        <v>#NAME?</v>
      </c>
    </row>
    <row r="99" spans="1:42" x14ac:dyDescent="0.25">
      <c r="A99" s="1" t="s">
        <v>114</v>
      </c>
      <c r="B99" s="1">
        <v>98</v>
      </c>
      <c r="C99" s="1">
        <v>32266.530273379602</v>
      </c>
      <c r="D99" s="1">
        <f t="shared" si="28"/>
        <v>4.5087522667939854</v>
      </c>
      <c r="E99" s="1">
        <v>20529.862505400699</v>
      </c>
      <c r="F99" s="1">
        <f t="shared" si="29"/>
        <v>4.3123860407809316</v>
      </c>
      <c r="G99" s="1">
        <v>4847.3454138816196</v>
      </c>
      <c r="H99" s="1">
        <f t="shared" si="30"/>
        <v>3.6855039679377071</v>
      </c>
      <c r="I99" s="1">
        <v>8062.5545361357499</v>
      </c>
      <c r="J99" s="1">
        <f t="shared" si="31"/>
        <v>0.2498736141700208</v>
      </c>
      <c r="K99" s="1">
        <f t="shared" si="32"/>
        <v>3.9064726652759094</v>
      </c>
      <c r="L99" s="1">
        <v>1665.7771452292</v>
      </c>
      <c r="M99" s="1">
        <f t="shared" si="33"/>
        <v>3.221616899188978</v>
      </c>
      <c r="N99" s="1">
        <v>2428.7196821443399</v>
      </c>
      <c r="O99" s="1">
        <f t="shared" si="34"/>
        <v>3.3853773923172175</v>
      </c>
      <c r="P99" s="1">
        <v>-762.94253691513995</v>
      </c>
      <c r="Q99" s="1" t="e">
        <f ca="1"/>
        <v>#NAME?</v>
      </c>
      <c r="R99" s="1" t="e">
        <f t="shared" ca="1" si="19"/>
        <v>#NAME?</v>
      </c>
      <c r="S99" s="4">
        <v>1396925000000</v>
      </c>
      <c r="T99" s="1">
        <v>94123</v>
      </c>
      <c r="U99" s="1" t="e">
        <f ca="1"/>
        <v>#NAME?</v>
      </c>
      <c r="V99" s="1" t="e">
        <f t="shared" ca="1" si="20"/>
        <v>#NAME?</v>
      </c>
      <c r="W99" s="1" t="e">
        <f ca="1"/>
        <v>#NAME?</v>
      </c>
      <c r="X99" s="1" t="e">
        <f t="shared" ca="1" si="21"/>
        <v>#NAME?</v>
      </c>
      <c r="Y99" s="1" t="e">
        <f ca="1"/>
        <v>#NAME?</v>
      </c>
      <c r="Z99" s="1" t="e">
        <f t="shared" ca="1" si="22"/>
        <v>#NAME?</v>
      </c>
      <c r="AA99" s="1" t="e">
        <f ca="1"/>
        <v>#NAME?</v>
      </c>
      <c r="AB99" s="1" t="e">
        <f t="shared" ca="1" si="23"/>
        <v>#NAME?</v>
      </c>
      <c r="AC99" s="1" t="e">
        <f ca="1"/>
        <v>#NAME?</v>
      </c>
      <c r="AD99" s="1" t="e">
        <f t="shared" ca="1" si="24"/>
        <v>#NAME?</v>
      </c>
      <c r="AE99" s="1" t="e">
        <f ca="1"/>
        <v>#NAME?</v>
      </c>
      <c r="AF99" s="1" t="e">
        <f t="shared" ca="1" si="25"/>
        <v>#NAME?</v>
      </c>
      <c r="AG99" s="1" t="e">
        <f ca="1"/>
        <v>#NAME?</v>
      </c>
      <c r="AH99" s="1" t="e">
        <f t="shared" ca="1" si="26"/>
        <v>#NAME?</v>
      </c>
      <c r="AI99" s="1" t="e">
        <f ca="1"/>
        <v>#NAME?</v>
      </c>
      <c r="AJ99" s="1" t="e">
        <f t="shared" ca="1" si="35"/>
        <v>#NAME?</v>
      </c>
      <c r="AK99" s="1" t="e">
        <f ca="1"/>
        <v>#NAME?</v>
      </c>
      <c r="AL99" s="1" t="e">
        <f t="shared" ca="1" si="27"/>
        <v>#NAME?</v>
      </c>
      <c r="AN99" s="1">
        <f t="shared" si="17"/>
        <v>4.0333246673966165</v>
      </c>
      <c r="AO99" s="1" t="e">
        <f ca="1"/>
        <v>#NAME?</v>
      </c>
      <c r="AP99" s="1" t="e">
        <f t="shared" ca="1" si="18"/>
        <v>#NAME?</v>
      </c>
    </row>
    <row r="100" spans="1:42" x14ac:dyDescent="0.25">
      <c r="A100" s="1" t="s">
        <v>115</v>
      </c>
      <c r="B100" s="1">
        <v>99</v>
      </c>
      <c r="C100" s="1">
        <v>32498.447119671098</v>
      </c>
      <c r="D100" s="1">
        <f t="shared" si="28"/>
        <v>4.5118626094874799</v>
      </c>
      <c r="E100" s="1">
        <v>20631.868062216599</v>
      </c>
      <c r="F100" s="1">
        <f t="shared" si="29"/>
        <v>4.314538551888969</v>
      </c>
      <c r="G100" s="1">
        <v>4940.2130509556</v>
      </c>
      <c r="H100" s="1">
        <f t="shared" si="30"/>
        <v>3.6937456786522302</v>
      </c>
      <c r="I100" s="1">
        <v>8108.0762453677698</v>
      </c>
      <c r="J100" s="1">
        <f t="shared" si="31"/>
        <v>0.24949119001012218</v>
      </c>
      <c r="K100" s="1">
        <f t="shared" si="32"/>
        <v>3.9089178239857962</v>
      </c>
      <c r="L100" s="1">
        <v>1698.4412039365</v>
      </c>
      <c r="M100" s="1">
        <f t="shared" si="33"/>
        <v>3.2300505172066893</v>
      </c>
      <c r="N100" s="1">
        <v>2485.5381416987502</v>
      </c>
      <c r="O100" s="1">
        <f t="shared" si="34"/>
        <v>3.3954204319699688</v>
      </c>
      <c r="P100" s="1">
        <v>-787.09693776224697</v>
      </c>
      <c r="Q100" s="1" t="e">
        <f ca="1"/>
        <v>#NAME?</v>
      </c>
      <c r="R100" s="1" t="e">
        <f t="shared" ca="1" si="19"/>
        <v>#NAME?</v>
      </c>
      <c r="S100" s="4">
        <v>1423659000000</v>
      </c>
      <c r="T100" s="1">
        <v>95055</v>
      </c>
      <c r="U100" s="1" t="e">
        <f ca="1"/>
        <v>#NAME?</v>
      </c>
      <c r="V100" s="1" t="e">
        <f t="shared" ca="1" si="20"/>
        <v>#NAME?</v>
      </c>
      <c r="W100" s="1" t="e">
        <f ca="1"/>
        <v>#NAME?</v>
      </c>
      <c r="X100" s="1" t="e">
        <f t="shared" ca="1" si="21"/>
        <v>#NAME?</v>
      </c>
      <c r="Y100" s="1" t="e">
        <f ca="1"/>
        <v>#NAME?</v>
      </c>
      <c r="Z100" s="1" t="e">
        <f t="shared" ca="1" si="22"/>
        <v>#NAME?</v>
      </c>
      <c r="AA100" s="1" t="e">
        <f ca="1"/>
        <v>#NAME?</v>
      </c>
      <c r="AB100" s="1" t="e">
        <f t="shared" ca="1" si="23"/>
        <v>#NAME?</v>
      </c>
      <c r="AC100" s="1" t="e">
        <f ca="1"/>
        <v>#NAME?</v>
      </c>
      <c r="AD100" s="1" t="e">
        <f t="shared" ca="1" si="24"/>
        <v>#NAME?</v>
      </c>
      <c r="AE100" s="1" t="e">
        <f ca="1"/>
        <v>#NAME?</v>
      </c>
      <c r="AF100" s="1" t="e">
        <f t="shared" ca="1" si="25"/>
        <v>#NAME?</v>
      </c>
      <c r="AG100" s="1" t="e">
        <f ca="1"/>
        <v>#NAME?</v>
      </c>
      <c r="AH100" s="1" t="e">
        <f t="shared" ca="1" si="26"/>
        <v>#NAME?</v>
      </c>
      <c r="AI100" s="1" t="e">
        <f ca="1"/>
        <v>#NAME?</v>
      </c>
      <c r="AJ100" s="1" t="e">
        <f t="shared" ca="1" si="35"/>
        <v>#NAME?</v>
      </c>
      <c r="AK100" s="1" t="e">
        <f ca="1"/>
        <v>#NAME?</v>
      </c>
      <c r="AL100" s="1" t="e">
        <f t="shared" ca="1" si="27"/>
        <v>#NAME?</v>
      </c>
      <c r="AN100" s="1">
        <f t="shared" si="17"/>
        <v>4.030732479067006</v>
      </c>
      <c r="AO100" s="1" t="e">
        <f ca="1"/>
        <v>#NAME?</v>
      </c>
      <c r="AP100" s="1" t="e">
        <f t="shared" ca="1" si="18"/>
        <v>#NAME?</v>
      </c>
    </row>
    <row r="101" spans="1:42" x14ac:dyDescent="0.25">
      <c r="A101" s="1" t="s">
        <v>116</v>
      </c>
      <c r="B101" s="1">
        <v>100</v>
      </c>
      <c r="C101" s="1">
        <v>32685.7970256964</v>
      </c>
      <c r="D101" s="1">
        <f t="shared" si="28"/>
        <v>4.5143590794699522</v>
      </c>
      <c r="E101" s="1">
        <v>20848.4774398058</v>
      </c>
      <c r="F101" s="1">
        <f t="shared" si="29"/>
        <v>4.3190743440275119</v>
      </c>
      <c r="G101" s="1">
        <v>4864.3142577729805</v>
      </c>
      <c r="H101" s="1">
        <f t="shared" si="30"/>
        <v>3.687021624654474</v>
      </c>
      <c r="I101" s="1">
        <v>8258.2493086935992</v>
      </c>
      <c r="J101" s="1">
        <f t="shared" si="31"/>
        <v>0.25265558928244153</v>
      </c>
      <c r="K101" s="1">
        <f t="shared" si="32"/>
        <v>3.9168879896740152</v>
      </c>
      <c r="L101" s="1">
        <v>1728.79712686316</v>
      </c>
      <c r="M101" s="1">
        <f t="shared" si="33"/>
        <v>3.2377440321095023</v>
      </c>
      <c r="N101" s="1">
        <v>2552.1894179537298</v>
      </c>
      <c r="O101" s="1">
        <f t="shared" si="34"/>
        <v>3.4069129036381942</v>
      </c>
      <c r="P101" s="1">
        <v>-823.39229109057806</v>
      </c>
      <c r="Q101" s="1" t="e">
        <f ca="1"/>
        <v>#NAME?</v>
      </c>
      <c r="R101" s="1" t="e">
        <f t="shared" ca="1" si="19"/>
        <v>#NAME?</v>
      </c>
      <c r="S101" s="4">
        <v>1460603000000</v>
      </c>
      <c r="T101" s="1">
        <v>95906</v>
      </c>
      <c r="U101" s="1" t="e">
        <f ca="1"/>
        <v>#NAME?</v>
      </c>
      <c r="V101" s="1" t="e">
        <f t="shared" ca="1" si="20"/>
        <v>#NAME?</v>
      </c>
      <c r="W101" s="1" t="e">
        <f ca="1"/>
        <v>#NAME?</v>
      </c>
      <c r="X101" s="1" t="e">
        <f t="shared" ca="1" si="21"/>
        <v>#NAME?</v>
      </c>
      <c r="Y101" s="1" t="e">
        <f ca="1"/>
        <v>#NAME?</v>
      </c>
      <c r="Z101" s="1" t="e">
        <f t="shared" ca="1" si="22"/>
        <v>#NAME?</v>
      </c>
      <c r="AA101" s="1" t="e">
        <f ca="1"/>
        <v>#NAME?</v>
      </c>
      <c r="AB101" s="1" t="e">
        <f t="shared" ca="1" si="23"/>
        <v>#NAME?</v>
      </c>
      <c r="AC101" s="1" t="e">
        <f ca="1"/>
        <v>#NAME?</v>
      </c>
      <c r="AD101" s="1" t="e">
        <f t="shared" ca="1" si="24"/>
        <v>#NAME?</v>
      </c>
      <c r="AE101" s="1" t="e">
        <f ca="1"/>
        <v>#NAME?</v>
      </c>
      <c r="AF101" s="1" t="e">
        <f t="shared" ca="1" si="25"/>
        <v>#NAME?</v>
      </c>
      <c r="AG101" s="1" t="e">
        <f ca="1"/>
        <v>#NAME?</v>
      </c>
      <c r="AH101" s="1" t="e">
        <f t="shared" ca="1" si="26"/>
        <v>#NAME?</v>
      </c>
      <c r="AI101" s="1" t="e">
        <f ca="1"/>
        <v>#NAME?</v>
      </c>
      <c r="AJ101" s="1" t="e">
        <f t="shared" ca="1" si="35"/>
        <v>#NAME?</v>
      </c>
      <c r="AK101" s="1" t="e">
        <f ca="1"/>
        <v>#NAME?</v>
      </c>
      <c r="AL101" s="1" t="e">
        <f t="shared" ca="1" si="27"/>
        <v>#NAME?</v>
      </c>
      <c r="AN101" s="1">
        <f t="shared" si="17"/>
        <v>4.0267461937343683</v>
      </c>
      <c r="AO101" s="1" t="e">
        <f ca="1"/>
        <v>#NAME?</v>
      </c>
      <c r="AP101" s="1" t="e">
        <f t="shared" ca="1" si="18"/>
        <v>#NAME?</v>
      </c>
    </row>
    <row r="102" spans="1:42" x14ac:dyDescent="0.25">
      <c r="A102" s="1" t="s">
        <v>117</v>
      </c>
      <c r="B102" s="1">
        <v>101</v>
      </c>
      <c r="C102" s="1">
        <v>32941.310119365698</v>
      </c>
      <c r="D102" s="1">
        <f t="shared" si="28"/>
        <v>4.5177408676417654</v>
      </c>
      <c r="E102" s="1">
        <v>21163.358900674499</v>
      </c>
      <c r="F102" s="1">
        <f t="shared" si="29"/>
        <v>4.3255845970238571</v>
      </c>
      <c r="G102" s="1">
        <v>4722.16448650036</v>
      </c>
      <c r="H102" s="1">
        <f t="shared" si="30"/>
        <v>3.674141110725615</v>
      </c>
      <c r="I102" s="1">
        <v>8332.7008116193301</v>
      </c>
      <c r="J102" s="1">
        <f t="shared" si="31"/>
        <v>0.25295596263248382</v>
      </c>
      <c r="K102" s="1">
        <f t="shared" si="32"/>
        <v>3.9207857886184727</v>
      </c>
      <c r="L102" s="1">
        <v>1730.1670782966501</v>
      </c>
      <c r="M102" s="1">
        <f t="shared" si="33"/>
        <v>3.2380880439834971</v>
      </c>
      <c r="N102" s="1">
        <v>2491.2716210928502</v>
      </c>
      <c r="O102" s="1">
        <f t="shared" si="34"/>
        <v>3.3964210808527775</v>
      </c>
      <c r="P102" s="1">
        <v>-761.10454279619501</v>
      </c>
      <c r="Q102" s="1" t="e">
        <f ca="1"/>
        <v>#NAME?</v>
      </c>
      <c r="R102" s="1" t="e">
        <f t="shared" ca="1" si="19"/>
        <v>#NAME?</v>
      </c>
      <c r="S102" s="4">
        <v>1474579000000</v>
      </c>
      <c r="T102" s="1">
        <v>96572.333333333299</v>
      </c>
      <c r="U102" s="1" t="e">
        <f ca="1"/>
        <v>#NAME?</v>
      </c>
      <c r="V102" s="1" t="e">
        <f t="shared" ca="1" si="20"/>
        <v>#NAME?</v>
      </c>
      <c r="W102" s="1" t="e">
        <f ca="1"/>
        <v>#NAME?</v>
      </c>
      <c r="X102" s="1" t="e">
        <f t="shared" ca="1" si="21"/>
        <v>#NAME?</v>
      </c>
      <c r="Y102" s="1" t="e">
        <f ca="1"/>
        <v>#NAME?</v>
      </c>
      <c r="Z102" s="1" t="e">
        <f t="shared" ca="1" si="22"/>
        <v>#NAME?</v>
      </c>
      <c r="AA102" s="1" t="e">
        <f ca="1"/>
        <v>#NAME?</v>
      </c>
      <c r="AB102" s="1" t="e">
        <f t="shared" ca="1" si="23"/>
        <v>#NAME?</v>
      </c>
      <c r="AC102" s="1" t="e">
        <f ca="1"/>
        <v>#NAME?</v>
      </c>
      <c r="AD102" s="1" t="e">
        <f t="shared" ca="1" si="24"/>
        <v>#NAME?</v>
      </c>
      <c r="AE102" s="1" t="e">
        <f ca="1"/>
        <v>#NAME?</v>
      </c>
      <c r="AF102" s="1" t="e">
        <f t="shared" ca="1" si="25"/>
        <v>#NAME?</v>
      </c>
      <c r="AG102" s="1" t="e">
        <f ca="1"/>
        <v>#NAME?</v>
      </c>
      <c r="AH102" s="1" t="e">
        <f t="shared" ca="1" si="26"/>
        <v>#NAME?</v>
      </c>
      <c r="AI102" s="1" t="e">
        <f ca="1"/>
        <v>#NAME?</v>
      </c>
      <c r="AJ102" s="1" t="e">
        <f t="shared" ca="1" si="35"/>
        <v>#NAME?</v>
      </c>
      <c r="AK102" s="1" t="e">
        <f ca="1"/>
        <v>#NAME?</v>
      </c>
      <c r="AL102" s="1" t="e">
        <f t="shared" ca="1" si="27"/>
        <v>#NAME?</v>
      </c>
      <c r="AN102" s="1">
        <f t="shared" si="17"/>
        <v>4.0267146277255019</v>
      </c>
      <c r="AO102" s="1" t="e">
        <f ca="1"/>
        <v>#NAME?</v>
      </c>
      <c r="AP102" s="1" t="e">
        <f t="shared" ca="1" si="18"/>
        <v>#NAME?</v>
      </c>
    </row>
    <row r="103" spans="1:42" x14ac:dyDescent="0.25">
      <c r="A103" s="1" t="s">
        <v>118</v>
      </c>
      <c r="B103" s="1">
        <v>102</v>
      </c>
      <c r="C103" s="1">
        <v>33161.1665323122</v>
      </c>
      <c r="D103" s="1">
        <f t="shared" si="28"/>
        <v>4.5206297996115055</v>
      </c>
      <c r="E103" s="1">
        <v>21312.541985758398</v>
      </c>
      <c r="F103" s="1">
        <f t="shared" si="29"/>
        <v>4.3286352518985778</v>
      </c>
      <c r="G103" s="1">
        <v>4792.4518003493204</v>
      </c>
      <c r="H103" s="1">
        <f t="shared" si="30"/>
        <v>3.680557753694579</v>
      </c>
      <c r="I103" s="1">
        <v>8499.6389224774994</v>
      </c>
      <c r="J103" s="1">
        <f t="shared" si="31"/>
        <v>0.2563130254840541</v>
      </c>
      <c r="K103" s="1">
        <f t="shared" si="32"/>
        <v>3.9294004766194268</v>
      </c>
      <c r="L103" s="1">
        <v>1722.81002284025</v>
      </c>
      <c r="M103" s="1">
        <f t="shared" si="33"/>
        <v>3.2362373897051153</v>
      </c>
      <c r="N103" s="1">
        <v>2608.15951229343</v>
      </c>
      <c r="O103" s="1">
        <f t="shared" si="34"/>
        <v>3.4163341488660124</v>
      </c>
      <c r="P103" s="1">
        <v>-885.34948945317797</v>
      </c>
      <c r="Q103" s="1" t="e">
        <f ca="1"/>
        <v>#NAME?</v>
      </c>
      <c r="R103" s="1" t="e">
        <f t="shared" ca="1" si="19"/>
        <v>#NAME?</v>
      </c>
      <c r="S103" s="4">
        <v>1505166000000</v>
      </c>
      <c r="T103" s="1">
        <v>97269.666666666701</v>
      </c>
      <c r="U103" s="1" t="e">
        <f ca="1"/>
        <v>#NAME?</v>
      </c>
      <c r="V103" s="1" t="e">
        <f t="shared" ca="1" si="20"/>
        <v>#NAME?</v>
      </c>
      <c r="W103" s="1" t="e">
        <f ca="1"/>
        <v>#NAME?</v>
      </c>
      <c r="X103" s="1" t="e">
        <f t="shared" ca="1" si="21"/>
        <v>#NAME?</v>
      </c>
      <c r="Y103" s="1" t="e">
        <f ca="1"/>
        <v>#NAME?</v>
      </c>
      <c r="Z103" s="1" t="e">
        <f t="shared" ca="1" si="22"/>
        <v>#NAME?</v>
      </c>
      <c r="AA103" s="1" t="e">
        <f ca="1"/>
        <v>#NAME?</v>
      </c>
      <c r="AB103" s="1" t="e">
        <f t="shared" ca="1" si="23"/>
        <v>#NAME?</v>
      </c>
      <c r="AC103" s="1" t="e">
        <f ca="1"/>
        <v>#NAME?</v>
      </c>
      <c r="AD103" s="1" t="e">
        <f t="shared" ca="1" si="24"/>
        <v>#NAME?</v>
      </c>
      <c r="AE103" s="1" t="e">
        <f ca="1"/>
        <v>#NAME?</v>
      </c>
      <c r="AF103" s="1" t="e">
        <f t="shared" ca="1" si="25"/>
        <v>#NAME?</v>
      </c>
      <c r="AG103" s="1" t="e">
        <f ca="1"/>
        <v>#NAME?</v>
      </c>
      <c r="AH103" s="1" t="e">
        <f t="shared" ca="1" si="26"/>
        <v>#NAME?</v>
      </c>
      <c r="AI103" s="1" t="e">
        <f ca="1"/>
        <v>#NAME?</v>
      </c>
      <c r="AJ103" s="1" t="e">
        <f t="shared" ca="1" si="35"/>
        <v>#NAME?</v>
      </c>
      <c r="AK103" s="1" t="e">
        <f ca="1"/>
        <v>#NAME?</v>
      </c>
      <c r="AL103" s="1" t="e">
        <f t="shared" ca="1" si="27"/>
        <v>#NAME?</v>
      </c>
      <c r="AN103" s="1">
        <f t="shared" si="17"/>
        <v>4.0243938621176829</v>
      </c>
      <c r="AO103" s="1" t="e">
        <f ca="1"/>
        <v>#NAME?</v>
      </c>
      <c r="AP103" s="1" t="e">
        <f t="shared" ca="1" si="18"/>
        <v>#NAME?</v>
      </c>
    </row>
    <row r="104" spans="1:42" x14ac:dyDescent="0.25">
      <c r="A104" s="1" t="s">
        <v>119</v>
      </c>
      <c r="B104" s="1">
        <v>103</v>
      </c>
      <c r="C104" s="1">
        <v>33581.149047904197</v>
      </c>
      <c r="D104" s="1">
        <f t="shared" si="28"/>
        <v>4.5260955523328983</v>
      </c>
      <c r="E104" s="1">
        <v>21661.592451913599</v>
      </c>
      <c r="F104" s="1">
        <f t="shared" si="29"/>
        <v>4.3356903806206457</v>
      </c>
      <c r="G104" s="1">
        <v>4747.5595609513002</v>
      </c>
      <c r="H104" s="1">
        <f t="shared" si="30"/>
        <v>3.6764704219251643</v>
      </c>
      <c r="I104" s="1">
        <v>8671.0443110863598</v>
      </c>
      <c r="J104" s="1">
        <f t="shared" si="31"/>
        <v>0.25821166210593144</v>
      </c>
      <c r="K104" s="1">
        <f t="shared" si="32"/>
        <v>3.9380714055765309</v>
      </c>
      <c r="L104" s="1">
        <v>1693.32339429371</v>
      </c>
      <c r="M104" s="1">
        <f t="shared" si="33"/>
        <v>3.2287399084602812</v>
      </c>
      <c r="N104" s="1">
        <v>2576.2995782887801</v>
      </c>
      <c r="O104" s="1">
        <f t="shared" si="34"/>
        <v>3.4109963624272739</v>
      </c>
      <c r="P104" s="1">
        <v>-882.97618399507496</v>
      </c>
      <c r="Q104" s="1" t="e">
        <f ca="1"/>
        <v>#NAME?</v>
      </c>
      <c r="R104" s="1" t="e">
        <f t="shared" ca="1" si="19"/>
        <v>#NAME?</v>
      </c>
      <c r="S104" s="4">
        <v>1510245000000</v>
      </c>
      <c r="T104" s="1">
        <v>97844.333333333299</v>
      </c>
      <c r="U104" s="1" t="e">
        <f ca="1"/>
        <v>#NAME?</v>
      </c>
      <c r="V104" s="1" t="e">
        <f t="shared" ca="1" si="20"/>
        <v>#NAME?</v>
      </c>
      <c r="W104" s="1" t="e">
        <f ca="1"/>
        <v>#NAME?</v>
      </c>
      <c r="X104" s="1" t="e">
        <f t="shared" ca="1" si="21"/>
        <v>#NAME?</v>
      </c>
      <c r="Y104" s="1" t="e">
        <f ca="1"/>
        <v>#NAME?</v>
      </c>
      <c r="Z104" s="1" t="e">
        <f t="shared" ca="1" si="22"/>
        <v>#NAME?</v>
      </c>
      <c r="AA104" s="1" t="e">
        <f ca="1"/>
        <v>#NAME?</v>
      </c>
      <c r="AB104" s="1" t="e">
        <f t="shared" ca="1" si="23"/>
        <v>#NAME?</v>
      </c>
      <c r="AC104" s="1" t="e">
        <f ca="1"/>
        <v>#NAME?</v>
      </c>
      <c r="AD104" s="1" t="e">
        <f t="shared" ca="1" si="24"/>
        <v>#NAME?</v>
      </c>
      <c r="AE104" s="1" t="e">
        <f ca="1"/>
        <v>#NAME?</v>
      </c>
      <c r="AF104" s="1" t="e">
        <f t="shared" ca="1" si="25"/>
        <v>#NAME?</v>
      </c>
      <c r="AG104" s="1" t="e">
        <f ca="1"/>
        <v>#NAME?</v>
      </c>
      <c r="AH104" s="1" t="e">
        <f t="shared" ca="1" si="26"/>
        <v>#NAME?</v>
      </c>
      <c r="AI104" s="1" t="e">
        <f ca="1"/>
        <v>#NAME?</v>
      </c>
      <c r="AJ104" s="1" t="e">
        <f t="shared" ca="1" si="35"/>
        <v>#NAME?</v>
      </c>
      <c r="AK104" s="1" t="e">
        <f ca="1"/>
        <v>#NAME?</v>
      </c>
      <c r="AL104" s="1" t="e">
        <f t="shared" ca="1" si="27"/>
        <v>#NAME?</v>
      </c>
      <c r="AN104" s="1">
        <f t="shared" si="17"/>
        <v>4.0276956517231763</v>
      </c>
      <c r="AO104" s="1" t="e">
        <f ca="1"/>
        <v>#NAME?</v>
      </c>
      <c r="AP104" s="1" t="e">
        <f t="shared" ca="1" si="18"/>
        <v>#NAME?</v>
      </c>
    </row>
    <row r="105" spans="1:42" x14ac:dyDescent="0.25">
      <c r="A105" s="1" t="s">
        <v>120</v>
      </c>
      <c r="B105" s="1">
        <v>104</v>
      </c>
      <c r="C105" s="1">
        <v>33746.256062359302</v>
      </c>
      <c r="D105" s="1">
        <f t="shared" si="28"/>
        <v>4.5282255975625896</v>
      </c>
      <c r="E105" s="1">
        <v>21654.2293441164</v>
      </c>
      <c r="F105" s="1">
        <f t="shared" si="29"/>
        <v>4.3355427321640683</v>
      </c>
      <c r="G105" s="1">
        <v>4910.2499300296204</v>
      </c>
      <c r="H105" s="1">
        <f t="shared" si="30"/>
        <v>3.6911035981250606</v>
      </c>
      <c r="I105" s="1">
        <v>8685.0413765158501</v>
      </c>
      <c r="J105" s="1">
        <f t="shared" si="31"/>
        <v>0.25736310897620363</v>
      </c>
      <c r="K105" s="1">
        <f t="shared" si="32"/>
        <v>3.9387718918158994</v>
      </c>
      <c r="L105" s="1">
        <v>1739.48877758608</v>
      </c>
      <c r="M105" s="1">
        <f t="shared" si="33"/>
        <v>3.2404216312163121</v>
      </c>
      <c r="N105" s="1">
        <v>2670.4332315455699</v>
      </c>
      <c r="O105" s="1">
        <f t="shared" si="34"/>
        <v>3.4265817238390159</v>
      </c>
      <c r="P105" s="1">
        <v>-930.94445395948799</v>
      </c>
      <c r="Q105" s="1" t="e">
        <f ca="1"/>
        <v>#NAME?</v>
      </c>
      <c r="R105" s="1" t="e">
        <f t="shared" ca="1" si="19"/>
        <v>#NAME?</v>
      </c>
      <c r="S105" s="4">
        <v>1533262000000</v>
      </c>
      <c r="T105" s="1">
        <v>98428.333333333299</v>
      </c>
      <c r="U105" s="1" t="e">
        <f ca="1"/>
        <v>#NAME?</v>
      </c>
      <c r="V105" s="1" t="e">
        <f t="shared" ca="1" si="20"/>
        <v>#NAME?</v>
      </c>
      <c r="W105" s="1" t="e">
        <f ca="1"/>
        <v>#NAME?</v>
      </c>
      <c r="X105" s="1" t="e">
        <f t="shared" ca="1" si="21"/>
        <v>#NAME?</v>
      </c>
      <c r="Y105" s="1" t="e">
        <f ca="1"/>
        <v>#NAME?</v>
      </c>
      <c r="Z105" s="1" t="e">
        <f t="shared" ca="1" si="22"/>
        <v>#NAME?</v>
      </c>
      <c r="AA105" s="1" t="e">
        <f ca="1"/>
        <v>#NAME?</v>
      </c>
      <c r="AB105" s="1" t="e">
        <f t="shared" ca="1" si="23"/>
        <v>#NAME?</v>
      </c>
      <c r="AC105" s="1" t="e">
        <f ca="1"/>
        <v>#NAME?</v>
      </c>
      <c r="AD105" s="1" t="e">
        <f t="shared" ca="1" si="24"/>
        <v>#NAME?</v>
      </c>
      <c r="AE105" s="1" t="e">
        <f ca="1"/>
        <v>#NAME?</v>
      </c>
      <c r="AF105" s="1" t="e">
        <f t="shared" ca="1" si="25"/>
        <v>#NAME?</v>
      </c>
      <c r="AG105" s="1" t="e">
        <f ca="1"/>
        <v>#NAME?</v>
      </c>
      <c r="AH105" s="1" t="e">
        <f t="shared" ca="1" si="26"/>
        <v>#NAME?</v>
      </c>
      <c r="AI105" s="1" t="e">
        <f ca="1"/>
        <v>#NAME?</v>
      </c>
      <c r="AJ105" s="1" t="e">
        <f t="shared" ca="1" si="35"/>
        <v>#NAME?</v>
      </c>
      <c r="AK105" s="1" t="e">
        <f ca="1"/>
        <v>#NAME?</v>
      </c>
      <c r="AL105" s="1" t="e">
        <f t="shared" ca="1" si="27"/>
        <v>#NAME?</v>
      </c>
      <c r="AN105" s="1">
        <f t="shared" si="17"/>
        <v>4.0258068194505334</v>
      </c>
      <c r="AO105" s="1" t="e">
        <f ca="1"/>
        <v>#NAME?</v>
      </c>
      <c r="AP105" s="1" t="e">
        <f t="shared" ca="1" si="18"/>
        <v>#NAME?</v>
      </c>
    </row>
    <row r="106" spans="1:42" x14ac:dyDescent="0.25">
      <c r="A106" s="1" t="s">
        <v>121</v>
      </c>
      <c r="B106" s="1">
        <v>105</v>
      </c>
      <c r="C106" s="1">
        <v>33993.975677579903</v>
      </c>
      <c r="D106" s="1">
        <f t="shared" si="28"/>
        <v>4.5314019593422525</v>
      </c>
      <c r="E106" s="1">
        <v>21800.296838585698</v>
      </c>
      <c r="F106" s="1">
        <f t="shared" si="29"/>
        <v>4.3384624071129583</v>
      </c>
      <c r="G106" s="1">
        <v>4899.1082335185802</v>
      </c>
      <c r="H106" s="1">
        <f t="shared" si="30"/>
        <v>3.690117034210493</v>
      </c>
      <c r="I106" s="1">
        <v>8736.3598083890301</v>
      </c>
      <c r="J106" s="1">
        <f t="shared" si="31"/>
        <v>0.25699729538110289</v>
      </c>
      <c r="K106" s="1">
        <f t="shared" si="32"/>
        <v>3.941330512217347</v>
      </c>
      <c r="L106" s="1">
        <v>1790.4244541630401</v>
      </c>
      <c r="M106" s="1">
        <f t="shared" si="33"/>
        <v>3.2529560009512206</v>
      </c>
      <c r="N106" s="1">
        <v>2662.4961957133501</v>
      </c>
      <c r="O106" s="1">
        <f t="shared" si="34"/>
        <v>3.4252889959089989</v>
      </c>
      <c r="P106" s="1">
        <v>-872.07174155031498</v>
      </c>
      <c r="Q106" s="1" t="e">
        <f ca="1"/>
        <v>#NAME?</v>
      </c>
      <c r="R106" s="1" t="e">
        <f t="shared" ca="1" si="19"/>
        <v>#NAME?</v>
      </c>
      <c r="S106" s="4">
        <v>1540813000000</v>
      </c>
      <c r="T106" s="1">
        <v>98837.666666666701</v>
      </c>
      <c r="U106" s="1" t="e">
        <f ca="1"/>
        <v>#NAME?</v>
      </c>
      <c r="V106" s="1" t="e">
        <f t="shared" ca="1" si="20"/>
        <v>#NAME?</v>
      </c>
      <c r="W106" s="1" t="e">
        <f ca="1"/>
        <v>#NAME?</v>
      </c>
      <c r="X106" s="1" t="e">
        <f t="shared" ca="1" si="21"/>
        <v>#NAME?</v>
      </c>
      <c r="Y106" s="1" t="e">
        <f ca="1"/>
        <v>#NAME?</v>
      </c>
      <c r="Z106" s="1" t="e">
        <f t="shared" ca="1" si="22"/>
        <v>#NAME?</v>
      </c>
      <c r="AA106" s="1" t="e">
        <f ca="1"/>
        <v>#NAME?</v>
      </c>
      <c r="AB106" s="1" t="e">
        <f t="shared" ca="1" si="23"/>
        <v>#NAME?</v>
      </c>
      <c r="AC106" s="1" t="e">
        <f ca="1"/>
        <v>#NAME?</v>
      </c>
      <c r="AD106" s="1" t="e">
        <f t="shared" ca="1" si="24"/>
        <v>#NAME?</v>
      </c>
      <c r="AE106" s="1" t="e">
        <f ca="1"/>
        <v>#NAME?</v>
      </c>
      <c r="AF106" s="1" t="e">
        <f t="shared" ca="1" si="25"/>
        <v>#NAME?</v>
      </c>
      <c r="AG106" s="1" t="e">
        <f ca="1"/>
        <v>#NAME?</v>
      </c>
      <c r="AH106" s="1" t="e">
        <f t="shared" ca="1" si="26"/>
        <v>#NAME?</v>
      </c>
      <c r="AI106" s="1" t="e">
        <f ca="1"/>
        <v>#NAME?</v>
      </c>
      <c r="AJ106" s="1" t="e">
        <f t="shared" ca="1" si="35"/>
        <v>#NAME?</v>
      </c>
      <c r="AK106" s="1" t="e">
        <f ca="1"/>
        <v>#NAME?</v>
      </c>
      <c r="AL106" s="1" t="e">
        <f t="shared" ca="1" si="27"/>
        <v>#NAME?</v>
      </c>
      <c r="AN106" s="1">
        <f t="shared" si="17"/>
        <v>4.0270615932568967</v>
      </c>
      <c r="AO106" s="1" t="e">
        <f ca="1"/>
        <v>#NAME?</v>
      </c>
      <c r="AP106" s="1" t="e">
        <f t="shared" ca="1" si="18"/>
        <v>#NAME?</v>
      </c>
    </row>
    <row r="107" spans="1:42" x14ac:dyDescent="0.25">
      <c r="A107" s="1" t="s">
        <v>122</v>
      </c>
      <c r="B107" s="1">
        <v>106</v>
      </c>
      <c r="C107" s="1">
        <v>34075.0515875657</v>
      </c>
      <c r="D107" s="1">
        <f t="shared" si="28"/>
        <v>4.5324365220027687</v>
      </c>
      <c r="E107" s="1">
        <v>21991.3590827398</v>
      </c>
      <c r="F107" s="1">
        <f t="shared" si="29"/>
        <v>4.3422520699199199</v>
      </c>
      <c r="G107" s="1">
        <v>4803.4222525461</v>
      </c>
      <c r="H107" s="1">
        <f t="shared" si="30"/>
        <v>3.6815507656708717</v>
      </c>
      <c r="I107" s="1">
        <v>8899.6621846502003</v>
      </c>
      <c r="J107" s="1">
        <f t="shared" si="31"/>
        <v>0.26117824537344997</v>
      </c>
      <c r="K107" s="1">
        <f t="shared" si="32"/>
        <v>3.9493735219115718</v>
      </c>
      <c r="L107" s="1">
        <v>1805.88514278107</v>
      </c>
      <c r="M107" s="1">
        <f t="shared" si="33"/>
        <v>3.2566901250236455</v>
      </c>
      <c r="N107" s="1">
        <v>2769.9236171204202</v>
      </c>
      <c r="O107" s="1">
        <f t="shared" si="34"/>
        <v>3.4424677932086758</v>
      </c>
      <c r="P107" s="1">
        <v>-964.03847433934698</v>
      </c>
      <c r="Q107" s="1" t="e">
        <f ca="1"/>
        <v>#NAME?</v>
      </c>
      <c r="R107" s="1" t="e">
        <f t="shared" ca="1" si="19"/>
        <v>#NAME?</v>
      </c>
      <c r="S107" s="4">
        <v>1548742000000</v>
      </c>
      <c r="T107" s="1">
        <v>99174.666666666701</v>
      </c>
      <c r="U107" s="1" t="e">
        <f ca="1"/>
        <v>#NAME?</v>
      </c>
      <c r="V107" s="1" t="e">
        <f t="shared" ca="1" si="20"/>
        <v>#NAME?</v>
      </c>
      <c r="W107" s="1" t="e">
        <f ca="1"/>
        <v>#NAME?</v>
      </c>
      <c r="X107" s="1" t="e">
        <f t="shared" ca="1" si="21"/>
        <v>#NAME?</v>
      </c>
      <c r="Y107" s="1" t="e">
        <f ca="1"/>
        <v>#NAME?</v>
      </c>
      <c r="Z107" s="1" t="e">
        <f t="shared" ca="1" si="22"/>
        <v>#NAME?</v>
      </c>
      <c r="AA107" s="1" t="e">
        <f ca="1"/>
        <v>#NAME?</v>
      </c>
      <c r="AB107" s="1" t="e">
        <f t="shared" ca="1" si="23"/>
        <v>#NAME?</v>
      </c>
      <c r="AC107" s="1" t="e">
        <f ca="1"/>
        <v>#NAME?</v>
      </c>
      <c r="AD107" s="1" t="e">
        <f t="shared" ca="1" si="24"/>
        <v>#NAME?</v>
      </c>
      <c r="AE107" s="1" t="e">
        <f ca="1"/>
        <v>#NAME?</v>
      </c>
      <c r="AF107" s="1" t="e">
        <f t="shared" ca="1" si="25"/>
        <v>#NAME?</v>
      </c>
      <c r="AG107" s="1" t="e">
        <f ca="1"/>
        <v>#NAME?</v>
      </c>
      <c r="AH107" s="1" t="e">
        <f t="shared" ca="1" si="26"/>
        <v>#NAME?</v>
      </c>
      <c r="AI107" s="1" t="e">
        <f ca="1"/>
        <v>#NAME?</v>
      </c>
      <c r="AJ107" s="1" t="e">
        <f t="shared" ca="1" si="35"/>
        <v>#NAME?</v>
      </c>
      <c r="AK107" s="1" t="e">
        <f ca="1"/>
        <v>#NAME?</v>
      </c>
      <c r="AL107" s="1" t="e">
        <f t="shared" ca="1" si="27"/>
        <v>#NAME?</v>
      </c>
      <c r="AN107" s="1">
        <f t="shared" si="17"/>
        <v>4.0263475749750981</v>
      </c>
      <c r="AO107" s="1" t="e">
        <f ca="1"/>
        <v>#NAME?</v>
      </c>
      <c r="AP107" s="1" t="e">
        <f t="shared" ca="1" si="18"/>
        <v>#NAME?</v>
      </c>
    </row>
    <row r="108" spans="1:42" x14ac:dyDescent="0.25">
      <c r="A108" s="1" t="s">
        <v>123</v>
      </c>
      <c r="B108" s="1">
        <v>107</v>
      </c>
      <c r="C108" s="1">
        <v>34316.344485852504</v>
      </c>
      <c r="D108" s="1">
        <f t="shared" si="28"/>
        <v>4.5355010188568281</v>
      </c>
      <c r="E108" s="1">
        <v>22325.208954108901</v>
      </c>
      <c r="F108" s="1">
        <f t="shared" si="29"/>
        <v>4.3487955323844041</v>
      </c>
      <c r="G108" s="1">
        <v>4662.6937027415097</v>
      </c>
      <c r="H108" s="1">
        <f t="shared" si="30"/>
        <v>3.6686368871297428</v>
      </c>
      <c r="I108" s="1">
        <v>9071.0941974253201</v>
      </c>
      <c r="J108" s="1">
        <f t="shared" si="31"/>
        <v>0.26433742676656696</v>
      </c>
      <c r="K108" s="1">
        <f t="shared" si="32"/>
        <v>3.9576596768332073</v>
      </c>
      <c r="L108" s="1">
        <v>1842.6639885127099</v>
      </c>
      <c r="M108" s="1">
        <f t="shared" si="33"/>
        <v>3.2654461484371833</v>
      </c>
      <c r="N108" s="1">
        <v>2839.6842655688401</v>
      </c>
      <c r="O108" s="1">
        <f t="shared" si="34"/>
        <v>3.4532700550667714</v>
      </c>
      <c r="P108" s="1">
        <v>-997.02027705613295</v>
      </c>
      <c r="Q108" s="1" t="e">
        <f ca="1"/>
        <v>#NAME?</v>
      </c>
      <c r="R108" s="1" t="e">
        <f t="shared" ca="1" si="19"/>
        <v>#NAME?</v>
      </c>
      <c r="S108" s="4">
        <v>1558829000000</v>
      </c>
      <c r="T108" s="1">
        <v>99665</v>
      </c>
      <c r="U108" s="1" t="e">
        <f ca="1"/>
        <v>#NAME?</v>
      </c>
      <c r="V108" s="1" t="e">
        <f t="shared" ca="1" si="20"/>
        <v>#NAME?</v>
      </c>
      <c r="W108" s="1" t="e">
        <f ca="1"/>
        <v>#NAME?</v>
      </c>
      <c r="X108" s="1" t="e">
        <f t="shared" ca="1" si="21"/>
        <v>#NAME?</v>
      </c>
      <c r="Y108" s="1" t="e">
        <f ca="1"/>
        <v>#NAME?</v>
      </c>
      <c r="Z108" s="1" t="e">
        <f t="shared" ca="1" si="22"/>
        <v>#NAME?</v>
      </c>
      <c r="AA108" s="1" t="e">
        <f ca="1"/>
        <v>#NAME?</v>
      </c>
      <c r="AB108" s="1" t="e">
        <f t="shared" ca="1" si="23"/>
        <v>#NAME?</v>
      </c>
      <c r="AC108" s="1" t="e">
        <f ca="1"/>
        <v>#NAME?</v>
      </c>
      <c r="AD108" s="1" t="e">
        <f t="shared" ca="1" si="24"/>
        <v>#NAME?</v>
      </c>
      <c r="AE108" s="1" t="e">
        <f ca="1"/>
        <v>#NAME?</v>
      </c>
      <c r="AF108" s="1" t="e">
        <f t="shared" ca="1" si="25"/>
        <v>#NAME?</v>
      </c>
      <c r="AG108" s="1" t="e">
        <f ca="1"/>
        <v>#NAME?</v>
      </c>
      <c r="AH108" s="1" t="e">
        <f t="shared" ca="1" si="26"/>
        <v>#NAME?</v>
      </c>
      <c r="AI108" s="1" t="e">
        <f ca="1"/>
        <v>#NAME?</v>
      </c>
      <c r="AJ108" s="1" t="e">
        <f t="shared" ca="1" si="35"/>
        <v>#NAME?</v>
      </c>
      <c r="AK108" s="1" t="e">
        <f ca="1"/>
        <v>#NAME?</v>
      </c>
      <c r="AL108" s="1" t="e">
        <f t="shared" ca="1" si="27"/>
        <v>#NAME?</v>
      </c>
      <c r="AN108" s="1">
        <f t="shared" si="17"/>
        <v>4.0270262577502205</v>
      </c>
      <c r="AO108" s="1" t="e">
        <f ca="1"/>
        <v>#NAME?</v>
      </c>
      <c r="AP108" s="1" t="e">
        <f t="shared" ca="1" si="18"/>
        <v>#NAME?</v>
      </c>
    </row>
    <row r="109" spans="1:42" x14ac:dyDescent="0.25">
      <c r="A109" s="1" t="s">
        <v>124</v>
      </c>
      <c r="B109" s="1">
        <v>108</v>
      </c>
      <c r="C109" s="1">
        <v>34418.2016154741</v>
      </c>
      <c r="D109" s="1">
        <f t="shared" si="28"/>
        <v>4.5367881742750882</v>
      </c>
      <c r="E109" s="1">
        <v>22408.451637209699</v>
      </c>
      <c r="F109" s="1">
        <f t="shared" si="29"/>
        <v>4.3504118490095216</v>
      </c>
      <c r="G109" s="1">
        <v>4665.4784527550401</v>
      </c>
      <c r="H109" s="1">
        <f t="shared" si="30"/>
        <v>3.6688961880045814</v>
      </c>
      <c r="I109" s="1">
        <v>9012.0311833699707</v>
      </c>
      <c r="J109" s="1">
        <f t="shared" si="31"/>
        <v>0.2618391072274458</v>
      </c>
      <c r="K109" s="1">
        <f t="shared" si="32"/>
        <v>3.9548226857972519</v>
      </c>
      <c r="L109" s="1">
        <v>1906.93842402262</v>
      </c>
      <c r="M109" s="1">
        <f t="shared" si="33"/>
        <v>3.280336669690501</v>
      </c>
      <c r="N109" s="1">
        <v>2854.8888585280201</v>
      </c>
      <c r="O109" s="1">
        <f t="shared" si="34"/>
        <v>3.455589205728093</v>
      </c>
      <c r="P109" s="1">
        <v>-947.95043450540095</v>
      </c>
      <c r="Q109" s="1" t="e">
        <f ca="1"/>
        <v>#NAME?</v>
      </c>
      <c r="R109" s="1" t="e">
        <f t="shared" ca="1" si="19"/>
        <v>#NAME?</v>
      </c>
      <c r="S109" s="4">
        <v>1564354000000</v>
      </c>
      <c r="T109" s="1">
        <v>100312.66666666701</v>
      </c>
      <c r="U109" s="1" t="e">
        <f ca="1"/>
        <v>#NAME?</v>
      </c>
      <c r="V109" s="1" t="e">
        <f t="shared" ca="1" si="20"/>
        <v>#NAME?</v>
      </c>
      <c r="W109" s="1" t="e">
        <f ca="1"/>
        <v>#NAME?</v>
      </c>
      <c r="X109" s="1" t="e">
        <f t="shared" ca="1" si="21"/>
        <v>#NAME?</v>
      </c>
      <c r="Y109" s="1" t="e">
        <f ca="1"/>
        <v>#NAME?</v>
      </c>
      <c r="Z109" s="1" t="e">
        <f t="shared" ca="1" si="22"/>
        <v>#NAME?</v>
      </c>
      <c r="AA109" s="1" t="e">
        <f ca="1"/>
        <v>#NAME?</v>
      </c>
      <c r="AB109" s="1" t="e">
        <f t="shared" ca="1" si="23"/>
        <v>#NAME?</v>
      </c>
      <c r="AC109" s="1" t="e">
        <f ca="1"/>
        <v>#NAME?</v>
      </c>
      <c r="AD109" s="1" t="e">
        <f t="shared" ca="1" si="24"/>
        <v>#NAME?</v>
      </c>
      <c r="AE109" s="1" t="e">
        <f ca="1"/>
        <v>#NAME?</v>
      </c>
      <c r="AF109" s="1" t="e">
        <f t="shared" ca="1" si="25"/>
        <v>#NAME?</v>
      </c>
      <c r="AG109" s="1" t="e">
        <f ca="1"/>
        <v>#NAME?</v>
      </c>
      <c r="AH109" s="1" t="e">
        <f t="shared" ca="1" si="26"/>
        <v>#NAME?</v>
      </c>
      <c r="AI109" s="1" t="e">
        <f ca="1"/>
        <v>#NAME?</v>
      </c>
      <c r="AJ109" s="1" t="e">
        <f t="shared" ca="1" si="35"/>
        <v>#NAME?</v>
      </c>
      <c r="AK109" s="1" t="e">
        <f ca="1"/>
        <v>#NAME?</v>
      </c>
      <c r="AL109" s="1" t="e">
        <f t="shared" ca="1" si="27"/>
        <v>#NAME?</v>
      </c>
      <c r="AN109" s="1">
        <f t="shared" si="17"/>
        <v>4.0259598645399395</v>
      </c>
      <c r="AO109" s="1" t="e">
        <f ca="1"/>
        <v>#NAME?</v>
      </c>
      <c r="AP109" s="1" t="e">
        <f t="shared" ca="1" si="18"/>
        <v>#NAME?</v>
      </c>
    </row>
    <row r="110" spans="1:42" x14ac:dyDescent="0.25">
      <c r="A110" s="1" t="s">
        <v>125</v>
      </c>
      <c r="B110" s="1">
        <v>109</v>
      </c>
      <c r="C110" s="1">
        <v>34607.283200211597</v>
      </c>
      <c r="D110" s="1">
        <f t="shared" si="28"/>
        <v>4.5391675069084521</v>
      </c>
      <c r="E110" s="1">
        <v>22387.200476015401</v>
      </c>
      <c r="F110" s="1">
        <f t="shared" si="29"/>
        <v>4.3499997883608783</v>
      </c>
      <c r="G110" s="1">
        <v>4782.0783524579701</v>
      </c>
      <c r="H110" s="1">
        <f t="shared" si="30"/>
        <v>3.6796166875809626</v>
      </c>
      <c r="I110" s="1">
        <v>9047.2792334169408</v>
      </c>
      <c r="J110" s="1">
        <f t="shared" si="31"/>
        <v>0.26142702913361382</v>
      </c>
      <c r="K110" s="1">
        <f t="shared" si="32"/>
        <v>3.9565179945015876</v>
      </c>
      <c r="L110" s="1">
        <v>1904.92915552727</v>
      </c>
      <c r="M110" s="1">
        <f t="shared" si="33"/>
        <v>3.2798788288642924</v>
      </c>
      <c r="N110" s="1">
        <v>2832.6384555946302</v>
      </c>
      <c r="O110" s="1">
        <f t="shared" si="34"/>
        <v>3.4521911467900379</v>
      </c>
      <c r="P110" s="1">
        <v>-927.70930006735296</v>
      </c>
      <c r="Q110" s="1" t="e">
        <f ca="1"/>
        <v>#NAME?</v>
      </c>
      <c r="R110" s="1" t="e">
        <f t="shared" ca="1" si="19"/>
        <v>#NAME?</v>
      </c>
      <c r="S110" s="4">
        <v>1548529000000</v>
      </c>
      <c r="T110" s="1">
        <v>100920.33333333299</v>
      </c>
      <c r="U110" s="1" t="e">
        <f ca="1"/>
        <v>#NAME?</v>
      </c>
      <c r="V110" s="1" t="e">
        <f t="shared" ca="1" si="20"/>
        <v>#NAME?</v>
      </c>
      <c r="W110" s="1" t="e">
        <f ca="1"/>
        <v>#NAME?</v>
      </c>
      <c r="X110" s="1" t="e">
        <f t="shared" ca="1" si="21"/>
        <v>#NAME?</v>
      </c>
      <c r="Y110" s="1" t="e">
        <f ca="1"/>
        <v>#NAME?</v>
      </c>
      <c r="Z110" s="1" t="e">
        <f t="shared" ca="1" si="22"/>
        <v>#NAME?</v>
      </c>
      <c r="AA110" s="1" t="e">
        <f ca="1"/>
        <v>#NAME?</v>
      </c>
      <c r="AB110" s="1" t="e">
        <f t="shared" ca="1" si="23"/>
        <v>#NAME?</v>
      </c>
      <c r="AC110" s="1" t="e">
        <f ca="1"/>
        <v>#NAME?</v>
      </c>
      <c r="AD110" s="1" t="e">
        <f t="shared" ca="1" si="24"/>
        <v>#NAME?</v>
      </c>
      <c r="AE110" s="1" t="e">
        <f ca="1"/>
        <v>#NAME?</v>
      </c>
      <c r="AF110" s="1" t="e">
        <f t="shared" ca="1" si="25"/>
        <v>#NAME?</v>
      </c>
      <c r="AG110" s="1" t="e">
        <f ca="1"/>
        <v>#NAME?</v>
      </c>
      <c r="AH110" s="1" t="e">
        <f t="shared" ca="1" si="26"/>
        <v>#NAME?</v>
      </c>
      <c r="AI110" s="1" t="e">
        <f ca="1"/>
        <v>#NAME?</v>
      </c>
      <c r="AJ110" s="1" t="e">
        <f t="shared" ca="1" si="35"/>
        <v>#NAME?</v>
      </c>
      <c r="AK110" s="1" t="e">
        <f ca="1"/>
        <v>#NAME?</v>
      </c>
      <c r="AL110" s="1" t="e">
        <f t="shared" ca="1" si="27"/>
        <v>#NAME?</v>
      </c>
      <c r="AN110" s="1">
        <f t="shared" si="17"/>
        <v>4.0282501906009447</v>
      </c>
      <c r="AO110" s="1" t="e">
        <f ca="1"/>
        <v>#NAME?</v>
      </c>
      <c r="AP110" s="1" t="e">
        <f t="shared" ca="1" si="18"/>
        <v>#NAME?</v>
      </c>
    </row>
    <row r="111" spans="1:42" x14ac:dyDescent="0.25">
      <c r="A111" s="1" t="s">
        <v>126</v>
      </c>
      <c r="B111" s="1">
        <v>110</v>
      </c>
      <c r="C111" s="1">
        <v>34906.935510473399</v>
      </c>
      <c r="D111" s="1">
        <f t="shared" si="28"/>
        <v>4.5429117236549352</v>
      </c>
      <c r="E111" s="1">
        <v>22644.882896256</v>
      </c>
      <c r="F111" s="1">
        <f t="shared" si="29"/>
        <v>4.3549700791527215</v>
      </c>
      <c r="G111" s="1">
        <v>4774.4887019627304</v>
      </c>
      <c r="H111" s="1">
        <f t="shared" si="30"/>
        <v>3.6789268699918907</v>
      </c>
      <c r="I111" s="1">
        <v>9098.2187036120704</v>
      </c>
      <c r="J111" s="1">
        <f t="shared" si="31"/>
        <v>0.26064214949153186</v>
      </c>
      <c r="K111" s="1">
        <f t="shared" si="32"/>
        <v>3.9589563722202823</v>
      </c>
      <c r="L111" s="1">
        <v>1979.2305789213301</v>
      </c>
      <c r="M111" s="1">
        <f t="shared" si="33"/>
        <v>3.296496392144689</v>
      </c>
      <c r="N111" s="1">
        <v>2897.3899059871401</v>
      </c>
      <c r="O111" s="1">
        <f t="shared" si="34"/>
        <v>3.4620069427786331</v>
      </c>
      <c r="P111" s="1">
        <v>-918.15932706580895</v>
      </c>
      <c r="Q111" s="1" t="e">
        <f ca="1"/>
        <v>#NAME?</v>
      </c>
      <c r="R111" s="1" t="e">
        <f t="shared" ca="1" si="19"/>
        <v>#NAME?</v>
      </c>
      <c r="S111" s="4">
        <v>1573880000000</v>
      </c>
      <c r="T111" s="1">
        <v>101709</v>
      </c>
      <c r="U111" s="1" t="e">
        <f ca="1"/>
        <v>#NAME?</v>
      </c>
      <c r="V111" s="1" t="e">
        <f t="shared" ca="1" si="20"/>
        <v>#NAME?</v>
      </c>
      <c r="W111" s="1" t="e">
        <f ca="1"/>
        <v>#NAME?</v>
      </c>
      <c r="X111" s="1" t="e">
        <f t="shared" ca="1" si="21"/>
        <v>#NAME?</v>
      </c>
      <c r="Y111" s="1" t="e">
        <f ca="1"/>
        <v>#NAME?</v>
      </c>
      <c r="Z111" s="1" t="e">
        <f t="shared" ca="1" si="22"/>
        <v>#NAME?</v>
      </c>
      <c r="AA111" s="1" t="e">
        <f ca="1"/>
        <v>#NAME?</v>
      </c>
      <c r="AB111" s="1" t="e">
        <f t="shared" ca="1" si="23"/>
        <v>#NAME?</v>
      </c>
      <c r="AC111" s="1" t="e">
        <f ca="1"/>
        <v>#NAME?</v>
      </c>
      <c r="AD111" s="1" t="e">
        <f t="shared" ca="1" si="24"/>
        <v>#NAME?</v>
      </c>
      <c r="AE111" s="1" t="e">
        <f ca="1"/>
        <v>#NAME?</v>
      </c>
      <c r="AF111" s="1" t="e">
        <f t="shared" ca="1" si="25"/>
        <v>#NAME?</v>
      </c>
      <c r="AG111" s="1" t="e">
        <f ca="1"/>
        <v>#NAME?</v>
      </c>
      <c r="AH111" s="1" t="e">
        <f t="shared" ca="1" si="26"/>
        <v>#NAME?</v>
      </c>
      <c r="AI111" s="1" t="e">
        <f ca="1"/>
        <v>#NAME?</v>
      </c>
      <c r="AJ111" s="1" t="e">
        <f t="shared" ca="1" si="35"/>
        <v>#NAME?</v>
      </c>
      <c r="AK111" s="1" t="e">
        <f ca="1"/>
        <v>#NAME?</v>
      </c>
      <c r="AL111" s="1" t="e">
        <f t="shared" ca="1" si="27"/>
        <v>#NAME?</v>
      </c>
      <c r="AN111" s="1">
        <f t="shared" si="17"/>
        <v>4.0272919356744348</v>
      </c>
      <c r="AO111" s="1" t="e">
        <f ca="1"/>
        <v>#NAME?</v>
      </c>
      <c r="AP111" s="1" t="e">
        <f t="shared" ca="1" si="18"/>
        <v>#NAME?</v>
      </c>
    </row>
    <row r="112" spans="1:42" x14ac:dyDescent="0.25">
      <c r="A112" s="1" t="s">
        <v>127</v>
      </c>
      <c r="B112" s="1">
        <v>111</v>
      </c>
      <c r="C112" s="1">
        <v>35122.881704508101</v>
      </c>
      <c r="D112" s="1">
        <f t="shared" si="28"/>
        <v>4.5455901409762083</v>
      </c>
      <c r="E112" s="1">
        <v>22846.791707798599</v>
      </c>
      <c r="F112" s="1">
        <f t="shared" si="29"/>
        <v>4.3588252222865727</v>
      </c>
      <c r="G112" s="1">
        <v>4763.3966765383402</v>
      </c>
      <c r="H112" s="1">
        <f t="shared" si="30"/>
        <v>3.6779167493172467</v>
      </c>
      <c r="I112" s="1">
        <v>9085.2994406054604</v>
      </c>
      <c r="J112" s="1">
        <f t="shared" si="31"/>
        <v>0.25867181164236136</v>
      </c>
      <c r="K112" s="1">
        <f t="shared" si="32"/>
        <v>3.9583392457067403</v>
      </c>
      <c r="L112" s="1">
        <v>2060.04853570253</v>
      </c>
      <c r="M112" s="1">
        <f t="shared" si="33"/>
        <v>3.3138774526698667</v>
      </c>
      <c r="N112" s="1">
        <v>2946.5778216518602</v>
      </c>
      <c r="O112" s="1">
        <f t="shared" si="34"/>
        <v>3.4693179156730349</v>
      </c>
      <c r="P112" s="1">
        <v>-886.52928594932496</v>
      </c>
      <c r="Q112" s="1" t="e">
        <f ca="1"/>
        <v>#NAME?</v>
      </c>
      <c r="R112" s="1" t="e">
        <f t="shared" ca="1" si="19"/>
        <v>#NAME?</v>
      </c>
      <c r="S112" s="4">
        <v>1599722000000</v>
      </c>
      <c r="T112" s="1">
        <v>102438</v>
      </c>
      <c r="U112" s="1" t="e">
        <f ca="1"/>
        <v>#NAME?</v>
      </c>
      <c r="V112" s="1" t="e">
        <f t="shared" ca="1" si="20"/>
        <v>#NAME?</v>
      </c>
      <c r="W112" s="1" t="e">
        <f ca="1"/>
        <v>#NAME?</v>
      </c>
      <c r="X112" s="1" t="e">
        <f t="shared" ca="1" si="21"/>
        <v>#NAME?</v>
      </c>
      <c r="Y112" s="1" t="e">
        <f ca="1"/>
        <v>#NAME?</v>
      </c>
      <c r="Z112" s="1" t="e">
        <f t="shared" ca="1" si="22"/>
        <v>#NAME?</v>
      </c>
      <c r="AA112" s="1" t="e">
        <f ca="1"/>
        <v>#NAME?</v>
      </c>
      <c r="AB112" s="1" t="e">
        <f t="shared" ca="1" si="23"/>
        <v>#NAME?</v>
      </c>
      <c r="AC112" s="1" t="e">
        <f ca="1"/>
        <v>#NAME?</v>
      </c>
      <c r="AD112" s="1" t="e">
        <f t="shared" ca="1" si="24"/>
        <v>#NAME?</v>
      </c>
      <c r="AE112" s="1" t="e">
        <f ca="1"/>
        <v>#NAME?</v>
      </c>
      <c r="AF112" s="1" t="e">
        <f t="shared" ca="1" si="25"/>
        <v>#NAME?</v>
      </c>
      <c r="AG112" s="1" t="e">
        <f ca="1"/>
        <v>#NAME?</v>
      </c>
      <c r="AH112" s="1" t="e">
        <f t="shared" ca="1" si="26"/>
        <v>#NAME?</v>
      </c>
      <c r="AI112" s="1" t="e">
        <f ca="1"/>
        <v>#NAME?</v>
      </c>
      <c r="AJ112" s="1" t="e">
        <f t="shared" ca="1" si="35"/>
        <v>#NAME?</v>
      </c>
      <c r="AK112" s="1" t="e">
        <f ca="1"/>
        <v>#NAME?</v>
      </c>
      <c r="AL112" s="1" t="e">
        <f t="shared" ca="1" si="27"/>
        <v>#NAME?</v>
      </c>
      <c r="AN112" s="1">
        <f t="shared" si="17"/>
        <v>4.025439016644718</v>
      </c>
      <c r="AO112" s="1" t="e">
        <f ca="1"/>
        <v>#NAME?</v>
      </c>
      <c r="AP112" s="1" t="e">
        <f t="shared" ca="1" si="18"/>
        <v>#NAME?</v>
      </c>
    </row>
    <row r="113" spans="1:42" x14ac:dyDescent="0.25">
      <c r="A113" s="1" t="s">
        <v>128</v>
      </c>
      <c r="B113" s="1">
        <v>112</v>
      </c>
      <c r="C113" s="1">
        <v>35637.856401377001</v>
      </c>
      <c r="D113" s="1">
        <f t="shared" si="28"/>
        <v>4.5519115735620597</v>
      </c>
      <c r="E113" s="1">
        <v>22838.667985114102</v>
      </c>
      <c r="F113" s="1">
        <f t="shared" si="29"/>
        <v>4.3586707710456185</v>
      </c>
      <c r="G113" s="1">
        <v>5075.41820360166</v>
      </c>
      <c r="H113" s="1">
        <f t="shared" si="30"/>
        <v>3.7054718329958147</v>
      </c>
      <c r="I113" s="1">
        <v>9198.7723667636401</v>
      </c>
      <c r="J113" s="1">
        <f t="shared" si="31"/>
        <v>0.25811800415718078</v>
      </c>
      <c r="K113" s="1">
        <f t="shared" si="32"/>
        <v>3.963729871919996</v>
      </c>
      <c r="L113" s="1">
        <v>2131.6300195715598</v>
      </c>
      <c r="M113" s="1">
        <f t="shared" si="33"/>
        <v>3.328711827745678</v>
      </c>
      <c r="N113" s="1">
        <v>3006.9013339022899</v>
      </c>
      <c r="O113" s="1">
        <f t="shared" si="34"/>
        <v>3.4781191777364322</v>
      </c>
      <c r="P113" s="1">
        <v>-875.271314330731</v>
      </c>
      <c r="Q113" s="1" t="e">
        <f ca="1"/>
        <v>#NAME?</v>
      </c>
      <c r="R113" s="1" t="e">
        <f t="shared" ca="1" si="19"/>
        <v>#NAME?</v>
      </c>
      <c r="S113" s="4">
        <v>1600450000000</v>
      </c>
      <c r="T113" s="1">
        <v>103390.33333333299</v>
      </c>
      <c r="U113" s="1" t="e">
        <f ca="1"/>
        <v>#NAME?</v>
      </c>
      <c r="V113" s="1" t="e">
        <f t="shared" ca="1" si="20"/>
        <v>#NAME?</v>
      </c>
      <c r="W113" s="1" t="e">
        <f ca="1"/>
        <v>#NAME?</v>
      </c>
      <c r="X113" s="1" t="e">
        <f t="shared" ca="1" si="21"/>
        <v>#NAME?</v>
      </c>
      <c r="Y113" s="1" t="e">
        <f ca="1"/>
        <v>#NAME?</v>
      </c>
      <c r="Z113" s="1" t="e">
        <f t="shared" ca="1" si="22"/>
        <v>#NAME?</v>
      </c>
      <c r="AA113" s="1" t="e">
        <f ca="1"/>
        <v>#NAME?</v>
      </c>
      <c r="AB113" s="1" t="e">
        <f t="shared" ca="1" si="23"/>
        <v>#NAME?</v>
      </c>
      <c r="AC113" s="1" t="e">
        <f ca="1"/>
        <v>#NAME?</v>
      </c>
      <c r="AD113" s="1" t="e">
        <f t="shared" ca="1" si="24"/>
        <v>#NAME?</v>
      </c>
      <c r="AE113" s="1" t="e">
        <f ca="1"/>
        <v>#NAME?</v>
      </c>
      <c r="AF113" s="1" t="e">
        <f t="shared" ca="1" si="25"/>
        <v>#NAME?</v>
      </c>
      <c r="AG113" s="1" t="e">
        <f ca="1"/>
        <v>#NAME?</v>
      </c>
      <c r="AH113" s="1" t="e">
        <f t="shared" ca="1" si="26"/>
        <v>#NAME?</v>
      </c>
      <c r="AI113" s="1" t="e">
        <f ca="1"/>
        <v>#NAME?</v>
      </c>
      <c r="AJ113" s="1" t="e">
        <f t="shared" ca="1" si="35"/>
        <v>#NAME?</v>
      </c>
      <c r="AK113" s="1" t="e">
        <f ca="1"/>
        <v>#NAME?</v>
      </c>
      <c r="AL113" s="1" t="e">
        <f t="shared" ca="1" si="27"/>
        <v>#NAME?</v>
      </c>
      <c r="AN113" s="1">
        <f t="shared" si="17"/>
        <v>4.0291172549482113</v>
      </c>
      <c r="AO113" s="1" t="e">
        <f ca="1"/>
        <v>#NAME?</v>
      </c>
      <c r="AP113" s="1" t="e">
        <f t="shared" ca="1" si="18"/>
        <v>#NAME?</v>
      </c>
    </row>
    <row r="114" spans="1:42" x14ac:dyDescent="0.25">
      <c r="A114" s="1" t="s">
        <v>129</v>
      </c>
      <c r="B114" s="1">
        <v>113</v>
      </c>
      <c r="C114" s="1">
        <v>35750.544617702901</v>
      </c>
      <c r="D114" s="1">
        <f t="shared" si="28"/>
        <v>4.5532826621556035</v>
      </c>
      <c r="E114" s="1">
        <v>23195.771637292801</v>
      </c>
      <c r="F114" s="1">
        <f t="shared" si="29"/>
        <v>4.3654088244617704</v>
      </c>
      <c r="G114" s="1">
        <v>4822.1352289851302</v>
      </c>
      <c r="H114" s="1">
        <f t="shared" si="30"/>
        <v>3.6832393852987027</v>
      </c>
      <c r="I114" s="1">
        <v>9103.8336172443196</v>
      </c>
      <c r="J114" s="1">
        <f t="shared" si="31"/>
        <v>0.25464880925859512</v>
      </c>
      <c r="K114" s="1">
        <f t="shared" si="32"/>
        <v>3.9592243119054578</v>
      </c>
      <c r="L114" s="1">
        <v>2245.5161174081099</v>
      </c>
      <c r="M114" s="1">
        <f t="shared" si="33"/>
        <v>3.3513161766003741</v>
      </c>
      <c r="N114" s="1">
        <v>2986.76947520147</v>
      </c>
      <c r="O114" s="1">
        <f t="shared" si="34"/>
        <v>3.4752017041871861</v>
      </c>
      <c r="P114" s="1">
        <v>-741.25335779335603</v>
      </c>
      <c r="Q114" s="1" t="e">
        <f ca="1"/>
        <v>#NAME?</v>
      </c>
      <c r="R114" s="1" t="e">
        <f t="shared" ca="1" si="19"/>
        <v>#NAME?</v>
      </c>
      <c r="S114" s="4">
        <v>1589205000000</v>
      </c>
      <c r="T114" s="1">
        <v>104152</v>
      </c>
      <c r="U114" s="1" t="e">
        <f ca="1"/>
        <v>#NAME?</v>
      </c>
      <c r="V114" s="1" t="e">
        <f t="shared" ca="1" si="20"/>
        <v>#NAME?</v>
      </c>
      <c r="W114" s="1" t="e">
        <f ca="1"/>
        <v>#NAME?</v>
      </c>
      <c r="X114" s="1" t="e">
        <f t="shared" ca="1" si="21"/>
        <v>#NAME?</v>
      </c>
      <c r="Y114" s="1" t="e">
        <f ca="1"/>
        <v>#NAME?</v>
      </c>
      <c r="Z114" s="1" t="e">
        <f t="shared" ca="1" si="22"/>
        <v>#NAME?</v>
      </c>
      <c r="AA114" s="1" t="e">
        <f ca="1"/>
        <v>#NAME?</v>
      </c>
      <c r="AB114" s="1" t="e">
        <f t="shared" ca="1" si="23"/>
        <v>#NAME?</v>
      </c>
      <c r="AC114" s="1" t="e">
        <f ca="1"/>
        <v>#NAME?</v>
      </c>
      <c r="AD114" s="1" t="e">
        <f t="shared" ca="1" si="24"/>
        <v>#NAME?</v>
      </c>
      <c r="AE114" s="1" t="e">
        <f ca="1"/>
        <v>#NAME?</v>
      </c>
      <c r="AF114" s="1" t="e">
        <f t="shared" ca="1" si="25"/>
        <v>#NAME?</v>
      </c>
      <c r="AG114" s="1" t="e">
        <f ca="1"/>
        <v>#NAME?</v>
      </c>
      <c r="AH114" s="1" t="e">
        <f t="shared" ca="1" si="26"/>
        <v>#NAME?</v>
      </c>
      <c r="AI114" s="1" t="e">
        <f ca="1"/>
        <v>#NAME?</v>
      </c>
      <c r="AJ114" s="1" t="e">
        <f t="shared" ca="1" si="35"/>
        <v>#NAME?</v>
      </c>
      <c r="AK114" s="1" t="e">
        <f ca="1"/>
        <v>#NAME?</v>
      </c>
      <c r="AL114" s="1" t="e">
        <f t="shared" ca="1" si="27"/>
        <v>#NAME?</v>
      </c>
      <c r="AN114" s="1">
        <f t="shared" ref="AN114:AN177" si="36">LOG(C114*10^9)-0.36*LOG(S114)-0.64*LOG(T114*10^3)</f>
        <v>4.0295506170018012</v>
      </c>
      <c r="AO114" s="1" t="e">
        <f ca="1"/>
        <v>#NAME?</v>
      </c>
      <c r="AP114" s="1" t="e">
        <f t="shared" ref="AP114:AP177" ca="1" si="37">100*(AN114-AO114)/AO114</f>
        <v>#NAME?</v>
      </c>
    </row>
    <row r="115" spans="1:42" x14ac:dyDescent="0.25">
      <c r="A115" s="1" t="s">
        <v>130</v>
      </c>
      <c r="B115" s="1">
        <v>114</v>
      </c>
      <c r="C115" s="1">
        <v>36145.082462936603</v>
      </c>
      <c r="D115" s="1">
        <f t="shared" si="28"/>
        <v>4.5580492199021183</v>
      </c>
      <c r="E115" s="1">
        <v>23318.516157505001</v>
      </c>
      <c r="F115" s="1">
        <f t="shared" si="29"/>
        <v>4.3677009112194503</v>
      </c>
      <c r="G115" s="1">
        <v>4926.7804311937098</v>
      </c>
      <c r="H115" s="1">
        <f t="shared" si="30"/>
        <v>3.6925632077699753</v>
      </c>
      <c r="I115" s="1">
        <v>9112.0645973291503</v>
      </c>
      <c r="J115" s="1">
        <f t="shared" si="31"/>
        <v>0.2520969375757468</v>
      </c>
      <c r="K115" s="1">
        <f t="shared" si="32"/>
        <v>3.9596167898862498</v>
      </c>
      <c r="L115" s="1">
        <v>2303.65403161215</v>
      </c>
      <c r="M115" s="1">
        <f t="shared" si="33"/>
        <v>3.3624172562425763</v>
      </c>
      <c r="N115" s="1">
        <v>2946.23972278069</v>
      </c>
      <c r="O115" s="1">
        <f t="shared" si="34"/>
        <v>3.4692680806075029</v>
      </c>
      <c r="P115" s="1">
        <v>-642.58569116853801</v>
      </c>
      <c r="Q115" s="1" t="e">
        <f ca="1"/>
        <v>#NAME?</v>
      </c>
      <c r="R115" s="1" t="e">
        <f t="shared" ca="1" si="19"/>
        <v>#NAME?</v>
      </c>
      <c r="S115" s="4">
        <v>1617439000000</v>
      </c>
      <c r="T115" s="1">
        <v>105006.66666666701</v>
      </c>
      <c r="U115" s="1" t="e">
        <f ca="1"/>
        <v>#NAME?</v>
      </c>
      <c r="V115" s="1" t="e">
        <f t="shared" ca="1" si="20"/>
        <v>#NAME?</v>
      </c>
      <c r="W115" s="1" t="e">
        <f ca="1"/>
        <v>#NAME?</v>
      </c>
      <c r="X115" s="1" t="e">
        <f t="shared" ca="1" si="21"/>
        <v>#NAME?</v>
      </c>
      <c r="Y115" s="1" t="e">
        <f ca="1"/>
        <v>#NAME?</v>
      </c>
      <c r="Z115" s="1" t="e">
        <f t="shared" ca="1" si="22"/>
        <v>#NAME?</v>
      </c>
      <c r="AA115" s="1" t="e">
        <f ca="1"/>
        <v>#NAME?</v>
      </c>
      <c r="AB115" s="1" t="e">
        <f t="shared" ca="1" si="23"/>
        <v>#NAME?</v>
      </c>
      <c r="AC115" s="1" t="e">
        <f ca="1"/>
        <v>#NAME?</v>
      </c>
      <c r="AD115" s="1" t="e">
        <f t="shared" ca="1" si="24"/>
        <v>#NAME?</v>
      </c>
      <c r="AE115" s="1" t="e">
        <f ca="1"/>
        <v>#NAME?</v>
      </c>
      <c r="AF115" s="1" t="e">
        <f t="shared" ca="1" si="25"/>
        <v>#NAME?</v>
      </c>
      <c r="AG115" s="1" t="e">
        <f ca="1"/>
        <v>#NAME?</v>
      </c>
      <c r="AH115" s="1" t="e">
        <f t="shared" ca="1" si="26"/>
        <v>#NAME?</v>
      </c>
      <c r="AI115" s="1" t="e">
        <f ca="1"/>
        <v>#NAME?</v>
      </c>
      <c r="AJ115" s="1" t="e">
        <f t="shared" ca="1" si="35"/>
        <v>#NAME?</v>
      </c>
      <c r="AK115" s="1" t="e">
        <f ca="1"/>
        <v>#NAME?</v>
      </c>
      <c r="AL115" s="1" t="e">
        <f t="shared" ca="1" si="27"/>
        <v>#NAME?</v>
      </c>
      <c r="AN115" s="1">
        <f t="shared" si="36"/>
        <v>4.0292923736863395</v>
      </c>
      <c r="AO115" s="1" t="e">
        <f ca="1"/>
        <v>#NAME?</v>
      </c>
      <c r="AP115" s="1" t="e">
        <f t="shared" ca="1" si="37"/>
        <v>#NAME?</v>
      </c>
    </row>
    <row r="116" spans="1:42" x14ac:dyDescent="0.25">
      <c r="A116" s="1" t="s">
        <v>131</v>
      </c>
      <c r="B116" s="1">
        <v>115</v>
      </c>
      <c r="C116" s="1">
        <v>36262.327086576901</v>
      </c>
      <c r="D116" s="1">
        <f t="shared" si="28"/>
        <v>4.5594556709241427</v>
      </c>
      <c r="E116" s="1">
        <v>23464.545106254602</v>
      </c>
      <c r="F116" s="1">
        <f t="shared" si="29"/>
        <v>4.3704121392108428</v>
      </c>
      <c r="G116" s="1">
        <v>4941.2685344441097</v>
      </c>
      <c r="H116" s="1">
        <f t="shared" si="30"/>
        <v>3.693838456370345</v>
      </c>
      <c r="I116" s="1">
        <v>9089.4381179846296</v>
      </c>
      <c r="J116" s="1">
        <f t="shared" si="31"/>
        <v>0.25065788238806203</v>
      </c>
      <c r="K116" s="1">
        <f t="shared" si="32"/>
        <v>3.9585370372592648</v>
      </c>
      <c r="L116" s="1">
        <v>2342.9412196255198</v>
      </c>
      <c r="M116" s="1">
        <f t="shared" si="33"/>
        <v>3.3697613930303794</v>
      </c>
      <c r="N116" s="1">
        <v>3007.9110183653002</v>
      </c>
      <c r="O116" s="1">
        <f t="shared" si="34"/>
        <v>3.4782649845776725</v>
      </c>
      <c r="P116" s="1">
        <v>-664.96979873978</v>
      </c>
      <c r="Q116" s="1" t="e">
        <f ca="1"/>
        <v>#NAME?</v>
      </c>
      <c r="R116" s="1" t="e">
        <f t="shared" ca="1" si="19"/>
        <v>#NAME?</v>
      </c>
      <c r="S116" s="4">
        <v>1621352000000</v>
      </c>
      <c r="T116" s="1">
        <v>105745.66666666701</v>
      </c>
      <c r="U116" s="1" t="e">
        <f ca="1"/>
        <v>#NAME?</v>
      </c>
      <c r="V116" s="1" t="e">
        <f t="shared" ca="1" si="20"/>
        <v>#NAME?</v>
      </c>
      <c r="W116" s="1" t="e">
        <f ca="1"/>
        <v>#NAME?</v>
      </c>
      <c r="X116" s="1" t="e">
        <f t="shared" ca="1" si="21"/>
        <v>#NAME?</v>
      </c>
      <c r="Y116" s="1" t="e">
        <f ca="1"/>
        <v>#NAME?</v>
      </c>
      <c r="Z116" s="1" t="e">
        <f t="shared" ca="1" si="22"/>
        <v>#NAME?</v>
      </c>
      <c r="AA116" s="1" t="e">
        <f ca="1"/>
        <v>#NAME?</v>
      </c>
      <c r="AB116" s="1" t="e">
        <f t="shared" ca="1" si="23"/>
        <v>#NAME?</v>
      </c>
      <c r="AC116" s="1" t="e">
        <f ca="1"/>
        <v>#NAME?</v>
      </c>
      <c r="AD116" s="1" t="e">
        <f t="shared" ca="1" si="24"/>
        <v>#NAME?</v>
      </c>
      <c r="AE116" s="1" t="e">
        <f ca="1"/>
        <v>#NAME?</v>
      </c>
      <c r="AF116" s="1" t="e">
        <f t="shared" ca="1" si="25"/>
        <v>#NAME?</v>
      </c>
      <c r="AG116" s="1" t="e">
        <f ca="1"/>
        <v>#NAME?</v>
      </c>
      <c r="AH116" s="1" t="e">
        <f t="shared" ca="1" si="26"/>
        <v>#NAME?</v>
      </c>
      <c r="AI116" s="1" t="e">
        <f ca="1"/>
        <v>#NAME?</v>
      </c>
      <c r="AJ116" s="1" t="e">
        <f t="shared" ca="1" si="35"/>
        <v>#NAME?</v>
      </c>
      <c r="AK116" s="1" t="e">
        <f ca="1"/>
        <v>#NAME?</v>
      </c>
      <c r="AL116" s="1" t="e">
        <f t="shared" ca="1" si="27"/>
        <v>#NAME?</v>
      </c>
      <c r="AN116" s="1">
        <f t="shared" si="36"/>
        <v>4.0283717878405394</v>
      </c>
      <c r="AO116" s="1" t="e">
        <f ca="1"/>
        <v>#NAME?</v>
      </c>
      <c r="AP116" s="1" t="e">
        <f t="shared" ca="1" si="37"/>
        <v>#NAME?</v>
      </c>
    </row>
    <row r="117" spans="1:42" x14ac:dyDescent="0.25">
      <c r="A117" s="1" t="s">
        <v>132</v>
      </c>
      <c r="B117" s="1">
        <v>116</v>
      </c>
      <c r="C117" s="1">
        <v>36654.094468341202</v>
      </c>
      <c r="D117" s="1">
        <f t="shared" si="28"/>
        <v>4.5641224948212251</v>
      </c>
      <c r="E117" s="1">
        <v>23672.2921054129</v>
      </c>
      <c r="F117" s="1">
        <f t="shared" si="29"/>
        <v>4.3742403111837636</v>
      </c>
      <c r="G117" s="1">
        <v>5004.1916362424099</v>
      </c>
      <c r="H117" s="1">
        <f t="shared" si="30"/>
        <v>3.6993339327098322</v>
      </c>
      <c r="I117" s="1">
        <v>9242.7571290341002</v>
      </c>
      <c r="J117" s="1">
        <f t="shared" si="31"/>
        <v>0.25216165514652761</v>
      </c>
      <c r="K117" s="1">
        <f t="shared" si="32"/>
        <v>3.9658015412756917</v>
      </c>
      <c r="L117" s="1">
        <v>2408.4426302822299</v>
      </c>
      <c r="M117" s="1">
        <f t="shared" si="33"/>
        <v>3.3817363057683276</v>
      </c>
      <c r="N117" s="1">
        <v>3091.8256994869198</v>
      </c>
      <c r="O117" s="1">
        <f t="shared" si="34"/>
        <v>3.4902150027480014</v>
      </c>
      <c r="P117" s="1">
        <v>-683.38306920468699</v>
      </c>
      <c r="Q117" s="1" t="e">
        <f ca="1"/>
        <v>#NAME?</v>
      </c>
      <c r="R117" s="1" t="e">
        <f t="shared" ca="1" si="19"/>
        <v>#NAME?</v>
      </c>
      <c r="S117" s="4">
        <v>1640766000000</v>
      </c>
      <c r="T117" s="1">
        <v>106597</v>
      </c>
      <c r="U117" s="1" t="e">
        <f ca="1"/>
        <v>#NAME?</v>
      </c>
      <c r="V117" s="1" t="e">
        <f t="shared" ca="1" si="20"/>
        <v>#NAME?</v>
      </c>
      <c r="W117" s="1" t="e">
        <f ca="1"/>
        <v>#NAME?</v>
      </c>
      <c r="X117" s="1" t="e">
        <f t="shared" ca="1" si="21"/>
        <v>#NAME?</v>
      </c>
      <c r="Y117" s="1" t="e">
        <f ca="1"/>
        <v>#NAME?</v>
      </c>
      <c r="Z117" s="1" t="e">
        <f t="shared" ca="1" si="22"/>
        <v>#NAME?</v>
      </c>
      <c r="AA117" s="1" t="e">
        <f ca="1"/>
        <v>#NAME?</v>
      </c>
      <c r="AB117" s="1" t="e">
        <f t="shared" ca="1" si="23"/>
        <v>#NAME?</v>
      </c>
      <c r="AC117" s="1" t="e">
        <f ca="1"/>
        <v>#NAME?</v>
      </c>
      <c r="AD117" s="1" t="e">
        <f t="shared" ca="1" si="24"/>
        <v>#NAME?</v>
      </c>
      <c r="AE117" s="1" t="e">
        <f ca="1"/>
        <v>#NAME?</v>
      </c>
      <c r="AF117" s="1" t="e">
        <f t="shared" ca="1" si="25"/>
        <v>#NAME?</v>
      </c>
      <c r="AG117" s="1" t="e">
        <f ca="1"/>
        <v>#NAME?</v>
      </c>
      <c r="AH117" s="1" t="e">
        <f t="shared" ca="1" si="26"/>
        <v>#NAME?</v>
      </c>
      <c r="AI117" s="1" t="e">
        <f ca="1"/>
        <v>#NAME?</v>
      </c>
      <c r="AJ117" s="1" t="e">
        <f t="shared" ca="1" si="35"/>
        <v>#NAME?</v>
      </c>
      <c r="AK117" s="1" t="e">
        <f ca="1"/>
        <v>#NAME?</v>
      </c>
      <c r="AL117" s="1" t="e">
        <f t="shared" ca="1" si="27"/>
        <v>#NAME?</v>
      </c>
      <c r="AN117" s="1">
        <f t="shared" si="36"/>
        <v>4.0289489128421714</v>
      </c>
      <c r="AO117" s="1" t="e">
        <f ca="1"/>
        <v>#NAME?</v>
      </c>
      <c r="AP117" s="1" t="e">
        <f t="shared" ca="1" si="37"/>
        <v>#NAME?</v>
      </c>
    </row>
    <row r="118" spans="1:42" x14ac:dyDescent="0.25">
      <c r="A118" s="1" t="s">
        <v>133</v>
      </c>
      <c r="B118" s="1">
        <v>117</v>
      </c>
      <c r="C118" s="1">
        <v>36952.503448835501</v>
      </c>
      <c r="D118" s="1">
        <f t="shared" si="28"/>
        <v>4.567643866200001</v>
      </c>
      <c r="E118" s="1">
        <v>23734.4477805729</v>
      </c>
      <c r="F118" s="1">
        <f t="shared" si="29"/>
        <v>4.3753791316246362</v>
      </c>
      <c r="G118" s="1">
        <v>5163.6695609835297</v>
      </c>
      <c r="H118" s="1">
        <f t="shared" si="30"/>
        <v>3.7129584426507125</v>
      </c>
      <c r="I118" s="1">
        <v>9183.6849793069905</v>
      </c>
      <c r="J118" s="1">
        <f t="shared" si="31"/>
        <v>0.24852673356820698</v>
      </c>
      <c r="K118" s="1">
        <f t="shared" si="32"/>
        <v>3.9630169780487692</v>
      </c>
      <c r="L118" s="1">
        <v>2475.4037166274402</v>
      </c>
      <c r="M118" s="1">
        <f t="shared" si="33"/>
        <v>3.3936460386656382</v>
      </c>
      <c r="N118" s="1">
        <v>3099.97971273229</v>
      </c>
      <c r="O118" s="1">
        <f t="shared" si="34"/>
        <v>3.4913588516803213</v>
      </c>
      <c r="P118" s="1">
        <v>-624.57599610484499</v>
      </c>
      <c r="Q118" s="1" t="e">
        <f ca="1"/>
        <v>#NAME?</v>
      </c>
      <c r="R118" s="1" t="e">
        <f t="shared" ca="1" si="19"/>
        <v>#NAME?</v>
      </c>
      <c r="S118" s="4">
        <v>1650856000000</v>
      </c>
      <c r="T118" s="1">
        <v>107403</v>
      </c>
      <c r="U118" s="1" t="e">
        <f ca="1"/>
        <v>#NAME?</v>
      </c>
      <c r="V118" s="1" t="e">
        <f t="shared" ca="1" si="20"/>
        <v>#NAME?</v>
      </c>
      <c r="W118" s="1" t="e">
        <f ca="1"/>
        <v>#NAME?</v>
      </c>
      <c r="X118" s="1" t="e">
        <f t="shared" ca="1" si="21"/>
        <v>#NAME?</v>
      </c>
      <c r="Y118" s="1" t="e">
        <f ca="1"/>
        <v>#NAME?</v>
      </c>
      <c r="Z118" s="1" t="e">
        <f t="shared" ca="1" si="22"/>
        <v>#NAME?</v>
      </c>
      <c r="AA118" s="1" t="e">
        <f ca="1"/>
        <v>#NAME?</v>
      </c>
      <c r="AB118" s="1" t="e">
        <f t="shared" ca="1" si="23"/>
        <v>#NAME?</v>
      </c>
      <c r="AC118" s="1" t="e">
        <f ca="1"/>
        <v>#NAME?</v>
      </c>
      <c r="AD118" s="1" t="e">
        <f t="shared" ca="1" si="24"/>
        <v>#NAME?</v>
      </c>
      <c r="AE118" s="1" t="e">
        <f ca="1"/>
        <v>#NAME?</v>
      </c>
      <c r="AF118" s="1" t="e">
        <f t="shared" ca="1" si="25"/>
        <v>#NAME?</v>
      </c>
      <c r="AG118" s="1" t="e">
        <f ca="1"/>
        <v>#NAME?</v>
      </c>
      <c r="AH118" s="1" t="e">
        <f t="shared" ca="1" si="26"/>
        <v>#NAME?</v>
      </c>
      <c r="AI118" s="1" t="e">
        <f ca="1"/>
        <v>#NAME?</v>
      </c>
      <c r="AJ118" s="1" t="e">
        <f t="shared" ca="1" si="35"/>
        <v>#NAME?</v>
      </c>
      <c r="AK118" s="1" t="e">
        <f ca="1"/>
        <v>#NAME?</v>
      </c>
      <c r="AL118" s="1" t="e">
        <f t="shared" ca="1" si="27"/>
        <v>#NAME?</v>
      </c>
      <c r="AN118" s="1">
        <f t="shared" si="36"/>
        <v>4.0294180530106498</v>
      </c>
      <c r="AO118" s="1" t="e">
        <f ca="1"/>
        <v>#NAME?</v>
      </c>
      <c r="AP118" s="1" t="e">
        <f t="shared" ca="1" si="37"/>
        <v>#NAME?</v>
      </c>
    </row>
    <row r="119" spans="1:42" x14ac:dyDescent="0.25">
      <c r="A119" s="1" t="s">
        <v>134</v>
      </c>
      <c r="B119" s="1">
        <v>118</v>
      </c>
      <c r="C119" s="1">
        <v>37150.588825870298</v>
      </c>
      <c r="D119" s="1">
        <f t="shared" si="28"/>
        <v>4.5699657015905295</v>
      </c>
      <c r="E119" s="1">
        <v>23791.463745410201</v>
      </c>
      <c r="F119" s="1">
        <f t="shared" si="29"/>
        <v>4.3764211623819014</v>
      </c>
      <c r="G119" s="1">
        <v>5102.1913471542503</v>
      </c>
      <c r="H119" s="1">
        <f t="shared" si="30"/>
        <v>3.707756741897239</v>
      </c>
      <c r="I119" s="1">
        <v>9303.9143054931501</v>
      </c>
      <c r="J119" s="1">
        <f t="shared" si="31"/>
        <v>0.25043786921122091</v>
      </c>
      <c r="K119" s="1">
        <f t="shared" si="32"/>
        <v>3.9686657016319518</v>
      </c>
      <c r="L119" s="1">
        <v>2577.9602213612802</v>
      </c>
      <c r="M119" s="1">
        <f t="shared" si="33"/>
        <v>3.4112762117851978</v>
      </c>
      <c r="N119" s="1">
        <v>3107.65250974629</v>
      </c>
      <c r="O119" s="1">
        <f t="shared" si="34"/>
        <v>3.492432451075866</v>
      </c>
      <c r="P119" s="1">
        <v>-529.69228838500999</v>
      </c>
      <c r="Q119" s="1" t="e">
        <f ca="1"/>
        <v>#NAME?</v>
      </c>
      <c r="R119" s="1" t="e">
        <f t="shared" ca="1" si="19"/>
        <v>#NAME?</v>
      </c>
      <c r="S119" s="4">
        <v>1654579000000</v>
      </c>
      <c r="T119" s="1">
        <v>107910.33333333299</v>
      </c>
      <c r="U119" s="1" t="e">
        <f ca="1"/>
        <v>#NAME?</v>
      </c>
      <c r="V119" s="1" t="e">
        <f t="shared" ca="1" si="20"/>
        <v>#NAME?</v>
      </c>
      <c r="W119" s="1" t="e">
        <f ca="1"/>
        <v>#NAME?</v>
      </c>
      <c r="X119" s="1" t="e">
        <f t="shared" ca="1" si="21"/>
        <v>#NAME?</v>
      </c>
      <c r="Y119" s="1" t="e">
        <f ca="1"/>
        <v>#NAME?</v>
      </c>
      <c r="Z119" s="1" t="e">
        <f t="shared" ca="1" si="22"/>
        <v>#NAME?</v>
      </c>
      <c r="AA119" s="1" t="e">
        <f ca="1"/>
        <v>#NAME?</v>
      </c>
      <c r="AB119" s="1" t="e">
        <f t="shared" ca="1" si="23"/>
        <v>#NAME?</v>
      </c>
      <c r="AC119" s="1" t="e">
        <f ca="1"/>
        <v>#NAME?</v>
      </c>
      <c r="AD119" s="1" t="e">
        <f t="shared" ca="1" si="24"/>
        <v>#NAME?</v>
      </c>
      <c r="AE119" s="1" t="e">
        <f ca="1"/>
        <v>#NAME?</v>
      </c>
      <c r="AF119" s="1" t="e">
        <f t="shared" ca="1" si="25"/>
        <v>#NAME?</v>
      </c>
      <c r="AG119" s="1" t="e">
        <f ca="1"/>
        <v>#NAME?</v>
      </c>
      <c r="AH119" s="1" t="e">
        <f t="shared" ca="1" si="26"/>
        <v>#NAME?</v>
      </c>
      <c r="AI119" s="1" t="e">
        <f ca="1"/>
        <v>#NAME?</v>
      </c>
      <c r="AJ119" s="1" t="e">
        <f t="shared" ca="1" si="35"/>
        <v>#NAME?</v>
      </c>
      <c r="AK119" s="1" t="e">
        <f ca="1"/>
        <v>#NAME?</v>
      </c>
      <c r="AL119" s="1" t="e">
        <f t="shared" ca="1" si="27"/>
        <v>#NAME?</v>
      </c>
      <c r="AN119" s="1">
        <f t="shared" si="36"/>
        <v>4.030077856928294</v>
      </c>
      <c r="AO119" s="1" t="e">
        <f ca="1"/>
        <v>#NAME?</v>
      </c>
      <c r="AP119" s="1" t="e">
        <f t="shared" ca="1" si="37"/>
        <v>#NAME?</v>
      </c>
    </row>
    <row r="120" spans="1:42" x14ac:dyDescent="0.25">
      <c r="A120" s="1" t="s">
        <v>135</v>
      </c>
      <c r="B120" s="1">
        <v>119</v>
      </c>
      <c r="C120" s="1">
        <v>37322.933572334099</v>
      </c>
      <c r="D120" s="1">
        <f t="shared" si="28"/>
        <v>4.5719757718431193</v>
      </c>
      <c r="E120" s="1">
        <v>23955.7444953128</v>
      </c>
      <c r="F120" s="1">
        <f t="shared" si="29"/>
        <v>4.3794096723839733</v>
      </c>
      <c r="G120" s="1">
        <v>5042.4791479947398</v>
      </c>
      <c r="H120" s="1">
        <f t="shared" si="30"/>
        <v>3.702644110964219</v>
      </c>
      <c r="I120" s="1">
        <v>9361.8115608523294</v>
      </c>
      <c r="J120" s="1">
        <f t="shared" si="31"/>
        <v>0.25083268287870708</v>
      </c>
      <c r="K120" s="1">
        <f t="shared" si="32"/>
        <v>3.9713598951864628</v>
      </c>
      <c r="L120" s="1">
        <v>2597.1344136811799</v>
      </c>
      <c r="M120" s="1">
        <f t="shared" si="33"/>
        <v>3.4144944269529116</v>
      </c>
      <c r="N120" s="1">
        <v>3094.8937819441398</v>
      </c>
      <c r="O120" s="1">
        <f t="shared" si="34"/>
        <v>3.4906457484426867</v>
      </c>
      <c r="P120" s="1">
        <v>-497.75936826296601</v>
      </c>
      <c r="Q120" s="1" t="e">
        <f ca="1"/>
        <v>#NAME?</v>
      </c>
      <c r="R120" s="1" t="e">
        <f t="shared" ca="1" si="19"/>
        <v>#NAME?</v>
      </c>
      <c r="S120" s="4">
        <v>1684920000000</v>
      </c>
      <c r="T120" s="1">
        <v>108186</v>
      </c>
      <c r="U120" s="1" t="e">
        <f ca="1"/>
        <v>#NAME?</v>
      </c>
      <c r="V120" s="1" t="e">
        <f t="shared" ca="1" si="20"/>
        <v>#NAME?</v>
      </c>
      <c r="W120" s="1" t="e">
        <f ca="1"/>
        <v>#NAME?</v>
      </c>
      <c r="X120" s="1" t="e">
        <f t="shared" ca="1" si="21"/>
        <v>#NAME?</v>
      </c>
      <c r="Y120" s="1" t="e">
        <f ca="1"/>
        <v>#NAME?</v>
      </c>
      <c r="Z120" s="1" t="e">
        <f t="shared" ca="1" si="22"/>
        <v>#NAME?</v>
      </c>
      <c r="AA120" s="1" t="e">
        <f ca="1"/>
        <v>#NAME?</v>
      </c>
      <c r="AB120" s="1" t="e">
        <f t="shared" ca="1" si="23"/>
        <v>#NAME?</v>
      </c>
      <c r="AC120" s="1" t="e">
        <f ca="1"/>
        <v>#NAME?</v>
      </c>
      <c r="AD120" s="1" t="e">
        <f t="shared" ca="1" si="24"/>
        <v>#NAME?</v>
      </c>
      <c r="AE120" s="1" t="e">
        <f ca="1"/>
        <v>#NAME?</v>
      </c>
      <c r="AF120" s="1" t="e">
        <f t="shared" ca="1" si="25"/>
        <v>#NAME?</v>
      </c>
      <c r="AG120" s="1" t="e">
        <f ca="1"/>
        <v>#NAME?</v>
      </c>
      <c r="AH120" s="1" t="e">
        <f t="shared" ca="1" si="26"/>
        <v>#NAME?</v>
      </c>
      <c r="AI120" s="1" t="e">
        <f ca="1"/>
        <v>#NAME?</v>
      </c>
      <c r="AJ120" s="1" t="e">
        <f t="shared" ca="1" si="35"/>
        <v>#NAME?</v>
      </c>
      <c r="AK120" s="1" t="e">
        <f ca="1"/>
        <v>#NAME?</v>
      </c>
      <c r="AL120" s="1" t="e">
        <f t="shared" ca="1" si="27"/>
        <v>#NAME?</v>
      </c>
      <c r="AN120" s="1">
        <f t="shared" si="36"/>
        <v>4.0285377482920079</v>
      </c>
      <c r="AO120" s="1" t="e">
        <f ca="1"/>
        <v>#NAME?</v>
      </c>
      <c r="AP120" s="1" t="e">
        <f t="shared" ca="1" si="37"/>
        <v>#NAME?</v>
      </c>
    </row>
    <row r="121" spans="1:42" x14ac:dyDescent="0.25">
      <c r="A121" s="1" t="s">
        <v>136</v>
      </c>
      <c r="B121" s="1">
        <v>120</v>
      </c>
      <c r="C121" s="1">
        <v>37294.696707384799</v>
      </c>
      <c r="D121" s="1">
        <f t="shared" si="28"/>
        <v>4.5716470796781943</v>
      </c>
      <c r="E121" s="1">
        <v>23994.379443903101</v>
      </c>
      <c r="F121" s="1">
        <f t="shared" si="29"/>
        <v>4.3801095224462436</v>
      </c>
      <c r="G121" s="1">
        <v>4991.4524064515599</v>
      </c>
      <c r="H121" s="1">
        <f t="shared" si="30"/>
        <v>3.6982269344666481</v>
      </c>
      <c r="I121" s="1">
        <v>9383.1640993018591</v>
      </c>
      <c r="J121" s="1">
        <f t="shared" si="31"/>
        <v>0.25159513088207741</v>
      </c>
      <c r="K121" s="1">
        <f t="shared" si="32"/>
        <v>3.9723493116362127</v>
      </c>
      <c r="L121" s="1">
        <v>2629.2727902276401</v>
      </c>
      <c r="M121" s="1">
        <f t="shared" si="33"/>
        <v>3.4198356470210065</v>
      </c>
      <c r="N121" s="1">
        <v>3142.3136077045101</v>
      </c>
      <c r="O121" s="1">
        <f t="shared" si="34"/>
        <v>3.4972495261205476</v>
      </c>
      <c r="P121" s="1">
        <v>-513.04081747686996</v>
      </c>
      <c r="Q121" s="1" t="e">
        <f ca="1"/>
        <v>#NAME?</v>
      </c>
      <c r="R121" s="1" t="e">
        <f t="shared" ca="1" si="19"/>
        <v>#NAME?</v>
      </c>
      <c r="S121" s="4">
        <v>1667974000000</v>
      </c>
      <c r="T121" s="1">
        <v>108688</v>
      </c>
      <c r="U121" s="1" t="e">
        <f ca="1"/>
        <v>#NAME?</v>
      </c>
      <c r="V121" s="1" t="e">
        <f t="shared" ca="1" si="20"/>
        <v>#NAME?</v>
      </c>
      <c r="W121" s="1" t="e">
        <f ca="1"/>
        <v>#NAME?</v>
      </c>
      <c r="X121" s="1" t="e">
        <f t="shared" ca="1" si="21"/>
        <v>#NAME?</v>
      </c>
      <c r="Y121" s="1" t="e">
        <f ca="1"/>
        <v>#NAME?</v>
      </c>
      <c r="Z121" s="1" t="e">
        <f t="shared" ca="1" si="22"/>
        <v>#NAME?</v>
      </c>
      <c r="AA121" s="1" t="e">
        <f ca="1"/>
        <v>#NAME?</v>
      </c>
      <c r="AB121" s="1" t="e">
        <f t="shared" ca="1" si="23"/>
        <v>#NAME?</v>
      </c>
      <c r="AC121" s="1" t="e">
        <f ca="1"/>
        <v>#NAME?</v>
      </c>
      <c r="AD121" s="1" t="e">
        <f t="shared" ca="1" si="24"/>
        <v>#NAME?</v>
      </c>
      <c r="AE121" s="1" t="e">
        <f ca="1"/>
        <v>#NAME?</v>
      </c>
      <c r="AF121" s="1" t="e">
        <f t="shared" ca="1" si="25"/>
        <v>#NAME?</v>
      </c>
      <c r="AG121" s="1" t="e">
        <f ca="1"/>
        <v>#NAME?</v>
      </c>
      <c r="AH121" s="1" t="e">
        <f t="shared" ca="1" si="26"/>
        <v>#NAME?</v>
      </c>
      <c r="AI121" s="1" t="e">
        <f ca="1"/>
        <v>#NAME?</v>
      </c>
      <c r="AJ121" s="1" t="e">
        <f t="shared" ca="1" si="35"/>
        <v>#NAME?</v>
      </c>
      <c r="AK121" s="1" t="e">
        <f ca="1"/>
        <v>#NAME?</v>
      </c>
      <c r="AL121" s="1" t="e">
        <f t="shared" ca="1" si="27"/>
        <v>#NAME?</v>
      </c>
      <c r="AN121" s="1">
        <f t="shared" si="36"/>
        <v>4.0285027178388857</v>
      </c>
      <c r="AO121" s="1" t="e">
        <f ca="1"/>
        <v>#NAME?</v>
      </c>
      <c r="AP121" s="1" t="e">
        <f t="shared" ca="1" si="37"/>
        <v>#NAME?</v>
      </c>
    </row>
    <row r="122" spans="1:42" x14ac:dyDescent="0.25">
      <c r="A122" s="1" t="s">
        <v>137</v>
      </c>
      <c r="B122" s="1">
        <v>121</v>
      </c>
      <c r="C122" s="1">
        <v>37617.134524536399</v>
      </c>
      <c r="D122" s="1">
        <f t="shared" si="28"/>
        <v>4.5753857102048201</v>
      </c>
      <c r="E122" s="1">
        <v>24141.687019956898</v>
      </c>
      <c r="F122" s="1">
        <f t="shared" si="29"/>
        <v>4.3827676152997856</v>
      </c>
      <c r="G122" s="1">
        <v>5029.6381399235097</v>
      </c>
      <c r="H122" s="1">
        <f t="shared" si="30"/>
        <v>3.7015367406249999</v>
      </c>
      <c r="I122" s="1">
        <v>9511.6817173892105</v>
      </c>
      <c r="J122" s="1">
        <f t="shared" si="31"/>
        <v>0.25285503102808266</v>
      </c>
      <c r="K122" s="1">
        <f t="shared" si="32"/>
        <v>3.9782573093677582</v>
      </c>
      <c r="L122" s="1">
        <v>2737.2658032586701</v>
      </c>
      <c r="M122" s="1">
        <f t="shared" si="33"/>
        <v>3.4373169717921326</v>
      </c>
      <c r="N122" s="1">
        <v>3234.6426390718898</v>
      </c>
      <c r="O122" s="1">
        <f t="shared" si="34"/>
        <v>3.5098263071215681</v>
      </c>
      <c r="P122" s="1">
        <v>-497.37683581322102</v>
      </c>
      <c r="Q122" s="1" t="e">
        <f ca="1"/>
        <v>#NAME?</v>
      </c>
      <c r="R122" s="1" t="e">
        <f t="shared" ca="1" si="19"/>
        <v>#NAME?</v>
      </c>
      <c r="S122" s="4">
        <v>1695374000000</v>
      </c>
      <c r="T122" s="1">
        <v>109418.66666666701</v>
      </c>
      <c r="U122" s="1" t="e">
        <f ca="1"/>
        <v>#NAME?</v>
      </c>
      <c r="V122" s="1" t="e">
        <f t="shared" ca="1" si="20"/>
        <v>#NAME?</v>
      </c>
      <c r="W122" s="1" t="e">
        <f ca="1"/>
        <v>#NAME?</v>
      </c>
      <c r="X122" s="1" t="e">
        <f t="shared" ca="1" si="21"/>
        <v>#NAME?</v>
      </c>
      <c r="Y122" s="1" t="e">
        <f ca="1"/>
        <v>#NAME?</v>
      </c>
      <c r="Z122" s="1" t="e">
        <f t="shared" ca="1" si="22"/>
        <v>#NAME?</v>
      </c>
      <c r="AA122" s="1" t="e">
        <f ca="1"/>
        <v>#NAME?</v>
      </c>
      <c r="AB122" s="1" t="e">
        <f t="shared" ca="1" si="23"/>
        <v>#NAME?</v>
      </c>
      <c r="AC122" s="1" t="e">
        <f ca="1"/>
        <v>#NAME?</v>
      </c>
      <c r="AD122" s="1" t="e">
        <f t="shared" ca="1" si="24"/>
        <v>#NAME?</v>
      </c>
      <c r="AE122" s="1" t="e">
        <f ca="1"/>
        <v>#NAME?</v>
      </c>
      <c r="AF122" s="1" t="e">
        <f t="shared" ca="1" si="25"/>
        <v>#NAME?</v>
      </c>
      <c r="AG122" s="1" t="e">
        <f ca="1"/>
        <v>#NAME?</v>
      </c>
      <c r="AH122" s="1" t="e">
        <f t="shared" ca="1" si="26"/>
        <v>#NAME?</v>
      </c>
      <c r="AI122" s="1" t="e">
        <f ca="1"/>
        <v>#NAME?</v>
      </c>
      <c r="AJ122" s="1" t="e">
        <f t="shared" ca="1" si="35"/>
        <v>#NAME?</v>
      </c>
      <c r="AK122" s="1" t="e">
        <f ca="1"/>
        <v>#NAME?</v>
      </c>
      <c r="AL122" s="1" t="e">
        <f t="shared" ca="1" si="27"/>
        <v>#NAME?</v>
      </c>
      <c r="AN122" s="1">
        <f t="shared" si="36"/>
        <v>4.027831615778469</v>
      </c>
      <c r="AO122" s="1" t="e">
        <f ca="1"/>
        <v>#NAME?</v>
      </c>
      <c r="AP122" s="1" t="e">
        <f t="shared" ca="1" si="37"/>
        <v>#NAME?</v>
      </c>
    </row>
    <row r="123" spans="1:42" x14ac:dyDescent="0.25">
      <c r="A123" s="1" t="s">
        <v>138</v>
      </c>
      <c r="B123" s="1">
        <v>122</v>
      </c>
      <c r="C123" s="1">
        <v>37636.479770614802</v>
      </c>
      <c r="D123" s="1">
        <f t="shared" si="28"/>
        <v>4.5756089960599029</v>
      </c>
      <c r="E123" s="1">
        <v>24140.0699208285</v>
      </c>
      <c r="F123" s="1">
        <f t="shared" si="29"/>
        <v>4.3827385236812146</v>
      </c>
      <c r="G123" s="1">
        <v>5015.5940266948601</v>
      </c>
      <c r="H123" s="1">
        <f t="shared" si="30"/>
        <v>3.7003223764866213</v>
      </c>
      <c r="I123" s="1">
        <v>9497.1106599228697</v>
      </c>
      <c r="J123" s="1">
        <f t="shared" si="31"/>
        <v>0.25233791039452819</v>
      </c>
      <c r="K123" s="1">
        <f t="shared" si="32"/>
        <v>3.9775914984138625</v>
      </c>
      <c r="L123" s="1">
        <v>2762.7056877750701</v>
      </c>
      <c r="M123" s="1">
        <f t="shared" si="33"/>
        <v>3.4413346218027709</v>
      </c>
      <c r="N123" s="1">
        <v>3219.1933875560198</v>
      </c>
      <c r="O123" s="1">
        <f t="shared" si="34"/>
        <v>3.5077470669700825</v>
      </c>
      <c r="P123" s="1">
        <v>-456.48769978094703</v>
      </c>
      <c r="Q123" s="1" t="e">
        <f ca="1"/>
        <v>#NAME?</v>
      </c>
      <c r="R123" s="1" t="e">
        <f t="shared" ca="1" si="19"/>
        <v>#NAME?</v>
      </c>
      <c r="S123" s="4">
        <v>1668437000000</v>
      </c>
      <c r="T123" s="1">
        <v>109786.66666666701</v>
      </c>
      <c r="U123" s="1" t="e">
        <f ca="1"/>
        <v>#NAME?</v>
      </c>
      <c r="V123" s="1" t="e">
        <f t="shared" ca="1" si="20"/>
        <v>#NAME?</v>
      </c>
      <c r="W123" s="1" t="e">
        <f ca="1"/>
        <v>#NAME?</v>
      </c>
      <c r="X123" s="1" t="e">
        <f t="shared" ca="1" si="21"/>
        <v>#NAME?</v>
      </c>
      <c r="Y123" s="1" t="e">
        <f ca="1"/>
        <v>#NAME?</v>
      </c>
      <c r="Z123" s="1" t="e">
        <f t="shared" ca="1" si="22"/>
        <v>#NAME?</v>
      </c>
      <c r="AA123" s="1" t="e">
        <f ca="1"/>
        <v>#NAME?</v>
      </c>
      <c r="AB123" s="1" t="e">
        <f t="shared" ca="1" si="23"/>
        <v>#NAME?</v>
      </c>
      <c r="AC123" s="1" t="e">
        <f ca="1"/>
        <v>#NAME?</v>
      </c>
      <c r="AD123" s="1" t="e">
        <f t="shared" ca="1" si="24"/>
        <v>#NAME?</v>
      </c>
      <c r="AE123" s="1" t="e">
        <f ca="1"/>
        <v>#NAME?</v>
      </c>
      <c r="AF123" s="1" t="e">
        <f t="shared" ca="1" si="25"/>
        <v>#NAME?</v>
      </c>
      <c r="AG123" s="1" t="e">
        <f ca="1"/>
        <v>#NAME?</v>
      </c>
      <c r="AH123" s="1" t="e">
        <f t="shared" ca="1" si="26"/>
        <v>#NAME?</v>
      </c>
      <c r="AI123" s="1" t="e">
        <f ca="1"/>
        <v>#NAME?</v>
      </c>
      <c r="AJ123" s="1" t="e">
        <f t="shared" ca="1" si="35"/>
        <v>#NAME?</v>
      </c>
      <c r="AK123" s="1" t="e">
        <f ca="1"/>
        <v>#NAME?</v>
      </c>
      <c r="AL123" s="1" t="e">
        <f t="shared" ca="1" si="27"/>
        <v>#NAME?</v>
      </c>
      <c r="AN123" s="1">
        <f t="shared" si="36"/>
        <v>4.0296257200676004</v>
      </c>
      <c r="AO123" s="1" t="e">
        <f ca="1"/>
        <v>#NAME?</v>
      </c>
      <c r="AP123" s="1" t="e">
        <f t="shared" ca="1" si="37"/>
        <v>#NAME?</v>
      </c>
    </row>
    <row r="124" spans="1:42" x14ac:dyDescent="0.25">
      <c r="A124" s="1" t="s">
        <v>139</v>
      </c>
      <c r="B124" s="1">
        <v>123</v>
      </c>
      <c r="C124" s="1">
        <v>37528.657794449202</v>
      </c>
      <c r="D124" s="1">
        <f t="shared" si="28"/>
        <v>4.5743630322284821</v>
      </c>
      <c r="E124" s="1">
        <v>24150.210499012399</v>
      </c>
      <c r="F124" s="1">
        <f t="shared" si="29"/>
        <v>4.3829209205186332</v>
      </c>
      <c r="G124" s="1">
        <v>4901.0155829126697</v>
      </c>
      <c r="H124" s="1">
        <f t="shared" si="30"/>
        <v>3.690286083365971</v>
      </c>
      <c r="I124" s="1">
        <v>9478.6647778287697</v>
      </c>
      <c r="J124" s="1">
        <f t="shared" si="31"/>
        <v>0.25257137704591032</v>
      </c>
      <c r="K124" s="1">
        <f t="shared" si="32"/>
        <v>3.9767471642935681</v>
      </c>
      <c r="L124" s="1">
        <v>2773.79436940083</v>
      </c>
      <c r="M124" s="1">
        <f t="shared" si="33"/>
        <v>3.4430742622366681</v>
      </c>
      <c r="N124" s="1">
        <v>3194.8841756619199</v>
      </c>
      <c r="O124" s="1">
        <f t="shared" si="34"/>
        <v>3.5044551182744859</v>
      </c>
      <c r="P124" s="1">
        <v>-421.08980626109798</v>
      </c>
      <c r="Q124" s="1" t="e">
        <f ca="1"/>
        <v>#NAME?</v>
      </c>
      <c r="R124" s="1" t="e">
        <f t="shared" ca="1" si="19"/>
        <v>#NAME?</v>
      </c>
      <c r="S124" s="4">
        <v>1659143000000</v>
      </c>
      <c r="T124" s="1">
        <v>109651</v>
      </c>
      <c r="U124" s="1" t="e">
        <f ca="1"/>
        <v>#NAME?</v>
      </c>
      <c r="V124" s="1" t="e">
        <f t="shared" ca="1" si="20"/>
        <v>#NAME?</v>
      </c>
      <c r="W124" s="1" t="e">
        <f ca="1"/>
        <v>#NAME?</v>
      </c>
      <c r="X124" s="1" t="e">
        <f t="shared" ca="1" si="21"/>
        <v>#NAME?</v>
      </c>
      <c r="Y124" s="1" t="e">
        <f ca="1"/>
        <v>#NAME?</v>
      </c>
      <c r="Z124" s="1" t="e">
        <f t="shared" ca="1" si="22"/>
        <v>#NAME?</v>
      </c>
      <c r="AA124" s="1" t="e">
        <f ca="1"/>
        <v>#NAME?</v>
      </c>
      <c r="AB124" s="1" t="e">
        <f t="shared" ca="1" si="23"/>
        <v>#NAME?</v>
      </c>
      <c r="AC124" s="1" t="e">
        <f ca="1"/>
        <v>#NAME?</v>
      </c>
      <c r="AD124" s="1" t="e">
        <f t="shared" ca="1" si="24"/>
        <v>#NAME?</v>
      </c>
      <c r="AE124" s="1" t="e">
        <f ca="1"/>
        <v>#NAME?</v>
      </c>
      <c r="AF124" s="1" t="e">
        <f t="shared" ca="1" si="25"/>
        <v>#NAME?</v>
      </c>
      <c r="AG124" s="1" t="e">
        <f ca="1"/>
        <v>#NAME?</v>
      </c>
      <c r="AH124" s="1" t="e">
        <f t="shared" ca="1" si="26"/>
        <v>#NAME?</v>
      </c>
      <c r="AI124" s="1" t="e">
        <f ca="1"/>
        <v>#NAME?</v>
      </c>
      <c r="AJ124" s="1" t="e">
        <f t="shared" ca="1" si="35"/>
        <v>#NAME?</v>
      </c>
      <c r="AK124" s="1" t="e">
        <f ca="1"/>
        <v>#NAME?</v>
      </c>
      <c r="AL124" s="1" t="e">
        <f t="shared" ca="1" si="27"/>
        <v>#NAME?</v>
      </c>
      <c r="AN124" s="1">
        <f t="shared" si="36"/>
        <v>4.0295967954538678</v>
      </c>
      <c r="AO124" s="1" t="e">
        <f ca="1"/>
        <v>#NAME?</v>
      </c>
      <c r="AP124" s="1" t="e">
        <f t="shared" ca="1" si="37"/>
        <v>#NAME?</v>
      </c>
    </row>
    <row r="125" spans="1:42" x14ac:dyDescent="0.25">
      <c r="A125" s="1" t="s">
        <v>140</v>
      </c>
      <c r="B125" s="1">
        <v>124</v>
      </c>
      <c r="C125" s="1">
        <v>37055.836998274201</v>
      </c>
      <c r="D125" s="1">
        <f t="shared" si="28"/>
        <v>4.5688566273349807</v>
      </c>
      <c r="E125" s="1">
        <v>23881.9557662179</v>
      </c>
      <c r="F125" s="1">
        <f t="shared" si="29"/>
        <v>4.3780698896137924</v>
      </c>
      <c r="G125" s="1">
        <v>4610.5248089326496</v>
      </c>
      <c r="H125" s="1">
        <f t="shared" si="30"/>
        <v>3.6637503632749038</v>
      </c>
      <c r="I125" s="1">
        <v>9508.3862860960198</v>
      </c>
      <c r="J125" s="1">
        <f t="shared" si="31"/>
        <v>0.25659618177127813</v>
      </c>
      <c r="K125" s="1">
        <f t="shared" si="32"/>
        <v>3.9781068169888476</v>
      </c>
      <c r="L125" s="1">
        <v>2788.3466808757698</v>
      </c>
      <c r="M125" s="1">
        <f t="shared" si="33"/>
        <v>3.4453467695088715</v>
      </c>
      <c r="N125" s="1">
        <v>3098.2376472272399</v>
      </c>
      <c r="O125" s="1">
        <f t="shared" si="34"/>
        <v>3.491114726825725</v>
      </c>
      <c r="P125" s="1">
        <v>-309.89096635146802</v>
      </c>
      <c r="Q125" s="1" t="e">
        <f ca="1"/>
        <v>#NAME?</v>
      </c>
      <c r="R125" s="1" t="e">
        <f t="shared" ca="1" si="19"/>
        <v>#NAME?</v>
      </c>
      <c r="S125" s="4">
        <v>1628395000000</v>
      </c>
      <c r="T125" s="1">
        <v>109255</v>
      </c>
      <c r="U125" s="1" t="e">
        <f ca="1"/>
        <v>#NAME?</v>
      </c>
      <c r="V125" s="1" t="e">
        <f t="shared" ca="1" si="20"/>
        <v>#NAME?</v>
      </c>
      <c r="W125" s="1" t="e">
        <f ca="1"/>
        <v>#NAME?</v>
      </c>
      <c r="X125" s="1" t="e">
        <f t="shared" ca="1" si="21"/>
        <v>#NAME?</v>
      </c>
      <c r="Y125" s="1" t="e">
        <f ca="1"/>
        <v>#NAME?</v>
      </c>
      <c r="Z125" s="1" t="e">
        <f t="shared" ca="1" si="22"/>
        <v>#NAME?</v>
      </c>
      <c r="AA125" s="1" t="e">
        <f ca="1"/>
        <v>#NAME?</v>
      </c>
      <c r="AB125" s="1" t="e">
        <f t="shared" ca="1" si="23"/>
        <v>#NAME?</v>
      </c>
      <c r="AC125" s="1" t="e">
        <f ca="1"/>
        <v>#NAME?</v>
      </c>
      <c r="AD125" s="1" t="e">
        <f t="shared" ca="1" si="24"/>
        <v>#NAME?</v>
      </c>
      <c r="AE125" s="1" t="e">
        <f ca="1"/>
        <v>#NAME?</v>
      </c>
      <c r="AF125" s="1" t="e">
        <f t="shared" ca="1" si="25"/>
        <v>#NAME?</v>
      </c>
      <c r="AG125" s="1" t="e">
        <f ca="1"/>
        <v>#NAME?</v>
      </c>
      <c r="AH125" s="1" t="e">
        <f t="shared" ca="1" si="26"/>
        <v>#NAME?</v>
      </c>
      <c r="AI125" s="1" t="e">
        <f ca="1"/>
        <v>#NAME?</v>
      </c>
      <c r="AJ125" s="1" t="e">
        <f t="shared" ca="1" si="35"/>
        <v>#NAME?</v>
      </c>
      <c r="AK125" s="1" t="e">
        <f ca="1"/>
        <v>#NAME?</v>
      </c>
      <c r="AL125" s="1" t="e">
        <f t="shared" ca="1" si="27"/>
        <v>#NAME?</v>
      </c>
      <c r="AN125" s="1">
        <f t="shared" si="36"/>
        <v>4.0280206679874979</v>
      </c>
      <c r="AO125" s="1" t="e">
        <f ca="1"/>
        <v>#NAME?</v>
      </c>
      <c r="AP125" s="1" t="e">
        <f t="shared" ca="1" si="37"/>
        <v>#NAME?</v>
      </c>
    </row>
    <row r="126" spans="1:42" x14ac:dyDescent="0.25">
      <c r="A126" s="1" t="s">
        <v>141</v>
      </c>
      <c r="B126" s="1">
        <v>125</v>
      </c>
      <c r="C126" s="1">
        <v>36769.006334784201</v>
      </c>
      <c r="D126" s="1">
        <f t="shared" si="28"/>
        <v>4.5654818934219996</v>
      </c>
      <c r="E126" s="1">
        <v>23718.9623322154</v>
      </c>
      <c r="F126" s="1">
        <f t="shared" si="29"/>
        <v>4.3750956853983611</v>
      </c>
      <c r="G126" s="1">
        <v>4443.4031824560598</v>
      </c>
      <c r="H126" s="1">
        <f t="shared" si="30"/>
        <v>3.6477157217422391</v>
      </c>
      <c r="I126" s="1">
        <v>9535.6619017038101</v>
      </c>
      <c r="J126" s="1">
        <f t="shared" si="31"/>
        <v>0.25933966816728704</v>
      </c>
      <c r="K126" s="1">
        <f t="shared" si="32"/>
        <v>3.9793508442389216</v>
      </c>
      <c r="L126" s="1">
        <v>2796.7517382996798</v>
      </c>
      <c r="M126" s="1">
        <f t="shared" si="33"/>
        <v>3.4466539166855088</v>
      </c>
      <c r="N126" s="1">
        <v>3053.5087093372699</v>
      </c>
      <c r="O126" s="1">
        <f t="shared" si="34"/>
        <v>3.4847991630454009</v>
      </c>
      <c r="P126" s="1">
        <v>-256.75697103758898</v>
      </c>
      <c r="Q126" s="1" t="e">
        <f ca="1"/>
        <v>#NAME?</v>
      </c>
      <c r="R126" s="1" t="e">
        <f t="shared" ca="1" si="19"/>
        <v>#NAME?</v>
      </c>
      <c r="S126" s="4">
        <v>1587408000000</v>
      </c>
      <c r="T126" s="1">
        <v>108783</v>
      </c>
      <c r="U126" s="1" t="e">
        <f ca="1"/>
        <v>#NAME?</v>
      </c>
      <c r="V126" s="1" t="e">
        <f t="shared" ca="1" si="20"/>
        <v>#NAME?</v>
      </c>
      <c r="W126" s="1" t="e">
        <f ca="1"/>
        <v>#NAME?</v>
      </c>
      <c r="X126" s="1" t="e">
        <f t="shared" ca="1" si="21"/>
        <v>#NAME?</v>
      </c>
      <c r="Y126" s="1" t="e">
        <f ca="1"/>
        <v>#NAME?</v>
      </c>
      <c r="Z126" s="1" t="e">
        <f t="shared" ca="1" si="22"/>
        <v>#NAME?</v>
      </c>
      <c r="AA126" s="1" t="e">
        <f ca="1"/>
        <v>#NAME?</v>
      </c>
      <c r="AB126" s="1" t="e">
        <f t="shared" ca="1" si="23"/>
        <v>#NAME?</v>
      </c>
      <c r="AC126" s="1" t="e">
        <f ca="1"/>
        <v>#NAME?</v>
      </c>
      <c r="AD126" s="1" t="e">
        <f t="shared" ca="1" si="24"/>
        <v>#NAME?</v>
      </c>
      <c r="AE126" s="1" t="e">
        <f ca="1"/>
        <v>#NAME?</v>
      </c>
      <c r="AF126" s="1" t="e">
        <f t="shared" ca="1" si="25"/>
        <v>#NAME?</v>
      </c>
      <c r="AG126" s="1" t="e">
        <f ca="1"/>
        <v>#NAME?</v>
      </c>
      <c r="AH126" s="1" t="e">
        <f t="shared" ca="1" si="26"/>
        <v>#NAME?</v>
      </c>
      <c r="AI126" s="1" t="e">
        <f ca="1"/>
        <v>#NAME?</v>
      </c>
      <c r="AJ126" s="1" t="e">
        <f t="shared" ca="1" si="35"/>
        <v>#NAME?</v>
      </c>
      <c r="AK126" s="1" t="e">
        <f ca="1"/>
        <v>#NAME?</v>
      </c>
      <c r="AL126" s="1" t="e">
        <f t="shared" ca="1" si="27"/>
        <v>#NAME?</v>
      </c>
      <c r="AN126" s="1">
        <f t="shared" si="36"/>
        <v>4.0298349499495547</v>
      </c>
      <c r="AO126" s="1" t="e">
        <f ca="1"/>
        <v>#NAME?</v>
      </c>
      <c r="AP126" s="1" t="e">
        <f t="shared" ca="1" si="37"/>
        <v>#NAME?</v>
      </c>
    </row>
    <row r="127" spans="1:42" x14ac:dyDescent="0.25">
      <c r="A127" s="1" t="s">
        <v>142</v>
      </c>
      <c r="B127" s="1">
        <v>126</v>
      </c>
      <c r="C127" s="1">
        <v>36937.825758803097</v>
      </c>
      <c r="D127" s="1">
        <f t="shared" si="28"/>
        <v>4.5674713283336699</v>
      </c>
      <c r="E127" s="1">
        <v>23839.458948957399</v>
      </c>
      <c r="F127" s="1">
        <f t="shared" si="29"/>
        <v>4.3772963946022312</v>
      </c>
      <c r="G127" s="1">
        <v>4429.2527947586204</v>
      </c>
      <c r="H127" s="1">
        <f t="shared" si="30"/>
        <v>3.6463304678746584</v>
      </c>
      <c r="I127" s="1">
        <v>9543.9949735836508</v>
      </c>
      <c r="J127" s="1">
        <f t="shared" si="31"/>
        <v>0.25837998792630901</v>
      </c>
      <c r="K127" s="1">
        <f t="shared" si="32"/>
        <v>3.9797302019379077</v>
      </c>
      <c r="L127" s="1">
        <v>2889.4978720713798</v>
      </c>
      <c r="M127" s="1">
        <f t="shared" si="33"/>
        <v>3.4608223789726744</v>
      </c>
      <c r="N127" s="1">
        <v>3097.8965712095401</v>
      </c>
      <c r="O127" s="1">
        <f t="shared" si="34"/>
        <v>3.4910669139710242</v>
      </c>
      <c r="P127" s="1">
        <v>-208.398699138159</v>
      </c>
      <c r="Q127" s="1" t="e">
        <f ca="1"/>
        <v>#NAME?</v>
      </c>
      <c r="R127" s="1" t="e">
        <f t="shared" ca="1" si="19"/>
        <v>#NAME?</v>
      </c>
      <c r="S127" s="4">
        <v>1596569000000</v>
      </c>
      <c r="T127" s="1">
        <v>108312.33333333299</v>
      </c>
      <c r="U127" s="1" t="e">
        <f ca="1"/>
        <v>#NAME?</v>
      </c>
      <c r="V127" s="1" t="e">
        <f t="shared" ca="1" si="20"/>
        <v>#NAME?</v>
      </c>
      <c r="W127" s="1" t="e">
        <f ca="1"/>
        <v>#NAME?</v>
      </c>
      <c r="X127" s="1" t="e">
        <f t="shared" ca="1" si="21"/>
        <v>#NAME?</v>
      </c>
      <c r="Y127" s="1" t="e">
        <f ca="1"/>
        <v>#NAME?</v>
      </c>
      <c r="Z127" s="1" t="e">
        <f t="shared" ca="1" si="22"/>
        <v>#NAME?</v>
      </c>
      <c r="AA127" s="1" t="e">
        <f ca="1"/>
        <v>#NAME?</v>
      </c>
      <c r="AB127" s="1" t="e">
        <f t="shared" ca="1" si="23"/>
        <v>#NAME?</v>
      </c>
      <c r="AC127" s="1" t="e">
        <f ca="1"/>
        <v>#NAME?</v>
      </c>
      <c r="AD127" s="1" t="e">
        <f t="shared" ca="1" si="24"/>
        <v>#NAME?</v>
      </c>
      <c r="AE127" s="1" t="e">
        <f ca="1"/>
        <v>#NAME?</v>
      </c>
      <c r="AF127" s="1" t="e">
        <f t="shared" ca="1" si="25"/>
        <v>#NAME?</v>
      </c>
      <c r="AG127" s="1" t="e">
        <f ca="1"/>
        <v>#NAME?</v>
      </c>
      <c r="AH127" s="1" t="e">
        <f t="shared" ca="1" si="26"/>
        <v>#NAME?</v>
      </c>
      <c r="AI127" s="1" t="e">
        <f ca="1"/>
        <v>#NAME?</v>
      </c>
      <c r="AJ127" s="1" t="e">
        <f t="shared" ca="1" si="35"/>
        <v>#NAME?</v>
      </c>
      <c r="AK127" s="1" t="e">
        <f ca="1"/>
        <v>#NAME?</v>
      </c>
      <c r="AL127" s="1" t="e">
        <f t="shared" ca="1" si="27"/>
        <v>#NAME?</v>
      </c>
      <c r="AN127" s="1">
        <f t="shared" si="36"/>
        <v>4.0321298954997982</v>
      </c>
      <c r="AO127" s="1" t="e">
        <f ca="1"/>
        <v>#NAME?</v>
      </c>
      <c r="AP127" s="1" t="e">
        <f t="shared" ca="1" si="37"/>
        <v>#NAME?</v>
      </c>
    </row>
    <row r="128" spans="1:42" x14ac:dyDescent="0.25">
      <c r="A128" s="1" t="s">
        <v>143</v>
      </c>
      <c r="B128" s="1">
        <v>127</v>
      </c>
      <c r="C128" s="1">
        <v>36992.632843108302</v>
      </c>
      <c r="D128" s="1">
        <f t="shared" si="28"/>
        <v>4.5681152420626923</v>
      </c>
      <c r="E128" s="1">
        <v>23873.226625716099</v>
      </c>
      <c r="F128" s="1">
        <f t="shared" si="29"/>
        <v>4.3779111207680241</v>
      </c>
      <c r="G128" s="1">
        <v>4500.9076053786903</v>
      </c>
      <c r="H128" s="1">
        <f t="shared" si="30"/>
        <v>3.6533000978338248</v>
      </c>
      <c r="I128" s="1">
        <v>9483.4603193353396</v>
      </c>
      <c r="J128" s="1">
        <f t="shared" si="31"/>
        <v>0.25636078295795323</v>
      </c>
      <c r="K128" s="1">
        <f t="shared" si="32"/>
        <v>3.9769668313665121</v>
      </c>
      <c r="L128" s="1">
        <v>2947.3982635402499</v>
      </c>
      <c r="M128" s="1">
        <f t="shared" si="33"/>
        <v>3.4694388233190794</v>
      </c>
      <c r="N128" s="1">
        <v>3173.7641013525499</v>
      </c>
      <c r="O128" s="1">
        <f t="shared" si="34"/>
        <v>3.5015746435000521</v>
      </c>
      <c r="P128" s="1">
        <v>-226.365837812297</v>
      </c>
      <c r="Q128" s="1" t="e">
        <f ca="1"/>
        <v>#NAME?</v>
      </c>
      <c r="R128" s="1" t="e">
        <f t="shared" ca="1" si="19"/>
        <v>#NAME?</v>
      </c>
      <c r="S128" s="4">
        <v>1596484000000</v>
      </c>
      <c r="T128" s="1">
        <v>108308.33333333299</v>
      </c>
      <c r="U128" s="1" t="e">
        <f ca="1"/>
        <v>#NAME?</v>
      </c>
      <c r="V128" s="1" t="e">
        <f t="shared" ca="1" si="20"/>
        <v>#NAME?</v>
      </c>
      <c r="W128" s="1" t="e">
        <f ca="1"/>
        <v>#NAME?</v>
      </c>
      <c r="X128" s="1" t="e">
        <f t="shared" ca="1" si="21"/>
        <v>#NAME?</v>
      </c>
      <c r="Y128" s="1" t="e">
        <f ca="1"/>
        <v>#NAME?</v>
      </c>
      <c r="Z128" s="1" t="e">
        <f t="shared" ca="1" si="22"/>
        <v>#NAME?</v>
      </c>
      <c r="AA128" s="1" t="e">
        <f ca="1"/>
        <v>#NAME?</v>
      </c>
      <c r="AB128" s="1" t="e">
        <f t="shared" ca="1" si="23"/>
        <v>#NAME?</v>
      </c>
      <c r="AC128" s="1" t="e">
        <f ca="1"/>
        <v>#NAME?</v>
      </c>
      <c r="AD128" s="1" t="e">
        <f t="shared" ca="1" si="24"/>
        <v>#NAME?</v>
      </c>
      <c r="AE128" s="1" t="e">
        <f ca="1"/>
        <v>#NAME?</v>
      </c>
      <c r="AF128" s="1" t="e">
        <f t="shared" ca="1" si="25"/>
        <v>#NAME?</v>
      </c>
      <c r="AG128" s="1" t="e">
        <f ca="1"/>
        <v>#NAME?</v>
      </c>
      <c r="AH128" s="1" t="e">
        <f t="shared" ca="1" si="26"/>
        <v>#NAME?</v>
      </c>
      <c r="AI128" s="1" t="e">
        <f ca="1"/>
        <v>#NAME?</v>
      </c>
      <c r="AJ128" s="1" t="e">
        <f t="shared" ca="1" si="35"/>
        <v>#NAME?</v>
      </c>
      <c r="AK128" s="1" t="e">
        <f ca="1"/>
        <v>#NAME?</v>
      </c>
      <c r="AL128" s="1" t="e">
        <f t="shared" ca="1" si="27"/>
        <v>#NAME?</v>
      </c>
      <c r="AN128" s="1">
        <f t="shared" si="36"/>
        <v>4.0327923980735658</v>
      </c>
      <c r="AO128" s="1" t="e">
        <f ca="1"/>
        <v>#NAME?</v>
      </c>
      <c r="AP128" s="1" t="e">
        <f t="shared" ca="1" si="37"/>
        <v>#NAME?</v>
      </c>
    </row>
    <row r="129" spans="1:42" x14ac:dyDescent="0.25">
      <c r="A129" s="1" t="s">
        <v>144</v>
      </c>
      <c r="B129" s="1">
        <v>128</v>
      </c>
      <c r="C129" s="1">
        <v>36994.843722408601</v>
      </c>
      <c r="D129" s="1">
        <f t="shared" si="28"/>
        <v>4.5681411970681918</v>
      </c>
      <c r="E129" s="1">
        <v>23779.818313810902</v>
      </c>
      <c r="F129" s="1">
        <f t="shared" si="29"/>
        <v>4.3762085321325133</v>
      </c>
      <c r="G129" s="1">
        <v>4644.5935605391696</v>
      </c>
      <c r="H129" s="1">
        <f t="shared" si="30"/>
        <v>3.6669477157165153</v>
      </c>
      <c r="I129" s="1">
        <v>9381.9294837836205</v>
      </c>
      <c r="J129" s="1">
        <f t="shared" si="31"/>
        <v>0.25360100326902524</v>
      </c>
      <c r="K129" s="1">
        <f t="shared" si="32"/>
        <v>3.9722921643904243</v>
      </c>
      <c r="L129" s="1">
        <v>3003.4767594718201</v>
      </c>
      <c r="M129" s="1">
        <f t="shared" si="33"/>
        <v>3.4776242757798963</v>
      </c>
      <c r="N129" s="1">
        <v>3232.8016167323999</v>
      </c>
      <c r="O129" s="1">
        <f t="shared" si="34"/>
        <v>3.5095790546264327</v>
      </c>
      <c r="P129" s="1">
        <v>-229.32485726058101</v>
      </c>
      <c r="Q129" s="1" t="e">
        <f ca="1"/>
        <v>#NAME?</v>
      </c>
      <c r="R129" s="1" t="e">
        <f t="shared" ca="1" si="19"/>
        <v>#NAME?</v>
      </c>
      <c r="S129" s="4">
        <v>1597712000000</v>
      </c>
      <c r="T129" s="1">
        <v>108331.66666666701</v>
      </c>
      <c r="U129" s="1" t="e">
        <f ca="1"/>
        <v>#NAME?</v>
      </c>
      <c r="V129" s="1" t="e">
        <f t="shared" ca="1" si="20"/>
        <v>#NAME?</v>
      </c>
      <c r="W129" s="1" t="e">
        <f ca="1"/>
        <v>#NAME?</v>
      </c>
      <c r="X129" s="1" t="e">
        <f t="shared" ca="1" si="21"/>
        <v>#NAME?</v>
      </c>
      <c r="Y129" s="1" t="e">
        <f ca="1"/>
        <v>#NAME?</v>
      </c>
      <c r="Z129" s="1" t="e">
        <f t="shared" ca="1" si="22"/>
        <v>#NAME?</v>
      </c>
      <c r="AA129" s="1" t="e">
        <f ca="1"/>
        <v>#NAME?</v>
      </c>
      <c r="AB129" s="1" t="e">
        <f t="shared" ca="1" si="23"/>
        <v>#NAME?</v>
      </c>
      <c r="AC129" s="1" t="e">
        <f ca="1"/>
        <v>#NAME?</v>
      </c>
      <c r="AD129" s="1" t="e">
        <f t="shared" ca="1" si="24"/>
        <v>#NAME?</v>
      </c>
      <c r="AE129" s="1" t="e">
        <f ca="1"/>
        <v>#NAME?</v>
      </c>
      <c r="AF129" s="1" t="e">
        <f t="shared" ca="1" si="25"/>
        <v>#NAME?</v>
      </c>
      <c r="AG129" s="1" t="e">
        <f ca="1"/>
        <v>#NAME?</v>
      </c>
      <c r="AH129" s="1" t="e">
        <f t="shared" ca="1" si="26"/>
        <v>#NAME?</v>
      </c>
      <c r="AI129" s="1" t="e">
        <f ca="1"/>
        <v>#NAME?</v>
      </c>
      <c r="AJ129" s="1" t="e">
        <f t="shared" ca="1" si="35"/>
        <v>#NAME?</v>
      </c>
      <c r="AK129" s="1" t="e">
        <f ca="1"/>
        <v>#NAME?</v>
      </c>
      <c r="AL129" s="1" t="e">
        <f t="shared" ca="1" si="27"/>
        <v>#NAME?</v>
      </c>
      <c r="AN129" s="1">
        <f t="shared" si="36"/>
        <v>4.0326382662771625</v>
      </c>
      <c r="AO129" s="1" t="e">
        <f ca="1"/>
        <v>#NAME?</v>
      </c>
      <c r="AP129" s="1" t="e">
        <f t="shared" ca="1" si="37"/>
        <v>#NAME?</v>
      </c>
    </row>
    <row r="130" spans="1:42" x14ac:dyDescent="0.25">
      <c r="A130" s="1" t="s">
        <v>145</v>
      </c>
      <c r="B130" s="1">
        <v>129</v>
      </c>
      <c r="C130" s="1">
        <v>37327.871353952702</v>
      </c>
      <c r="D130" s="1">
        <f t="shared" si="28"/>
        <v>4.57203322470823</v>
      </c>
      <c r="E130" s="1">
        <v>24153.972259717899</v>
      </c>
      <c r="F130" s="1">
        <f t="shared" si="29"/>
        <v>4.3829885631875136</v>
      </c>
      <c r="G130" s="1">
        <v>4545.4154195277497</v>
      </c>
      <c r="H130" s="1">
        <f t="shared" si="30"/>
        <v>3.6575735808834011</v>
      </c>
      <c r="I130" s="1">
        <v>9437.3026586067299</v>
      </c>
      <c r="J130" s="1">
        <f t="shared" si="31"/>
        <v>0.25282188124577859</v>
      </c>
      <c r="K130" s="1">
        <f t="shared" si="32"/>
        <v>3.9748478832942817</v>
      </c>
      <c r="L130" s="1">
        <v>3048.80176849189</v>
      </c>
      <c r="M130" s="1">
        <f t="shared" si="33"/>
        <v>3.4841291876816016</v>
      </c>
      <c r="N130" s="1">
        <v>3246.7280943717401</v>
      </c>
      <c r="O130" s="1">
        <f t="shared" si="34"/>
        <v>3.511445919036051</v>
      </c>
      <c r="P130" s="1">
        <v>-197.926325879845</v>
      </c>
      <c r="Q130" s="1" t="e">
        <f ca="1"/>
        <v>#NAME?</v>
      </c>
      <c r="R130" s="1" t="e">
        <f t="shared" ref="R130:R193" ca="1" si="38">P130/Q130</f>
        <v>#NAME?</v>
      </c>
      <c r="S130" s="4">
        <v>1619962000000</v>
      </c>
      <c r="T130" s="1">
        <v>108346.66666666701</v>
      </c>
      <c r="U130" s="1" t="e">
        <f ca="1"/>
        <v>#NAME?</v>
      </c>
      <c r="V130" s="1" t="e">
        <f t="shared" ref="V130:V193" ca="1" si="39">100*(D130-U130)/U130</f>
        <v>#NAME?</v>
      </c>
      <c r="W130" s="1" t="e">
        <f ca="1"/>
        <v>#NAME?</v>
      </c>
      <c r="X130" s="1" t="e">
        <f t="shared" ref="X130:X193" ca="1" si="40">100*(F130-W130)/W130</f>
        <v>#NAME?</v>
      </c>
      <c r="Y130" s="1" t="e">
        <f ca="1"/>
        <v>#NAME?</v>
      </c>
      <c r="Z130" s="1" t="e">
        <f t="shared" ref="Z130:Z193" ca="1" si="41">100*(H130-Y130)/Y130</f>
        <v>#NAME?</v>
      </c>
      <c r="AA130" s="1" t="e">
        <f ca="1"/>
        <v>#NAME?</v>
      </c>
      <c r="AB130" s="1" t="e">
        <f t="shared" ref="AB130:AB193" ca="1" si="42">100*(K130-AA130)/AA130</f>
        <v>#NAME?</v>
      </c>
      <c r="AC130" s="1" t="e">
        <f ca="1"/>
        <v>#NAME?</v>
      </c>
      <c r="AD130" s="1" t="e">
        <f t="shared" ref="AD130:AD193" ca="1" si="43">100*(M130-AC130)/AC130</f>
        <v>#NAME?</v>
      </c>
      <c r="AE130" s="1" t="e">
        <f ca="1"/>
        <v>#NAME?</v>
      </c>
      <c r="AF130" s="1" t="e">
        <f t="shared" ref="AF130:AF193" ca="1" si="44">100*(O130-AE130)/AE130</f>
        <v>#NAME?</v>
      </c>
      <c r="AG130" s="1" t="e">
        <f ca="1"/>
        <v>#NAME?</v>
      </c>
      <c r="AH130" s="1" t="e">
        <f t="shared" ref="AH130:AH193" ca="1" si="45">100*(R130-AG130)</f>
        <v>#NAME?</v>
      </c>
      <c r="AI130" s="1" t="e">
        <f ca="1"/>
        <v>#NAME?</v>
      </c>
      <c r="AJ130" s="1" t="e">
        <f t="shared" ca="1" si="35"/>
        <v>#NAME?</v>
      </c>
      <c r="AK130" s="1" t="e">
        <f ca="1"/>
        <v>#NAME?</v>
      </c>
      <c r="AL130" s="1" t="e">
        <f t="shared" ref="AL130:AL193" ca="1" si="46">100*(J130-AK130)</f>
        <v>#NAME?</v>
      </c>
      <c r="AN130" s="1">
        <f t="shared" si="36"/>
        <v>4.0343295319483561</v>
      </c>
      <c r="AO130" s="1" t="e">
        <f ca="1"/>
        <v>#NAME?</v>
      </c>
      <c r="AP130" s="1" t="e">
        <f t="shared" ca="1" si="37"/>
        <v>#NAME?</v>
      </c>
    </row>
    <row r="131" spans="1:42" x14ac:dyDescent="0.25">
      <c r="A131" s="1" t="s">
        <v>146</v>
      </c>
      <c r="B131" s="1">
        <v>130</v>
      </c>
      <c r="C131" s="1">
        <v>37606.966959003898</v>
      </c>
      <c r="D131" s="1">
        <f t="shared" ref="D131:D194" si="47">LOG(C131)</f>
        <v>4.5752683085331496</v>
      </c>
      <c r="E131" s="1">
        <v>24236.953037564501</v>
      </c>
      <c r="F131" s="1">
        <f t="shared" ref="F131:F194" si="48">LOG(E131)</f>
        <v>4.3844780213462613</v>
      </c>
      <c r="G131" s="1">
        <v>4786.4794356552602</v>
      </c>
      <c r="H131" s="1">
        <f t="shared" ref="H131:H194" si="49">LOG(G131)</f>
        <v>3.6800161973762928</v>
      </c>
      <c r="I131" s="1">
        <v>9387.6867403164106</v>
      </c>
      <c r="J131" s="1">
        <f t="shared" ref="J131:J194" si="50">I131/C131</f>
        <v>0.24962626607325483</v>
      </c>
      <c r="K131" s="1">
        <f t="shared" ref="K131:K194" si="51">LOG(I131)</f>
        <v>3.9725585891048838</v>
      </c>
      <c r="L131" s="1">
        <v>3040.0953053162698</v>
      </c>
      <c r="M131" s="1">
        <f t="shared" ref="M131:M194" si="52">LOG(L131)</f>
        <v>3.4828871987153853</v>
      </c>
      <c r="N131" s="1">
        <v>3289.1135903665199</v>
      </c>
      <c r="O131" s="1">
        <f t="shared" ref="O131:O194" si="53">LOG(N131)</f>
        <v>3.5170788722109996</v>
      </c>
      <c r="P131" s="1">
        <v>-249.01828505024599</v>
      </c>
      <c r="Q131" s="1" t="e">
        <f ca="1"/>
        <v>#NAME?</v>
      </c>
      <c r="R131" s="1" t="e">
        <f t="shared" ca="1" si="38"/>
        <v>#NAME?</v>
      </c>
      <c r="S131" s="4">
        <v>1655489000000</v>
      </c>
      <c r="T131" s="1">
        <v>108626.66666666701</v>
      </c>
      <c r="U131" s="1" t="e">
        <f ca="1"/>
        <v>#NAME?</v>
      </c>
      <c r="V131" s="1" t="e">
        <f t="shared" ca="1" si="39"/>
        <v>#NAME?</v>
      </c>
      <c r="W131" s="1" t="e">
        <f ca="1"/>
        <v>#NAME?</v>
      </c>
      <c r="X131" s="1" t="e">
        <f t="shared" ca="1" si="40"/>
        <v>#NAME?</v>
      </c>
      <c r="Y131" s="1" t="e">
        <f ca="1"/>
        <v>#NAME?</v>
      </c>
      <c r="Z131" s="1" t="e">
        <f t="shared" ca="1" si="41"/>
        <v>#NAME?</v>
      </c>
      <c r="AA131" s="1" t="e">
        <f ca="1"/>
        <v>#NAME?</v>
      </c>
      <c r="AB131" s="1" t="e">
        <f t="shared" ca="1" si="42"/>
        <v>#NAME?</v>
      </c>
      <c r="AC131" s="1" t="e">
        <f ca="1"/>
        <v>#NAME?</v>
      </c>
      <c r="AD131" s="1" t="e">
        <f t="shared" ca="1" si="43"/>
        <v>#NAME?</v>
      </c>
      <c r="AE131" s="1" t="e">
        <f ca="1"/>
        <v>#NAME?</v>
      </c>
      <c r="AF131" s="1" t="e">
        <f t="shared" ca="1" si="44"/>
        <v>#NAME?</v>
      </c>
      <c r="AG131" s="1" t="e">
        <f ca="1"/>
        <v>#NAME?</v>
      </c>
      <c r="AH131" s="1" t="e">
        <f t="shared" ca="1" si="45"/>
        <v>#NAME?</v>
      </c>
      <c r="AI131" s="1" t="e">
        <f ca="1"/>
        <v>#NAME?</v>
      </c>
      <c r="AJ131" s="1" t="e">
        <f t="shared" ref="AJ131:AJ194" ca="1" si="54">-100*(P131-AI131)/AI131</f>
        <v>#NAME?</v>
      </c>
      <c r="AK131" s="1" t="e">
        <f ca="1"/>
        <v>#NAME?</v>
      </c>
      <c r="AL131" s="1" t="e">
        <f t="shared" ca="1" si="46"/>
        <v>#NAME?</v>
      </c>
      <c r="AN131" s="1">
        <f t="shared" si="36"/>
        <v>4.0334555108807111</v>
      </c>
      <c r="AO131" s="1" t="e">
        <f ca="1"/>
        <v>#NAME?</v>
      </c>
      <c r="AP131" s="1" t="e">
        <f t="shared" ca="1" si="37"/>
        <v>#NAME?</v>
      </c>
    </row>
    <row r="132" spans="1:42" x14ac:dyDescent="0.25">
      <c r="A132" s="1" t="s">
        <v>147</v>
      </c>
      <c r="B132" s="1">
        <v>131</v>
      </c>
      <c r="C132" s="1">
        <v>37838.829617772499</v>
      </c>
      <c r="D132" s="1">
        <f t="shared" si="47"/>
        <v>4.5779376948966704</v>
      </c>
      <c r="E132" s="1">
        <v>24406.622737833401</v>
      </c>
      <c r="F132" s="1">
        <f t="shared" si="48"/>
        <v>4.3875076881514277</v>
      </c>
      <c r="G132" s="1">
        <v>4806.7765923554498</v>
      </c>
      <c r="H132" s="1">
        <f t="shared" si="49"/>
        <v>3.6818539376139916</v>
      </c>
      <c r="I132" s="1">
        <v>9412.7225257006994</v>
      </c>
      <c r="J132" s="1">
        <f t="shared" si="50"/>
        <v>0.24875828932297744</v>
      </c>
      <c r="K132" s="1">
        <f t="shared" si="51"/>
        <v>3.9737152564641658</v>
      </c>
      <c r="L132" s="1">
        <v>3093.0975266720002</v>
      </c>
      <c r="M132" s="1">
        <f t="shared" si="52"/>
        <v>3.4903936137075893</v>
      </c>
      <c r="N132" s="1">
        <v>3328.66978001912</v>
      </c>
      <c r="O132" s="1">
        <f t="shared" si="53"/>
        <v>3.522270713201459</v>
      </c>
      <c r="P132" s="1">
        <v>-235.57225334711299</v>
      </c>
      <c r="Q132" s="1" t="e">
        <f ca="1"/>
        <v>#NAME?</v>
      </c>
      <c r="R132" s="1" t="e">
        <f t="shared" ca="1" si="38"/>
        <v>#NAME?</v>
      </c>
      <c r="S132" s="4">
        <v>1664898000000</v>
      </c>
      <c r="T132" s="1">
        <v>108892</v>
      </c>
      <c r="U132" s="1" t="e">
        <f ca="1"/>
        <v>#NAME?</v>
      </c>
      <c r="V132" s="1" t="e">
        <f t="shared" ca="1" si="39"/>
        <v>#NAME?</v>
      </c>
      <c r="W132" s="1" t="e">
        <f ca="1"/>
        <v>#NAME?</v>
      </c>
      <c r="X132" s="1" t="e">
        <f t="shared" ca="1" si="40"/>
        <v>#NAME?</v>
      </c>
      <c r="Y132" s="1" t="e">
        <f ca="1"/>
        <v>#NAME?</v>
      </c>
      <c r="Z132" s="1" t="e">
        <f t="shared" ca="1" si="41"/>
        <v>#NAME?</v>
      </c>
      <c r="AA132" s="1" t="e">
        <f ca="1"/>
        <v>#NAME?</v>
      </c>
      <c r="AB132" s="1" t="e">
        <f t="shared" ca="1" si="42"/>
        <v>#NAME?</v>
      </c>
      <c r="AC132" s="1" t="e">
        <f ca="1"/>
        <v>#NAME?</v>
      </c>
      <c r="AD132" s="1" t="e">
        <f t="shared" ca="1" si="43"/>
        <v>#NAME?</v>
      </c>
      <c r="AE132" s="1" t="e">
        <f ca="1"/>
        <v>#NAME?</v>
      </c>
      <c r="AF132" s="1" t="e">
        <f t="shared" ca="1" si="44"/>
        <v>#NAME?</v>
      </c>
      <c r="AG132" s="1" t="e">
        <f ca="1"/>
        <v>#NAME?</v>
      </c>
      <c r="AH132" s="1" t="e">
        <f t="shared" ca="1" si="45"/>
        <v>#NAME?</v>
      </c>
      <c r="AI132" s="1" t="e">
        <f ca="1"/>
        <v>#NAME?</v>
      </c>
      <c r="AJ132" s="1" t="e">
        <f t="shared" ca="1" si="54"/>
        <v>#NAME?</v>
      </c>
      <c r="AK132" s="1" t="e">
        <f ca="1"/>
        <v>#NAME?</v>
      </c>
      <c r="AL132" s="1" t="e">
        <f t="shared" ca="1" si="46"/>
        <v>#NAME?</v>
      </c>
      <c r="AN132" s="1">
        <f t="shared" si="36"/>
        <v>4.0345607238474033</v>
      </c>
      <c r="AO132" s="1" t="e">
        <f ca="1"/>
        <v>#NAME?</v>
      </c>
      <c r="AP132" s="1" t="e">
        <f t="shared" ca="1" si="37"/>
        <v>#NAME?</v>
      </c>
    </row>
    <row r="133" spans="1:42" x14ac:dyDescent="0.25">
      <c r="A133" s="1" t="s">
        <v>148</v>
      </c>
      <c r="B133" s="1">
        <v>132</v>
      </c>
      <c r="C133" s="1">
        <v>38101.546014550302</v>
      </c>
      <c r="D133" s="1">
        <f t="shared" si="47"/>
        <v>4.5809425980369323</v>
      </c>
      <c r="E133" s="1">
        <v>24612.319331570401</v>
      </c>
      <c r="F133" s="1">
        <f t="shared" si="48"/>
        <v>4.3911525411892418</v>
      </c>
      <c r="G133" s="1">
        <v>4936.3474099513296</v>
      </c>
      <c r="H133" s="1">
        <f t="shared" si="49"/>
        <v>3.693405716850843</v>
      </c>
      <c r="I133" s="1">
        <v>9379.1704255508594</v>
      </c>
      <c r="J133" s="1">
        <f t="shared" si="50"/>
        <v>0.24616246338059672</v>
      </c>
      <c r="K133" s="1">
        <f t="shared" si="51"/>
        <v>3.9721644273408732</v>
      </c>
      <c r="L133" s="1">
        <v>3097.87553672995</v>
      </c>
      <c r="M133" s="1">
        <f t="shared" si="52"/>
        <v>3.4910639651348641</v>
      </c>
      <c r="N133" s="1">
        <v>3396.5974515733101</v>
      </c>
      <c r="O133" s="1">
        <f t="shared" si="53"/>
        <v>3.5310440794223728</v>
      </c>
      <c r="P133" s="1">
        <v>-298.72191484336599</v>
      </c>
      <c r="Q133" s="1" t="e">
        <f ca="1"/>
        <v>#NAME?</v>
      </c>
      <c r="R133" s="1" t="e">
        <f t="shared" ca="1" si="38"/>
        <v>#NAME?</v>
      </c>
      <c r="S133" s="4">
        <v>1699334000000</v>
      </c>
      <c r="T133" s="1">
        <v>109305.33333333299</v>
      </c>
      <c r="U133" s="1" t="e">
        <f ca="1"/>
        <v>#NAME?</v>
      </c>
      <c r="V133" s="1" t="e">
        <f t="shared" ca="1" si="39"/>
        <v>#NAME?</v>
      </c>
      <c r="W133" s="1" t="e">
        <f ca="1"/>
        <v>#NAME?</v>
      </c>
      <c r="X133" s="1" t="e">
        <f t="shared" ca="1" si="40"/>
        <v>#NAME?</v>
      </c>
      <c r="Y133" s="1" t="e">
        <f ca="1"/>
        <v>#NAME?</v>
      </c>
      <c r="Z133" s="1" t="e">
        <f t="shared" ca="1" si="41"/>
        <v>#NAME?</v>
      </c>
      <c r="AA133" s="1" t="e">
        <f ca="1"/>
        <v>#NAME?</v>
      </c>
      <c r="AB133" s="1" t="e">
        <f t="shared" ca="1" si="42"/>
        <v>#NAME?</v>
      </c>
      <c r="AC133" s="1" t="e">
        <f ca="1"/>
        <v>#NAME?</v>
      </c>
      <c r="AD133" s="1" t="e">
        <f t="shared" ca="1" si="43"/>
        <v>#NAME?</v>
      </c>
      <c r="AE133" s="1" t="e">
        <f ca="1"/>
        <v>#NAME?</v>
      </c>
      <c r="AF133" s="1" t="e">
        <f t="shared" ca="1" si="44"/>
        <v>#NAME?</v>
      </c>
      <c r="AG133" s="1" t="e">
        <f ca="1"/>
        <v>#NAME?</v>
      </c>
      <c r="AH133" s="1" t="e">
        <f t="shared" ca="1" si="45"/>
        <v>#NAME?</v>
      </c>
      <c r="AI133" s="1" t="e">
        <f ca="1"/>
        <v>#NAME?</v>
      </c>
      <c r="AJ133" s="1" t="e">
        <f t="shared" ca="1" si="54"/>
        <v>#NAME?</v>
      </c>
      <c r="AK133" s="1" t="e">
        <f ca="1"/>
        <v>#NAME?</v>
      </c>
      <c r="AL133" s="1" t="e">
        <f t="shared" ca="1" si="46"/>
        <v>#NAME?</v>
      </c>
      <c r="AN133" s="1">
        <f t="shared" si="36"/>
        <v>4.0333117832781014</v>
      </c>
      <c r="AO133" s="1" t="e">
        <f ca="1"/>
        <v>#NAME?</v>
      </c>
      <c r="AP133" s="1" t="e">
        <f t="shared" ca="1" si="37"/>
        <v>#NAME?</v>
      </c>
    </row>
    <row r="134" spans="1:42" x14ac:dyDescent="0.25">
      <c r="A134" s="1" t="s">
        <v>149</v>
      </c>
      <c r="B134" s="1">
        <v>133</v>
      </c>
      <c r="C134" s="1">
        <v>38052.899370365099</v>
      </c>
      <c r="D134" s="1">
        <f t="shared" si="47"/>
        <v>4.5803877526329746</v>
      </c>
      <c r="E134" s="1">
        <v>24634.0049181783</v>
      </c>
      <c r="F134" s="1">
        <f t="shared" si="48"/>
        <v>4.3915350237949129</v>
      </c>
      <c r="G134" s="1">
        <v>5037.8630244866599</v>
      </c>
      <c r="H134" s="1">
        <f t="shared" si="49"/>
        <v>3.7022463551989535</v>
      </c>
      <c r="I134" s="1">
        <v>9235.5629847243108</v>
      </c>
      <c r="J134" s="1">
        <f t="shared" si="50"/>
        <v>0.24270326670342493</v>
      </c>
      <c r="K134" s="1">
        <f t="shared" si="51"/>
        <v>3.9654633744602688</v>
      </c>
      <c r="L134" s="1">
        <v>3095.6574106601702</v>
      </c>
      <c r="M134" s="1">
        <f t="shared" si="52"/>
        <v>3.4907528922910962</v>
      </c>
      <c r="N134" s="1">
        <v>3459.9307440192401</v>
      </c>
      <c r="O134" s="1">
        <f t="shared" si="53"/>
        <v>3.5390674057895093</v>
      </c>
      <c r="P134" s="1">
        <v>-364.273333359069</v>
      </c>
      <c r="Q134" s="1" t="e">
        <f ca="1"/>
        <v>#NAME?</v>
      </c>
      <c r="R134" s="1" t="e">
        <f t="shared" ca="1" si="38"/>
        <v>#NAME?</v>
      </c>
      <c r="S134" s="4">
        <v>1700163000000</v>
      </c>
      <c r="T134" s="1">
        <v>109943.33333333299</v>
      </c>
      <c r="U134" s="1" t="e">
        <f ca="1"/>
        <v>#NAME?</v>
      </c>
      <c r="V134" s="1" t="e">
        <f t="shared" ca="1" si="39"/>
        <v>#NAME?</v>
      </c>
      <c r="W134" s="1" t="e">
        <f ca="1"/>
        <v>#NAME?</v>
      </c>
      <c r="X134" s="1" t="e">
        <f t="shared" ca="1" si="40"/>
        <v>#NAME?</v>
      </c>
      <c r="Y134" s="1" t="e">
        <f ca="1"/>
        <v>#NAME?</v>
      </c>
      <c r="Z134" s="1" t="e">
        <f t="shared" ca="1" si="41"/>
        <v>#NAME?</v>
      </c>
      <c r="AA134" s="1" t="e">
        <f ca="1"/>
        <v>#NAME?</v>
      </c>
      <c r="AB134" s="1" t="e">
        <f t="shared" ca="1" si="42"/>
        <v>#NAME?</v>
      </c>
      <c r="AC134" s="1" t="e">
        <f ca="1"/>
        <v>#NAME?</v>
      </c>
      <c r="AD134" s="1" t="e">
        <f t="shared" ca="1" si="43"/>
        <v>#NAME?</v>
      </c>
      <c r="AE134" s="1" t="e">
        <f ca="1"/>
        <v>#NAME?</v>
      </c>
      <c r="AF134" s="1" t="e">
        <f t="shared" ca="1" si="44"/>
        <v>#NAME?</v>
      </c>
      <c r="AG134" s="1" t="e">
        <f ca="1"/>
        <v>#NAME?</v>
      </c>
      <c r="AH134" s="1" t="e">
        <f t="shared" ca="1" si="45"/>
        <v>#NAME?</v>
      </c>
      <c r="AI134" s="1" t="e">
        <f ca="1"/>
        <v>#NAME?</v>
      </c>
      <c r="AJ134" s="1" t="e">
        <f t="shared" ca="1" si="54"/>
        <v>#NAME?</v>
      </c>
      <c r="AK134" s="1" t="e">
        <f ca="1"/>
        <v>#NAME?</v>
      </c>
      <c r="AL134" s="1" t="e">
        <f t="shared" ca="1" si="46"/>
        <v>#NAME?</v>
      </c>
      <c r="AN134" s="1">
        <f t="shared" si="36"/>
        <v>4.0310630547989623</v>
      </c>
      <c r="AO134" s="1" t="e">
        <f ca="1"/>
        <v>#NAME?</v>
      </c>
      <c r="AP134" s="1" t="e">
        <f t="shared" ca="1" si="37"/>
        <v>#NAME?</v>
      </c>
    </row>
    <row r="135" spans="1:42" x14ac:dyDescent="0.25">
      <c r="A135" s="1" t="s">
        <v>150</v>
      </c>
      <c r="B135" s="1">
        <v>134</v>
      </c>
      <c r="C135" s="1">
        <v>38158.479136037196</v>
      </c>
      <c r="D135" s="1">
        <f t="shared" si="47"/>
        <v>4.581591056912842</v>
      </c>
      <c r="E135" s="1">
        <v>24782.781553809102</v>
      </c>
      <c r="F135" s="1">
        <f t="shared" si="48"/>
        <v>4.3941500488389051</v>
      </c>
      <c r="G135" s="1">
        <v>5051.4998498995501</v>
      </c>
      <c r="H135" s="1">
        <f t="shared" si="49"/>
        <v>3.7034203444206013</v>
      </c>
      <c r="I135" s="1">
        <v>9208.4125530162491</v>
      </c>
      <c r="J135" s="1">
        <f t="shared" si="50"/>
        <v>0.24132021929353428</v>
      </c>
      <c r="K135" s="1">
        <f t="shared" si="51"/>
        <v>3.9641847682113136</v>
      </c>
      <c r="L135" s="1">
        <v>3123.1670425592501</v>
      </c>
      <c r="M135" s="1">
        <f t="shared" si="52"/>
        <v>3.4945952130875919</v>
      </c>
      <c r="N135" s="1">
        <v>3520.7177110835701</v>
      </c>
      <c r="O135" s="1">
        <f t="shared" si="53"/>
        <v>3.5466312050095672</v>
      </c>
      <c r="P135" s="1">
        <v>-397.55066852431997</v>
      </c>
      <c r="Q135" s="1" t="e">
        <f ca="1"/>
        <v>#NAME?</v>
      </c>
      <c r="R135" s="1" t="e">
        <f t="shared" ca="1" si="38"/>
        <v>#NAME?</v>
      </c>
      <c r="S135" s="4">
        <v>1728534000000</v>
      </c>
      <c r="T135" s="1">
        <v>110538.66666666701</v>
      </c>
      <c r="U135" s="1" t="e">
        <f ca="1"/>
        <v>#NAME?</v>
      </c>
      <c r="V135" s="1" t="e">
        <f t="shared" ca="1" si="39"/>
        <v>#NAME?</v>
      </c>
      <c r="W135" s="1" t="e">
        <f ca="1"/>
        <v>#NAME?</v>
      </c>
      <c r="X135" s="1" t="e">
        <f t="shared" ca="1" si="40"/>
        <v>#NAME?</v>
      </c>
      <c r="Y135" s="1" t="e">
        <f ca="1"/>
        <v>#NAME?</v>
      </c>
      <c r="Z135" s="1" t="e">
        <f t="shared" ca="1" si="41"/>
        <v>#NAME?</v>
      </c>
      <c r="AA135" s="1" t="e">
        <f ca="1"/>
        <v>#NAME?</v>
      </c>
      <c r="AB135" s="1" t="e">
        <f t="shared" ca="1" si="42"/>
        <v>#NAME?</v>
      </c>
      <c r="AC135" s="1" t="e">
        <f ca="1"/>
        <v>#NAME?</v>
      </c>
      <c r="AD135" s="1" t="e">
        <f t="shared" ca="1" si="43"/>
        <v>#NAME?</v>
      </c>
      <c r="AE135" s="1" t="e">
        <f ca="1"/>
        <v>#NAME?</v>
      </c>
      <c r="AF135" s="1" t="e">
        <f t="shared" ca="1" si="44"/>
        <v>#NAME?</v>
      </c>
      <c r="AG135" s="1" t="e">
        <f ca="1"/>
        <v>#NAME?</v>
      </c>
      <c r="AH135" s="1" t="e">
        <f t="shared" ca="1" si="45"/>
        <v>#NAME?</v>
      </c>
      <c r="AI135" s="1" t="e">
        <f ca="1"/>
        <v>#NAME?</v>
      </c>
      <c r="AJ135" s="1" t="e">
        <f t="shared" ca="1" si="54"/>
        <v>#NAME?</v>
      </c>
      <c r="AK135" s="1" t="e">
        <f ca="1"/>
        <v>#NAME?</v>
      </c>
      <c r="AL135" s="1" t="e">
        <f t="shared" ca="1" si="46"/>
        <v>#NAME?</v>
      </c>
      <c r="AN135" s="1">
        <f t="shared" si="36"/>
        <v>4.0281779014611292</v>
      </c>
      <c r="AO135" s="1" t="e">
        <f ca="1"/>
        <v>#NAME?</v>
      </c>
      <c r="AP135" s="1" t="e">
        <f t="shared" ca="1" si="37"/>
        <v>#NAME?</v>
      </c>
    </row>
    <row r="136" spans="1:42" x14ac:dyDescent="0.25">
      <c r="A136" s="1" t="s">
        <v>151</v>
      </c>
      <c r="B136" s="1">
        <v>135</v>
      </c>
      <c r="C136" s="1">
        <v>38209.965709551499</v>
      </c>
      <c r="D136" s="1">
        <f t="shared" si="47"/>
        <v>4.5821766479433359</v>
      </c>
      <c r="E136" s="1">
        <v>24973.242710402999</v>
      </c>
      <c r="F136" s="1">
        <f t="shared" si="48"/>
        <v>4.3974749380181084</v>
      </c>
      <c r="G136" s="1">
        <v>5000.1035617573298</v>
      </c>
      <c r="H136" s="1">
        <f t="shared" si="49"/>
        <v>3.6989789995028124</v>
      </c>
      <c r="I136" s="1">
        <v>9190.0971946270602</v>
      </c>
      <c r="J136" s="1">
        <f t="shared" si="50"/>
        <v>0.24051571426377319</v>
      </c>
      <c r="K136" s="1">
        <f t="shared" si="51"/>
        <v>3.9633201045163604</v>
      </c>
      <c r="L136" s="1">
        <v>3104.1639497687102</v>
      </c>
      <c r="M136" s="1">
        <f t="shared" si="52"/>
        <v>3.4919446509236214</v>
      </c>
      <c r="N136" s="1">
        <v>3554.9337588315202</v>
      </c>
      <c r="O136" s="1">
        <f t="shared" si="53"/>
        <v>3.5508315126770449</v>
      </c>
      <c r="P136" s="1">
        <v>-450.769809062805</v>
      </c>
      <c r="Q136" s="1" t="e">
        <f ca="1"/>
        <v>#NAME?</v>
      </c>
      <c r="R136" s="1" t="e">
        <f t="shared" ca="1" si="38"/>
        <v>#NAME?</v>
      </c>
      <c r="S136" s="4">
        <v>1745359000000</v>
      </c>
      <c r="T136" s="1">
        <v>111241.33333333299</v>
      </c>
      <c r="U136" s="1" t="e">
        <f ca="1"/>
        <v>#NAME?</v>
      </c>
      <c r="V136" s="1" t="e">
        <f t="shared" ca="1" si="39"/>
        <v>#NAME?</v>
      </c>
      <c r="W136" s="1" t="e">
        <f ca="1"/>
        <v>#NAME?</v>
      </c>
      <c r="X136" s="1" t="e">
        <f t="shared" ca="1" si="40"/>
        <v>#NAME?</v>
      </c>
      <c r="Y136" s="1" t="e">
        <f ca="1"/>
        <v>#NAME?</v>
      </c>
      <c r="Z136" s="1" t="e">
        <f t="shared" ca="1" si="41"/>
        <v>#NAME?</v>
      </c>
      <c r="AA136" s="1" t="e">
        <f ca="1"/>
        <v>#NAME?</v>
      </c>
      <c r="AB136" s="1" t="e">
        <f t="shared" ca="1" si="42"/>
        <v>#NAME?</v>
      </c>
      <c r="AC136" s="1" t="e">
        <f ca="1"/>
        <v>#NAME?</v>
      </c>
      <c r="AD136" s="1" t="e">
        <f t="shared" ca="1" si="43"/>
        <v>#NAME?</v>
      </c>
      <c r="AE136" s="1" t="e">
        <f ca="1"/>
        <v>#NAME?</v>
      </c>
      <c r="AF136" s="1" t="e">
        <f t="shared" ca="1" si="44"/>
        <v>#NAME?</v>
      </c>
      <c r="AG136" s="1" t="e">
        <f ca="1"/>
        <v>#NAME?</v>
      </c>
      <c r="AH136" s="1" t="e">
        <f t="shared" ca="1" si="45"/>
        <v>#NAME?</v>
      </c>
      <c r="AI136" s="1" t="e">
        <f ca="1"/>
        <v>#NAME?</v>
      </c>
      <c r="AJ136" s="1" t="e">
        <f t="shared" ca="1" si="54"/>
        <v>#NAME?</v>
      </c>
      <c r="AK136" s="1" t="e">
        <f ca="1"/>
        <v>#NAME?</v>
      </c>
      <c r="AL136" s="1" t="e">
        <f t="shared" ca="1" si="46"/>
        <v>#NAME?</v>
      </c>
      <c r="AN136" s="1">
        <f t="shared" si="36"/>
        <v>4.0254877719968478</v>
      </c>
      <c r="AO136" s="1" t="e">
        <f ca="1"/>
        <v>#NAME?</v>
      </c>
      <c r="AP136" s="1" t="e">
        <f t="shared" ca="1" si="37"/>
        <v>#NAME?</v>
      </c>
    </row>
    <row r="137" spans="1:42" x14ac:dyDescent="0.25">
      <c r="A137" s="1" t="s">
        <v>152</v>
      </c>
      <c r="B137" s="1">
        <v>136</v>
      </c>
      <c r="C137" s="1">
        <v>38606.300206081498</v>
      </c>
      <c r="D137" s="1">
        <f t="shared" si="47"/>
        <v>4.586658183466227</v>
      </c>
      <c r="E137" s="1">
        <v>25112.228394896501</v>
      </c>
      <c r="F137" s="1">
        <f t="shared" si="48"/>
        <v>4.3998852526040668</v>
      </c>
      <c r="G137" s="1">
        <v>5246.0819661475798</v>
      </c>
      <c r="H137" s="1">
        <f t="shared" si="49"/>
        <v>3.7198350718371604</v>
      </c>
      <c r="I137" s="1">
        <v>9193.17369344707</v>
      </c>
      <c r="J137" s="1">
        <f t="shared" si="50"/>
        <v>0.23812625515456426</v>
      </c>
      <c r="K137" s="1">
        <f t="shared" si="51"/>
        <v>3.963465465641888</v>
      </c>
      <c r="L137" s="1">
        <v>3194.01101905203</v>
      </c>
      <c r="M137" s="1">
        <f t="shared" si="52"/>
        <v>3.504336410082125</v>
      </c>
      <c r="N137" s="1">
        <v>3685.9723109039701</v>
      </c>
      <c r="O137" s="1">
        <f t="shared" si="53"/>
        <v>3.5665520684666738</v>
      </c>
      <c r="P137" s="1">
        <v>-491.96129185194201</v>
      </c>
      <c r="Q137" s="1" t="e">
        <f ca="1"/>
        <v>#NAME?</v>
      </c>
      <c r="R137" s="1" t="e">
        <f t="shared" ca="1" si="38"/>
        <v>#NAME?</v>
      </c>
      <c r="S137" s="4">
        <v>1803922000000</v>
      </c>
      <c r="T137" s="1">
        <v>112015</v>
      </c>
      <c r="U137" s="1" t="e">
        <f ca="1"/>
        <v>#NAME?</v>
      </c>
      <c r="V137" s="1" t="e">
        <f t="shared" ca="1" si="39"/>
        <v>#NAME?</v>
      </c>
      <c r="W137" s="1" t="e">
        <f ca="1"/>
        <v>#NAME?</v>
      </c>
      <c r="X137" s="1" t="e">
        <f t="shared" ca="1" si="40"/>
        <v>#NAME?</v>
      </c>
      <c r="Y137" s="1" t="e">
        <f ca="1"/>
        <v>#NAME?</v>
      </c>
      <c r="Z137" s="1" t="e">
        <f t="shared" ca="1" si="41"/>
        <v>#NAME?</v>
      </c>
      <c r="AA137" s="1" t="e">
        <f ca="1"/>
        <v>#NAME?</v>
      </c>
      <c r="AB137" s="1" t="e">
        <f t="shared" ca="1" si="42"/>
        <v>#NAME?</v>
      </c>
      <c r="AC137" s="1" t="e">
        <f ca="1"/>
        <v>#NAME?</v>
      </c>
      <c r="AD137" s="1" t="e">
        <f t="shared" ca="1" si="43"/>
        <v>#NAME?</v>
      </c>
      <c r="AE137" s="1" t="e">
        <f ca="1"/>
        <v>#NAME?</v>
      </c>
      <c r="AF137" s="1" t="e">
        <f t="shared" ca="1" si="44"/>
        <v>#NAME?</v>
      </c>
      <c r="AG137" s="1" t="e">
        <f ca="1"/>
        <v>#NAME?</v>
      </c>
      <c r="AH137" s="1" t="e">
        <f t="shared" ca="1" si="45"/>
        <v>#NAME?</v>
      </c>
      <c r="AI137" s="1" t="e">
        <f ca="1"/>
        <v>#NAME?</v>
      </c>
      <c r="AJ137" s="1" t="e">
        <f t="shared" ca="1" si="54"/>
        <v>#NAME?</v>
      </c>
      <c r="AK137" s="1" t="e">
        <f ca="1"/>
        <v>#NAME?</v>
      </c>
      <c r="AL137" s="1" t="e">
        <f t="shared" ca="1" si="46"/>
        <v>#NAME?</v>
      </c>
      <c r="AN137" s="1">
        <f t="shared" si="36"/>
        <v>4.0228830343723168</v>
      </c>
      <c r="AO137" s="1" t="e">
        <f ca="1"/>
        <v>#NAME?</v>
      </c>
      <c r="AP137" s="1" t="e">
        <f t="shared" ca="1" si="37"/>
        <v>#NAME?</v>
      </c>
    </row>
    <row r="138" spans="1:42" x14ac:dyDescent="0.25">
      <c r="A138" s="1" t="s">
        <v>153</v>
      </c>
      <c r="B138" s="1">
        <v>137</v>
      </c>
      <c r="C138" s="1">
        <v>38876.408007626298</v>
      </c>
      <c r="D138" s="1">
        <f t="shared" si="47"/>
        <v>4.5896861313948714</v>
      </c>
      <c r="E138" s="1">
        <v>25331.367016205899</v>
      </c>
      <c r="F138" s="1">
        <f t="shared" si="48"/>
        <v>4.403658627278717</v>
      </c>
      <c r="G138" s="1">
        <v>5431.3060057197299</v>
      </c>
      <c r="H138" s="1">
        <f t="shared" si="49"/>
        <v>3.7349042721079782</v>
      </c>
      <c r="I138" s="1">
        <v>9055.0924690181091</v>
      </c>
      <c r="J138" s="1">
        <f t="shared" si="50"/>
        <v>0.23291998754724952</v>
      </c>
      <c r="K138" s="1">
        <f t="shared" si="51"/>
        <v>3.9568928896118956</v>
      </c>
      <c r="L138" s="1">
        <v>3216.7168732125801</v>
      </c>
      <c r="M138" s="1">
        <f t="shared" si="52"/>
        <v>3.507412837149213</v>
      </c>
      <c r="N138" s="1">
        <v>3761.7311725452801</v>
      </c>
      <c r="O138" s="1">
        <f t="shared" si="53"/>
        <v>3.5753877560065512</v>
      </c>
      <c r="P138" s="1">
        <v>-545.01429933269799</v>
      </c>
      <c r="Q138" s="1" t="e">
        <f ca="1"/>
        <v>#NAME?</v>
      </c>
      <c r="R138" s="1" t="e">
        <f t="shared" ca="1" si="38"/>
        <v>#NAME?</v>
      </c>
      <c r="S138" s="4">
        <v>1804884000000</v>
      </c>
      <c r="T138" s="1">
        <v>112872.33333333299</v>
      </c>
      <c r="U138" s="1" t="e">
        <f ca="1"/>
        <v>#NAME?</v>
      </c>
      <c r="V138" s="1" t="e">
        <f t="shared" ca="1" si="39"/>
        <v>#NAME?</v>
      </c>
      <c r="W138" s="1" t="e">
        <f ca="1"/>
        <v>#NAME?</v>
      </c>
      <c r="X138" s="1" t="e">
        <f t="shared" ca="1" si="40"/>
        <v>#NAME?</v>
      </c>
      <c r="Y138" s="1" t="e">
        <f ca="1"/>
        <v>#NAME?</v>
      </c>
      <c r="Z138" s="1" t="e">
        <f t="shared" ca="1" si="41"/>
        <v>#NAME?</v>
      </c>
      <c r="AA138" s="1" t="e">
        <f ca="1"/>
        <v>#NAME?</v>
      </c>
      <c r="AB138" s="1" t="e">
        <f t="shared" ca="1" si="42"/>
        <v>#NAME?</v>
      </c>
      <c r="AC138" s="1" t="e">
        <f ca="1"/>
        <v>#NAME?</v>
      </c>
      <c r="AD138" s="1" t="e">
        <f t="shared" ca="1" si="43"/>
        <v>#NAME?</v>
      </c>
      <c r="AE138" s="1" t="e">
        <f ca="1"/>
        <v>#NAME?</v>
      </c>
      <c r="AF138" s="1" t="e">
        <f t="shared" ca="1" si="44"/>
        <v>#NAME?</v>
      </c>
      <c r="AG138" s="1" t="e">
        <f ca="1"/>
        <v>#NAME?</v>
      </c>
      <c r="AH138" s="1" t="e">
        <f t="shared" ca="1" si="45"/>
        <v>#NAME?</v>
      </c>
      <c r="AI138" s="1" t="e">
        <f ca="1"/>
        <v>#NAME?</v>
      </c>
      <c r="AJ138" s="1" t="e">
        <f t="shared" ca="1" si="54"/>
        <v>#NAME?</v>
      </c>
      <c r="AK138" s="1" t="e">
        <f ca="1"/>
        <v>#NAME?</v>
      </c>
      <c r="AL138" s="1" t="e">
        <f t="shared" ca="1" si="46"/>
        <v>#NAME?</v>
      </c>
      <c r="AN138" s="1">
        <f t="shared" si="36"/>
        <v>4.0237083832638971</v>
      </c>
      <c r="AO138" s="1" t="e">
        <f ca="1"/>
        <v>#NAME?</v>
      </c>
      <c r="AP138" s="1" t="e">
        <f t="shared" ca="1" si="37"/>
        <v>#NAME?</v>
      </c>
    </row>
    <row r="139" spans="1:42" x14ac:dyDescent="0.25">
      <c r="A139" s="1" t="s">
        <v>154</v>
      </c>
      <c r="B139" s="1">
        <v>138</v>
      </c>
      <c r="C139" s="1">
        <v>39287.867842749598</v>
      </c>
      <c r="D139" s="1">
        <f t="shared" si="47"/>
        <v>4.5942584602382608</v>
      </c>
      <c r="E139" s="1">
        <v>25453.725952399102</v>
      </c>
      <c r="F139" s="1">
        <f t="shared" si="48"/>
        <v>4.405751363966556</v>
      </c>
      <c r="G139" s="1">
        <v>5681.7390312523803</v>
      </c>
      <c r="H139" s="1">
        <f t="shared" si="49"/>
        <v>3.7544812822046123</v>
      </c>
      <c r="I139" s="1">
        <v>9073.2681925328907</v>
      </c>
      <c r="J139" s="1">
        <f t="shared" si="50"/>
        <v>0.23094325782322447</v>
      </c>
      <c r="K139" s="1">
        <f t="shared" si="51"/>
        <v>3.9577637481764851</v>
      </c>
      <c r="L139" s="1">
        <v>3315.5843662078901</v>
      </c>
      <c r="M139" s="1">
        <f t="shared" si="52"/>
        <v>3.5205600831641446</v>
      </c>
      <c r="N139" s="1">
        <v>3890.4722074367</v>
      </c>
      <c r="O139" s="1">
        <f t="shared" si="53"/>
        <v>3.5900023171709305</v>
      </c>
      <c r="P139" s="1">
        <v>-574.88784122880395</v>
      </c>
      <c r="Q139" s="1" t="e">
        <f ca="1"/>
        <v>#NAME?</v>
      </c>
      <c r="R139" s="1" t="e">
        <f t="shared" ca="1" si="38"/>
        <v>#NAME?</v>
      </c>
      <c r="S139" s="4">
        <v>1839627000000</v>
      </c>
      <c r="T139" s="1">
        <v>113915.66666666701</v>
      </c>
      <c r="U139" s="1" t="e">
        <f ca="1"/>
        <v>#NAME?</v>
      </c>
      <c r="V139" s="1" t="e">
        <f t="shared" ca="1" si="39"/>
        <v>#NAME?</v>
      </c>
      <c r="W139" s="1" t="e">
        <f ca="1"/>
        <v>#NAME?</v>
      </c>
      <c r="X139" s="1" t="e">
        <f t="shared" ca="1" si="40"/>
        <v>#NAME?</v>
      </c>
      <c r="Y139" s="1" t="e">
        <f ca="1"/>
        <v>#NAME?</v>
      </c>
      <c r="Z139" s="1" t="e">
        <f t="shared" ca="1" si="41"/>
        <v>#NAME?</v>
      </c>
      <c r="AA139" s="1" t="e">
        <f ca="1"/>
        <v>#NAME?</v>
      </c>
      <c r="AB139" s="1" t="e">
        <f t="shared" ca="1" si="42"/>
        <v>#NAME?</v>
      </c>
      <c r="AC139" s="1" t="e">
        <f ca="1"/>
        <v>#NAME?</v>
      </c>
      <c r="AD139" s="1" t="e">
        <f t="shared" ca="1" si="43"/>
        <v>#NAME?</v>
      </c>
      <c r="AE139" s="1" t="e">
        <f ca="1"/>
        <v>#NAME?</v>
      </c>
      <c r="AF139" s="1" t="e">
        <f t="shared" ca="1" si="44"/>
        <v>#NAME?</v>
      </c>
      <c r="AG139" s="1" t="e">
        <f ca="1"/>
        <v>#NAME?</v>
      </c>
      <c r="AH139" s="1" t="e">
        <f t="shared" ca="1" si="45"/>
        <v>#NAME?</v>
      </c>
      <c r="AI139" s="1" t="e">
        <f ca="1"/>
        <v>#NAME?</v>
      </c>
      <c r="AJ139" s="1" t="e">
        <f t="shared" ca="1" si="54"/>
        <v>#NAME?</v>
      </c>
      <c r="AK139" s="1" t="e">
        <f ca="1"/>
        <v>#NAME?</v>
      </c>
      <c r="AL139" s="1" t="e">
        <f t="shared" ca="1" si="46"/>
        <v>#NAME?</v>
      </c>
      <c r="AN139" s="1">
        <f t="shared" si="36"/>
        <v>4.0227423293095406</v>
      </c>
      <c r="AO139" s="1" t="e">
        <f ca="1"/>
        <v>#NAME?</v>
      </c>
      <c r="AP139" s="1" t="e">
        <f t="shared" ca="1" si="37"/>
        <v>#NAME?</v>
      </c>
    </row>
    <row r="140" spans="1:42" x14ac:dyDescent="0.25">
      <c r="A140" s="1" t="s">
        <v>155</v>
      </c>
      <c r="B140" s="1">
        <v>139</v>
      </c>
      <c r="C140" s="1">
        <v>39390.222458028598</v>
      </c>
      <c r="D140" s="1">
        <f t="shared" si="47"/>
        <v>4.5953884335134187</v>
      </c>
      <c r="E140" s="1">
        <v>25565.191192632701</v>
      </c>
      <c r="F140" s="1">
        <f t="shared" si="48"/>
        <v>4.4076490450028993</v>
      </c>
      <c r="G140" s="1">
        <v>5570.9212869973899</v>
      </c>
      <c r="H140" s="1">
        <f t="shared" si="49"/>
        <v>3.7459270222425718</v>
      </c>
      <c r="I140" s="1">
        <v>9196.4944859210991</v>
      </c>
      <c r="J140" s="1">
        <f t="shared" si="50"/>
        <v>0.23347150414599016</v>
      </c>
      <c r="K140" s="1">
        <f t="shared" si="51"/>
        <v>3.9636223147865954</v>
      </c>
      <c r="L140" s="1">
        <v>3428.6012051388898</v>
      </c>
      <c r="M140" s="1">
        <f t="shared" si="52"/>
        <v>3.5351169734556609</v>
      </c>
      <c r="N140" s="1">
        <v>3986.9898055860799</v>
      </c>
      <c r="O140" s="1">
        <f t="shared" si="53"/>
        <v>3.6006451252075733</v>
      </c>
      <c r="P140" s="1">
        <v>-558.38860044719002</v>
      </c>
      <c r="Q140" s="1" t="e">
        <f ca="1"/>
        <v>#NAME?</v>
      </c>
      <c r="R140" s="1" t="e">
        <f t="shared" ca="1" si="38"/>
        <v>#NAME?</v>
      </c>
      <c r="S140" s="4">
        <v>1864201000000</v>
      </c>
      <c r="T140" s="1">
        <v>114920</v>
      </c>
      <c r="U140" s="1" t="e">
        <f ca="1"/>
        <v>#NAME?</v>
      </c>
      <c r="V140" s="1" t="e">
        <f t="shared" ca="1" si="39"/>
        <v>#NAME?</v>
      </c>
      <c r="W140" s="1" t="e">
        <f ca="1"/>
        <v>#NAME?</v>
      </c>
      <c r="X140" s="1" t="e">
        <f t="shared" ca="1" si="40"/>
        <v>#NAME?</v>
      </c>
      <c r="Y140" s="1" t="e">
        <f ca="1"/>
        <v>#NAME?</v>
      </c>
      <c r="Z140" s="1" t="e">
        <f t="shared" ca="1" si="41"/>
        <v>#NAME?</v>
      </c>
      <c r="AA140" s="1" t="e">
        <f ca="1"/>
        <v>#NAME?</v>
      </c>
      <c r="AB140" s="1" t="e">
        <f t="shared" ca="1" si="42"/>
        <v>#NAME?</v>
      </c>
      <c r="AC140" s="1" t="e">
        <f ca="1"/>
        <v>#NAME?</v>
      </c>
      <c r="AD140" s="1" t="e">
        <f t="shared" ca="1" si="43"/>
        <v>#NAME?</v>
      </c>
      <c r="AE140" s="1" t="e">
        <f ca="1"/>
        <v>#NAME?</v>
      </c>
      <c r="AF140" s="1" t="e">
        <f t="shared" ca="1" si="44"/>
        <v>#NAME?</v>
      </c>
      <c r="AG140" s="1" t="e">
        <f ca="1"/>
        <v>#NAME?</v>
      </c>
      <c r="AH140" s="1" t="e">
        <f t="shared" ca="1" si="45"/>
        <v>#NAME?</v>
      </c>
      <c r="AI140" s="1" t="e">
        <f ca="1"/>
        <v>#NAME?</v>
      </c>
      <c r="AJ140" s="1" t="e">
        <f t="shared" ca="1" si="54"/>
        <v>#NAME?</v>
      </c>
      <c r="AK140" s="1" t="e">
        <f ca="1"/>
        <v>#NAME?</v>
      </c>
      <c r="AL140" s="1" t="e">
        <f t="shared" ca="1" si="46"/>
        <v>#NAME?</v>
      </c>
      <c r="AN140" s="1">
        <f t="shared" si="36"/>
        <v>4.0193578532511784</v>
      </c>
      <c r="AO140" s="1" t="e">
        <f ca="1"/>
        <v>#NAME?</v>
      </c>
      <c r="AP140" s="1" t="e">
        <f t="shared" ca="1" si="37"/>
        <v>#NAME?</v>
      </c>
    </row>
    <row r="141" spans="1:42" x14ac:dyDescent="0.25">
      <c r="A141" s="1" t="s">
        <v>156</v>
      </c>
      <c r="B141" s="1">
        <v>140</v>
      </c>
      <c r="C141" s="1">
        <v>39719.818043056097</v>
      </c>
      <c r="D141" s="1">
        <f t="shared" si="47"/>
        <v>4.5990072503198771</v>
      </c>
      <c r="E141" s="1">
        <v>25762.696559593202</v>
      </c>
      <c r="F141" s="1">
        <f t="shared" si="48"/>
        <v>4.4109913183019147</v>
      </c>
      <c r="G141" s="1">
        <v>5782.4073024580803</v>
      </c>
      <c r="H141" s="1">
        <f t="shared" si="49"/>
        <v>3.7621086793408622</v>
      </c>
      <c r="I141" s="1">
        <v>9088.6473375195492</v>
      </c>
      <c r="J141" s="1">
        <f t="shared" si="50"/>
        <v>0.22881895701706131</v>
      </c>
      <c r="K141" s="1">
        <f t="shared" si="51"/>
        <v>3.958499252026773</v>
      </c>
      <c r="L141" s="1">
        <v>3497.0379102154302</v>
      </c>
      <c r="M141" s="1">
        <f t="shared" si="52"/>
        <v>3.5437003403756235</v>
      </c>
      <c r="N141" s="1">
        <v>4086.6524607258598</v>
      </c>
      <c r="O141" s="1">
        <f t="shared" si="53"/>
        <v>3.6113677057794322</v>
      </c>
      <c r="P141" s="1">
        <v>-589.61455051043094</v>
      </c>
      <c r="Q141" s="1" t="e">
        <f ca="1"/>
        <v>#NAME?</v>
      </c>
      <c r="R141" s="1" t="e">
        <f t="shared" ca="1" si="38"/>
        <v>#NAME?</v>
      </c>
      <c r="S141" s="4">
        <v>1895254000000</v>
      </c>
      <c r="T141" s="1">
        <v>115834.33333333299</v>
      </c>
      <c r="U141" s="1" t="e">
        <f ca="1"/>
        <v>#NAME?</v>
      </c>
      <c r="V141" s="1" t="e">
        <f t="shared" ca="1" si="39"/>
        <v>#NAME?</v>
      </c>
      <c r="W141" s="1" t="e">
        <f ca="1"/>
        <v>#NAME?</v>
      </c>
      <c r="X141" s="1" t="e">
        <f t="shared" ca="1" si="40"/>
        <v>#NAME?</v>
      </c>
      <c r="Y141" s="1" t="e">
        <f ca="1"/>
        <v>#NAME?</v>
      </c>
      <c r="Z141" s="1" t="e">
        <f t="shared" ca="1" si="41"/>
        <v>#NAME?</v>
      </c>
      <c r="AA141" s="1" t="e">
        <f ca="1"/>
        <v>#NAME?</v>
      </c>
      <c r="AB141" s="1" t="e">
        <f t="shared" ca="1" si="42"/>
        <v>#NAME?</v>
      </c>
      <c r="AC141" s="1" t="e">
        <f ca="1"/>
        <v>#NAME?</v>
      </c>
      <c r="AD141" s="1" t="e">
        <f t="shared" ca="1" si="43"/>
        <v>#NAME?</v>
      </c>
      <c r="AE141" s="1" t="e">
        <f ca="1"/>
        <v>#NAME?</v>
      </c>
      <c r="AF141" s="1" t="e">
        <f t="shared" ca="1" si="44"/>
        <v>#NAME?</v>
      </c>
      <c r="AG141" s="1" t="e">
        <f ca="1"/>
        <v>#NAME?</v>
      </c>
      <c r="AH141" s="1" t="e">
        <f t="shared" ca="1" si="45"/>
        <v>#NAME?</v>
      </c>
      <c r="AI141" s="1" t="e">
        <f ca="1"/>
        <v>#NAME?</v>
      </c>
      <c r="AJ141" s="1" t="e">
        <f t="shared" ca="1" si="54"/>
        <v>#NAME?</v>
      </c>
      <c r="AK141" s="1" t="e">
        <f ca="1"/>
        <v>#NAME?</v>
      </c>
      <c r="AL141" s="1" t="e">
        <f t="shared" ca="1" si="46"/>
        <v>#NAME?</v>
      </c>
      <c r="AN141" s="1">
        <f t="shared" si="36"/>
        <v>4.0181911041967</v>
      </c>
      <c r="AO141" s="1" t="e">
        <f ca="1"/>
        <v>#NAME?</v>
      </c>
      <c r="AP141" s="1" t="e">
        <f t="shared" ca="1" si="37"/>
        <v>#NAME?</v>
      </c>
    </row>
    <row r="142" spans="1:42" x14ac:dyDescent="0.25">
      <c r="A142" s="1" t="s">
        <v>157</v>
      </c>
      <c r="B142" s="1">
        <v>141</v>
      </c>
      <c r="C142" s="1">
        <v>39754.061977180601</v>
      </c>
      <c r="D142" s="1">
        <f t="shared" si="47"/>
        <v>4.599381510455296</v>
      </c>
      <c r="E142" s="1">
        <v>25757.724539165301</v>
      </c>
      <c r="F142" s="1">
        <f t="shared" si="48"/>
        <v>4.4109074944124194</v>
      </c>
      <c r="G142" s="1">
        <v>5827.4978522013098</v>
      </c>
      <c r="H142" s="1">
        <f t="shared" si="49"/>
        <v>3.7654821221278709</v>
      </c>
      <c r="I142" s="1">
        <v>9096.0405142659092</v>
      </c>
      <c r="J142" s="1">
        <f t="shared" si="50"/>
        <v>0.22880782646782524</v>
      </c>
      <c r="K142" s="1">
        <f t="shared" si="51"/>
        <v>3.9588523860555509</v>
      </c>
      <c r="L142" s="1">
        <v>3554.8630684130399</v>
      </c>
      <c r="M142" s="1">
        <f t="shared" si="52"/>
        <v>3.5508228765769099</v>
      </c>
      <c r="N142" s="1">
        <v>4165.1468792861797</v>
      </c>
      <c r="O142" s="1">
        <f t="shared" si="53"/>
        <v>3.619630320926182</v>
      </c>
      <c r="P142" s="1">
        <v>-610.28381087313699</v>
      </c>
      <c r="Q142" s="1" t="e">
        <f ca="1"/>
        <v>#NAME?</v>
      </c>
      <c r="R142" s="1" t="e">
        <f t="shared" ca="1" si="38"/>
        <v>#NAME?</v>
      </c>
      <c r="S142" s="4">
        <v>1931397000000</v>
      </c>
      <c r="T142" s="1">
        <v>116701</v>
      </c>
      <c r="U142" s="1" t="e">
        <f ca="1"/>
        <v>#NAME?</v>
      </c>
      <c r="V142" s="1" t="e">
        <f t="shared" ca="1" si="39"/>
        <v>#NAME?</v>
      </c>
      <c r="W142" s="1" t="e">
        <f ca="1"/>
        <v>#NAME?</v>
      </c>
      <c r="X142" s="1" t="e">
        <f t="shared" ca="1" si="40"/>
        <v>#NAME?</v>
      </c>
      <c r="Y142" s="1" t="e">
        <f ca="1"/>
        <v>#NAME?</v>
      </c>
      <c r="Z142" s="1" t="e">
        <f t="shared" ca="1" si="41"/>
        <v>#NAME?</v>
      </c>
      <c r="AA142" s="1" t="e">
        <f ca="1"/>
        <v>#NAME?</v>
      </c>
      <c r="AB142" s="1" t="e">
        <f t="shared" ca="1" si="42"/>
        <v>#NAME?</v>
      </c>
      <c r="AC142" s="1" t="e">
        <f ca="1"/>
        <v>#NAME?</v>
      </c>
      <c r="AD142" s="1" t="e">
        <f t="shared" ca="1" si="43"/>
        <v>#NAME?</v>
      </c>
      <c r="AE142" s="1" t="e">
        <f ca="1"/>
        <v>#NAME?</v>
      </c>
      <c r="AF142" s="1" t="e">
        <f t="shared" ca="1" si="44"/>
        <v>#NAME?</v>
      </c>
      <c r="AG142" s="1" t="e">
        <f ca="1"/>
        <v>#NAME?</v>
      </c>
      <c r="AH142" s="1" t="e">
        <f t="shared" ca="1" si="45"/>
        <v>#NAME?</v>
      </c>
      <c r="AI142" s="1" t="e">
        <f ca="1"/>
        <v>#NAME?</v>
      </c>
      <c r="AJ142" s="1" t="e">
        <f t="shared" ca="1" si="54"/>
        <v>#NAME?</v>
      </c>
      <c r="AK142" s="1" t="e">
        <f ca="1"/>
        <v>#NAME?</v>
      </c>
      <c r="AL142" s="1" t="e">
        <f t="shared" ca="1" si="46"/>
        <v>#NAME?</v>
      </c>
      <c r="AN142" s="1">
        <f t="shared" si="36"/>
        <v>4.0135400219655031</v>
      </c>
      <c r="AO142" s="1" t="e">
        <f ca="1"/>
        <v>#NAME?</v>
      </c>
      <c r="AP142" s="1" t="e">
        <f t="shared" ca="1" si="37"/>
        <v>#NAME?</v>
      </c>
    </row>
    <row r="143" spans="1:42" x14ac:dyDescent="0.25">
      <c r="A143" s="1" t="s">
        <v>158</v>
      </c>
      <c r="B143" s="1">
        <v>142</v>
      </c>
      <c r="C143" s="1">
        <v>39759.688436999801</v>
      </c>
      <c r="D143" s="1">
        <f t="shared" si="47"/>
        <v>4.5994429725406203</v>
      </c>
      <c r="E143" s="1">
        <v>25909.920268127498</v>
      </c>
      <c r="F143" s="1">
        <f t="shared" si="48"/>
        <v>4.4134660765456264</v>
      </c>
      <c r="G143" s="1">
        <v>5690.2931517761199</v>
      </c>
      <c r="H143" s="1">
        <f t="shared" si="49"/>
        <v>3.7551346408975657</v>
      </c>
      <c r="I143" s="1">
        <v>9100.7469696628104</v>
      </c>
      <c r="J143" s="1">
        <f t="shared" si="50"/>
        <v>0.22889382003290007</v>
      </c>
      <c r="K143" s="1">
        <f t="shared" si="51"/>
        <v>3.9590770397374806</v>
      </c>
      <c r="L143" s="1">
        <v>3594.4984256524699</v>
      </c>
      <c r="M143" s="1">
        <f t="shared" si="52"/>
        <v>3.5556382977317811</v>
      </c>
      <c r="N143" s="1">
        <v>4192.7918179017197</v>
      </c>
      <c r="O143" s="1">
        <f t="shared" si="53"/>
        <v>3.622503299183661</v>
      </c>
      <c r="P143" s="1">
        <v>-598.29339224925002</v>
      </c>
      <c r="Q143" s="1" t="e">
        <f ca="1"/>
        <v>#NAME?</v>
      </c>
      <c r="R143" s="1" t="e">
        <f t="shared" ca="1" si="38"/>
        <v>#NAME?</v>
      </c>
      <c r="S143" s="4">
        <v>1931786000000</v>
      </c>
      <c r="T143" s="1">
        <v>117133.33333333299</v>
      </c>
      <c r="U143" s="1" t="e">
        <f ca="1"/>
        <v>#NAME?</v>
      </c>
      <c r="V143" s="1" t="e">
        <f t="shared" ca="1" si="39"/>
        <v>#NAME?</v>
      </c>
      <c r="W143" s="1" t="e">
        <f ca="1"/>
        <v>#NAME?</v>
      </c>
      <c r="X143" s="1" t="e">
        <f t="shared" ca="1" si="40"/>
        <v>#NAME?</v>
      </c>
      <c r="Y143" s="1" t="e">
        <f ca="1"/>
        <v>#NAME?</v>
      </c>
      <c r="Z143" s="1" t="e">
        <f t="shared" ca="1" si="41"/>
        <v>#NAME?</v>
      </c>
      <c r="AA143" s="1" t="e">
        <f ca="1"/>
        <v>#NAME?</v>
      </c>
      <c r="AB143" s="1" t="e">
        <f t="shared" ca="1" si="42"/>
        <v>#NAME?</v>
      </c>
      <c r="AC143" s="1" t="e">
        <f ca="1"/>
        <v>#NAME?</v>
      </c>
      <c r="AD143" s="1" t="e">
        <f t="shared" ca="1" si="43"/>
        <v>#NAME?</v>
      </c>
      <c r="AE143" s="1" t="e">
        <f ca="1"/>
        <v>#NAME?</v>
      </c>
      <c r="AF143" s="1" t="e">
        <f t="shared" ca="1" si="44"/>
        <v>#NAME?</v>
      </c>
      <c r="AG143" s="1" t="e">
        <f ca="1"/>
        <v>#NAME?</v>
      </c>
      <c r="AH143" s="1" t="e">
        <f t="shared" ca="1" si="45"/>
        <v>#NAME?</v>
      </c>
      <c r="AI143" s="1" t="e">
        <f ca="1"/>
        <v>#NAME?</v>
      </c>
      <c r="AJ143" s="1" t="e">
        <f t="shared" ca="1" si="54"/>
        <v>#NAME?</v>
      </c>
      <c r="AK143" s="1" t="e">
        <f ca="1"/>
        <v>#NAME?</v>
      </c>
      <c r="AL143" s="1" t="e">
        <f t="shared" ca="1" si="46"/>
        <v>#NAME?</v>
      </c>
      <c r="AN143" s="1">
        <f t="shared" si="36"/>
        <v>4.0125422058194928</v>
      </c>
      <c r="AO143" s="1" t="e">
        <f ca="1"/>
        <v>#NAME?</v>
      </c>
      <c r="AP143" s="1" t="e">
        <f t="shared" ca="1" si="37"/>
        <v>#NAME?</v>
      </c>
    </row>
    <row r="144" spans="1:42" x14ac:dyDescent="0.25">
      <c r="A144" s="1" t="s">
        <v>159</v>
      </c>
      <c r="B144" s="1">
        <v>143</v>
      </c>
      <c r="C144" s="1">
        <v>39969.056179775303</v>
      </c>
      <c r="D144" s="1">
        <f t="shared" si="47"/>
        <v>4.6017238930498205</v>
      </c>
      <c r="E144" s="1">
        <v>26060.711610486898</v>
      </c>
      <c r="F144" s="1">
        <f t="shared" si="48"/>
        <v>4.4159862703285331</v>
      </c>
      <c r="G144" s="1">
        <v>5638.19850187266</v>
      </c>
      <c r="H144" s="1">
        <f t="shared" si="49"/>
        <v>3.7511403618424963</v>
      </c>
      <c r="I144" s="1">
        <v>9047.7003745318307</v>
      </c>
      <c r="J144" s="1">
        <f t="shared" si="50"/>
        <v>0.22636762634165095</v>
      </c>
      <c r="K144" s="1">
        <f t="shared" si="51"/>
        <v>3.9565382099719884</v>
      </c>
      <c r="L144" s="1">
        <v>3738</v>
      </c>
      <c r="M144" s="1">
        <f t="shared" si="52"/>
        <v>3.5726392970428131</v>
      </c>
      <c r="N144" s="1">
        <v>4193.67790262172</v>
      </c>
      <c r="O144" s="1">
        <f t="shared" si="53"/>
        <v>3.6225950712209189</v>
      </c>
      <c r="P144" s="1">
        <v>-455.67790262172298</v>
      </c>
      <c r="Q144" s="1" t="e">
        <f ca="1"/>
        <v>#NAME?</v>
      </c>
      <c r="R144" s="1" t="e">
        <f t="shared" ca="1" si="38"/>
        <v>#NAME?</v>
      </c>
      <c r="S144" s="4">
        <v>1947323000000</v>
      </c>
      <c r="T144" s="1">
        <v>117632</v>
      </c>
      <c r="U144" s="1" t="e">
        <f ca="1"/>
        <v>#NAME?</v>
      </c>
      <c r="V144" s="1" t="e">
        <f t="shared" ca="1" si="39"/>
        <v>#NAME?</v>
      </c>
      <c r="W144" s="1" t="e">
        <f ca="1"/>
        <v>#NAME?</v>
      </c>
      <c r="X144" s="1" t="e">
        <f t="shared" ca="1" si="40"/>
        <v>#NAME?</v>
      </c>
      <c r="Y144" s="1" t="e">
        <f ca="1"/>
        <v>#NAME?</v>
      </c>
      <c r="Z144" s="1" t="e">
        <f t="shared" ca="1" si="41"/>
        <v>#NAME?</v>
      </c>
      <c r="AA144" s="1" t="e">
        <f ca="1"/>
        <v>#NAME?</v>
      </c>
      <c r="AB144" s="1" t="e">
        <f t="shared" ca="1" si="42"/>
        <v>#NAME?</v>
      </c>
      <c r="AC144" s="1" t="e">
        <f ca="1"/>
        <v>#NAME?</v>
      </c>
      <c r="AD144" s="1" t="e">
        <f t="shared" ca="1" si="43"/>
        <v>#NAME?</v>
      </c>
      <c r="AE144" s="1" t="e">
        <f ca="1"/>
        <v>#NAME?</v>
      </c>
      <c r="AF144" s="1" t="e">
        <f t="shared" ca="1" si="44"/>
        <v>#NAME?</v>
      </c>
      <c r="AG144" s="1" t="e">
        <f ca="1"/>
        <v>#NAME?</v>
      </c>
      <c r="AH144" s="1" t="e">
        <f t="shared" ca="1" si="45"/>
        <v>#NAME?</v>
      </c>
      <c r="AI144" s="1" t="e">
        <f ca="1"/>
        <v>#NAME?</v>
      </c>
      <c r="AJ144" s="1" t="e">
        <f t="shared" ca="1" si="54"/>
        <v>#NAME?</v>
      </c>
      <c r="AK144" s="1" t="e">
        <f ca="1"/>
        <v>#NAME?</v>
      </c>
      <c r="AL144" s="1" t="e">
        <f t="shared" ca="1" si="46"/>
        <v>#NAME?</v>
      </c>
      <c r="AN144" s="1">
        <f t="shared" si="36"/>
        <v>4.0123899075746285</v>
      </c>
      <c r="AO144" s="1" t="e">
        <f ca="1"/>
        <v>#NAME?</v>
      </c>
      <c r="AP144" s="1" t="e">
        <f t="shared" ca="1" si="37"/>
        <v>#NAME?</v>
      </c>
    </row>
    <row r="145" spans="1:42" x14ac:dyDescent="0.25">
      <c r="A145" s="1" t="s">
        <v>160</v>
      </c>
      <c r="B145" s="1">
        <v>144</v>
      </c>
      <c r="C145" s="1">
        <v>40117.2541259055</v>
      </c>
      <c r="D145" s="1">
        <f t="shared" si="47"/>
        <v>4.6033311995533159</v>
      </c>
      <c r="E145" s="1">
        <v>26162.149951459902</v>
      </c>
      <c r="F145" s="1">
        <f t="shared" si="48"/>
        <v>4.417673430542485</v>
      </c>
      <c r="G145" s="1">
        <v>5760.5294600851303</v>
      </c>
      <c r="H145" s="1">
        <f t="shared" si="49"/>
        <v>3.7604624020040931</v>
      </c>
      <c r="I145" s="1">
        <v>8925.6216862071506</v>
      </c>
      <c r="J145" s="1">
        <f t="shared" si="50"/>
        <v>0.22248835022942107</v>
      </c>
      <c r="K145" s="1">
        <f t="shared" si="51"/>
        <v>3.950638475258875</v>
      </c>
      <c r="L145" s="1">
        <v>3779.7587932193301</v>
      </c>
      <c r="M145" s="1">
        <f t="shared" si="52"/>
        <v>3.5774640860498561</v>
      </c>
      <c r="N145" s="1">
        <v>4234.2767530430901</v>
      </c>
      <c r="O145" s="1">
        <f t="shared" si="53"/>
        <v>3.6267792401716981</v>
      </c>
      <c r="P145" s="1">
        <v>-454.517959823762</v>
      </c>
      <c r="Q145" s="1" t="e">
        <f ca="1"/>
        <v>#NAME?</v>
      </c>
      <c r="R145" s="1" t="e">
        <f t="shared" ca="1" si="38"/>
        <v>#NAME?</v>
      </c>
      <c r="S145" s="4">
        <v>1975189000000</v>
      </c>
      <c r="T145" s="1">
        <v>118174</v>
      </c>
      <c r="U145" s="1" t="e">
        <f ca="1"/>
        <v>#NAME?</v>
      </c>
      <c r="V145" s="1" t="e">
        <f t="shared" ca="1" si="39"/>
        <v>#NAME?</v>
      </c>
      <c r="W145" s="1" t="e">
        <f ca="1"/>
        <v>#NAME?</v>
      </c>
      <c r="X145" s="1" t="e">
        <f t="shared" ca="1" si="40"/>
        <v>#NAME?</v>
      </c>
      <c r="Y145" s="1" t="e">
        <f ca="1"/>
        <v>#NAME?</v>
      </c>
      <c r="Z145" s="1" t="e">
        <f t="shared" ca="1" si="41"/>
        <v>#NAME?</v>
      </c>
      <c r="AA145" s="1" t="e">
        <f ca="1"/>
        <v>#NAME?</v>
      </c>
      <c r="AB145" s="1" t="e">
        <f t="shared" ca="1" si="42"/>
        <v>#NAME?</v>
      </c>
      <c r="AC145" s="1" t="e">
        <f ca="1"/>
        <v>#NAME?</v>
      </c>
      <c r="AD145" s="1" t="e">
        <f t="shared" ca="1" si="43"/>
        <v>#NAME?</v>
      </c>
      <c r="AE145" s="1" t="e">
        <f ca="1"/>
        <v>#NAME?</v>
      </c>
      <c r="AF145" s="1" t="e">
        <f t="shared" ca="1" si="44"/>
        <v>#NAME?</v>
      </c>
      <c r="AG145" s="1" t="e">
        <f ca="1"/>
        <v>#NAME?</v>
      </c>
      <c r="AH145" s="1" t="e">
        <f t="shared" ca="1" si="45"/>
        <v>#NAME?</v>
      </c>
      <c r="AI145" s="1" t="e">
        <f ca="1"/>
        <v>#NAME?</v>
      </c>
      <c r="AJ145" s="1" t="e">
        <f t="shared" ca="1" si="54"/>
        <v>#NAME?</v>
      </c>
      <c r="AK145" s="1" t="e">
        <f ca="1"/>
        <v>#NAME?</v>
      </c>
      <c r="AL145" s="1" t="e">
        <f t="shared" ca="1" si="46"/>
        <v>#NAME?</v>
      </c>
      <c r="AN145" s="1">
        <f t="shared" si="36"/>
        <v>4.0104980435562281</v>
      </c>
      <c r="AO145" s="1" t="e">
        <f ca="1"/>
        <v>#NAME?</v>
      </c>
      <c r="AP145" s="1" t="e">
        <f t="shared" ca="1" si="37"/>
        <v>#NAME?</v>
      </c>
    </row>
    <row r="146" spans="1:42" x14ac:dyDescent="0.25">
      <c r="A146" s="1" t="s">
        <v>161</v>
      </c>
      <c r="B146" s="1">
        <v>145</v>
      </c>
      <c r="C146" s="1">
        <v>40317.311452695998</v>
      </c>
      <c r="D146" s="1">
        <f t="shared" si="47"/>
        <v>4.6054915636113574</v>
      </c>
      <c r="E146" s="1">
        <v>26337.845035327598</v>
      </c>
      <c r="F146" s="1">
        <f t="shared" si="48"/>
        <v>4.4205802380687356</v>
      </c>
      <c r="G146" s="1">
        <v>5838.4949736858798</v>
      </c>
      <c r="H146" s="1">
        <f t="shared" si="49"/>
        <v>3.7663009106636647</v>
      </c>
      <c r="I146" s="1">
        <v>8962.1769396656091</v>
      </c>
      <c r="J146" s="1">
        <f t="shared" si="50"/>
        <v>0.22229103620118282</v>
      </c>
      <c r="K146" s="1">
        <f t="shared" si="51"/>
        <v>3.9524135139088519</v>
      </c>
      <c r="L146" s="1">
        <v>3815.76016715893</v>
      </c>
      <c r="M146" s="1">
        <f t="shared" si="52"/>
        <v>3.5815810700800861</v>
      </c>
      <c r="N146" s="1">
        <v>4361.0603120448995</v>
      </c>
      <c r="O146" s="1">
        <f t="shared" si="53"/>
        <v>3.639592092866311</v>
      </c>
      <c r="P146" s="1">
        <v>-545.30014488597203</v>
      </c>
      <c r="Q146" s="1" t="e">
        <f ca="1"/>
        <v>#NAME?</v>
      </c>
      <c r="R146" s="1" t="e">
        <f t="shared" ca="1" si="38"/>
        <v>#NAME?</v>
      </c>
      <c r="S146" s="4">
        <v>2025784000000</v>
      </c>
      <c r="T146" s="1">
        <v>118680.66666666701</v>
      </c>
      <c r="U146" s="1" t="e">
        <f ca="1"/>
        <v>#NAME?</v>
      </c>
      <c r="V146" s="1" t="e">
        <f t="shared" ca="1" si="39"/>
        <v>#NAME?</v>
      </c>
      <c r="W146" s="1" t="e">
        <f ca="1"/>
        <v>#NAME?</v>
      </c>
      <c r="X146" s="1" t="e">
        <f t="shared" ca="1" si="40"/>
        <v>#NAME?</v>
      </c>
      <c r="Y146" s="1" t="e">
        <f ca="1"/>
        <v>#NAME?</v>
      </c>
      <c r="Z146" s="1" t="e">
        <f t="shared" ca="1" si="41"/>
        <v>#NAME?</v>
      </c>
      <c r="AA146" s="1" t="e">
        <f ca="1"/>
        <v>#NAME?</v>
      </c>
      <c r="AB146" s="1" t="e">
        <f t="shared" ca="1" si="42"/>
        <v>#NAME?</v>
      </c>
      <c r="AC146" s="1" t="e">
        <f ca="1"/>
        <v>#NAME?</v>
      </c>
      <c r="AD146" s="1" t="e">
        <f t="shared" ca="1" si="43"/>
        <v>#NAME?</v>
      </c>
      <c r="AE146" s="1" t="e">
        <f ca="1"/>
        <v>#NAME?</v>
      </c>
      <c r="AF146" s="1" t="e">
        <f t="shared" ca="1" si="44"/>
        <v>#NAME?</v>
      </c>
      <c r="AG146" s="1" t="e">
        <f ca="1"/>
        <v>#NAME?</v>
      </c>
      <c r="AH146" s="1" t="e">
        <f t="shared" ca="1" si="45"/>
        <v>#NAME?</v>
      </c>
      <c r="AI146" s="1" t="e">
        <f ca="1"/>
        <v>#NAME?</v>
      </c>
      <c r="AJ146" s="1" t="e">
        <f t="shared" ca="1" si="54"/>
        <v>#NAME?</v>
      </c>
      <c r="AK146" s="1" t="e">
        <f ca="1"/>
        <v>#NAME?</v>
      </c>
      <c r="AL146" s="1" t="e">
        <f t="shared" ca="1" si="46"/>
        <v>#NAME?</v>
      </c>
      <c r="AN146" s="1">
        <f t="shared" si="36"/>
        <v>4.0075148489867942</v>
      </c>
      <c r="AO146" s="1" t="e">
        <f ca="1"/>
        <v>#NAME?</v>
      </c>
      <c r="AP146" s="1" t="e">
        <f t="shared" ca="1" si="37"/>
        <v>#NAME?</v>
      </c>
    </row>
    <row r="147" spans="1:42" x14ac:dyDescent="0.25">
      <c r="A147" s="1" t="s">
        <v>162</v>
      </c>
      <c r="B147" s="1">
        <v>146</v>
      </c>
      <c r="C147" s="1">
        <v>40873.448937979803</v>
      </c>
      <c r="D147" s="1">
        <f t="shared" si="47"/>
        <v>4.6114412854125018</v>
      </c>
      <c r="E147" s="1">
        <v>26545.643284518901</v>
      </c>
      <c r="F147" s="1">
        <f t="shared" si="48"/>
        <v>4.4239932541274207</v>
      </c>
      <c r="G147" s="1">
        <v>6101.6746455909197</v>
      </c>
      <c r="H147" s="1">
        <f t="shared" si="49"/>
        <v>3.7854490464083779</v>
      </c>
      <c r="I147" s="1">
        <v>9048.0555318271799</v>
      </c>
      <c r="J147" s="1">
        <f t="shared" si="50"/>
        <v>0.22136755685962395</v>
      </c>
      <c r="K147" s="1">
        <f t="shared" si="51"/>
        <v>3.9565552573785068</v>
      </c>
      <c r="L147" s="1">
        <v>3866.7785820665499</v>
      </c>
      <c r="M147" s="1">
        <f t="shared" si="52"/>
        <v>3.5873493043875744</v>
      </c>
      <c r="N147" s="1">
        <v>4446.0076285696296</v>
      </c>
      <c r="O147" s="1">
        <f t="shared" si="53"/>
        <v>3.6479702035368029</v>
      </c>
      <c r="P147" s="1">
        <v>-579.22904650307703</v>
      </c>
      <c r="Q147" s="1" t="e">
        <f ca="1"/>
        <v>#NAME?</v>
      </c>
      <c r="R147" s="1" t="e">
        <f t="shared" ca="1" si="38"/>
        <v>#NAME?</v>
      </c>
      <c r="S147" s="4">
        <v>2080619000000</v>
      </c>
      <c r="T147" s="1">
        <v>119471.66666666701</v>
      </c>
      <c r="U147" s="1" t="e">
        <f ca="1"/>
        <v>#NAME?</v>
      </c>
      <c r="V147" s="1" t="e">
        <f t="shared" ca="1" si="39"/>
        <v>#NAME?</v>
      </c>
      <c r="W147" s="1" t="e">
        <f ca="1"/>
        <v>#NAME?</v>
      </c>
      <c r="X147" s="1" t="e">
        <f t="shared" ca="1" si="40"/>
        <v>#NAME?</v>
      </c>
      <c r="Y147" s="1" t="e">
        <f ca="1"/>
        <v>#NAME?</v>
      </c>
      <c r="Z147" s="1" t="e">
        <f t="shared" ca="1" si="41"/>
        <v>#NAME?</v>
      </c>
      <c r="AA147" s="1" t="e">
        <f ca="1"/>
        <v>#NAME?</v>
      </c>
      <c r="AB147" s="1" t="e">
        <f t="shared" ca="1" si="42"/>
        <v>#NAME?</v>
      </c>
      <c r="AC147" s="1" t="e">
        <f ca="1"/>
        <v>#NAME?</v>
      </c>
      <c r="AD147" s="1" t="e">
        <f t="shared" ca="1" si="43"/>
        <v>#NAME?</v>
      </c>
      <c r="AE147" s="1" t="e">
        <f ca="1"/>
        <v>#NAME?</v>
      </c>
      <c r="AF147" s="1" t="e">
        <f t="shared" ca="1" si="44"/>
        <v>#NAME?</v>
      </c>
      <c r="AG147" s="1" t="e">
        <f ca="1"/>
        <v>#NAME?</v>
      </c>
      <c r="AH147" s="1" t="e">
        <f t="shared" ca="1" si="45"/>
        <v>#NAME?</v>
      </c>
      <c r="AI147" s="1" t="e">
        <f ca="1"/>
        <v>#NAME?</v>
      </c>
      <c r="AJ147" s="1" t="e">
        <f t="shared" ca="1" si="54"/>
        <v>#NAME?</v>
      </c>
      <c r="AK147" s="1" t="e">
        <f ca="1"/>
        <v>#NAME?</v>
      </c>
      <c r="AL147" s="1" t="e">
        <f t="shared" ca="1" si="46"/>
        <v>#NAME?</v>
      </c>
      <c r="AN147" s="1">
        <f t="shared" si="36"/>
        <v>4.0074424135179711</v>
      </c>
      <c r="AO147" s="1" t="e">
        <f ca="1"/>
        <v>#NAME?</v>
      </c>
      <c r="AP147" s="1" t="e">
        <f t="shared" ca="1" si="37"/>
        <v>#NAME?</v>
      </c>
    </row>
    <row r="148" spans="1:42" x14ac:dyDescent="0.25">
      <c r="A148" s="1" t="s">
        <v>163</v>
      </c>
      <c r="B148" s="1">
        <v>147</v>
      </c>
      <c r="C148" s="1">
        <v>41106.197802523202</v>
      </c>
      <c r="D148" s="1">
        <f t="shared" si="47"/>
        <v>4.6139073077278132</v>
      </c>
      <c r="E148" s="1">
        <v>26619.650684120101</v>
      </c>
      <c r="F148" s="1">
        <f t="shared" si="48"/>
        <v>4.425202352154642</v>
      </c>
      <c r="G148" s="1">
        <v>6358.1339216963797</v>
      </c>
      <c r="H148" s="1">
        <f t="shared" si="49"/>
        <v>3.8033296712417317</v>
      </c>
      <c r="I148" s="1">
        <v>9018.6208019901696</v>
      </c>
      <c r="J148" s="1">
        <f t="shared" si="50"/>
        <v>0.21939807824883731</v>
      </c>
      <c r="K148" s="1">
        <f t="shared" si="51"/>
        <v>3.955140126911898</v>
      </c>
      <c r="L148" s="1">
        <v>3885.3728602736501</v>
      </c>
      <c r="M148" s="1">
        <f t="shared" si="52"/>
        <v>3.5894327022590042</v>
      </c>
      <c r="N148" s="1">
        <v>4575.2532132914803</v>
      </c>
      <c r="O148" s="1">
        <f t="shared" si="53"/>
        <v>3.6604151347067528</v>
      </c>
      <c r="P148" s="1">
        <v>-689.88035301782895</v>
      </c>
      <c r="Q148" s="1" t="e">
        <f ca="1"/>
        <v>#NAME?</v>
      </c>
      <c r="R148" s="1" t="e">
        <f t="shared" ca="1" si="38"/>
        <v>#NAME?</v>
      </c>
      <c r="S148" s="4">
        <v>2122155000000</v>
      </c>
      <c r="T148" s="1">
        <v>120206</v>
      </c>
      <c r="U148" s="1" t="e">
        <f ca="1"/>
        <v>#NAME?</v>
      </c>
      <c r="V148" s="1" t="e">
        <f t="shared" ca="1" si="39"/>
        <v>#NAME?</v>
      </c>
      <c r="W148" s="1" t="e">
        <f ca="1"/>
        <v>#NAME?</v>
      </c>
      <c r="X148" s="1" t="e">
        <f t="shared" ca="1" si="40"/>
        <v>#NAME?</v>
      </c>
      <c r="Y148" s="1" t="e">
        <f ca="1"/>
        <v>#NAME?</v>
      </c>
      <c r="Z148" s="1" t="e">
        <f t="shared" ca="1" si="41"/>
        <v>#NAME?</v>
      </c>
      <c r="AA148" s="1" t="e">
        <f ca="1"/>
        <v>#NAME?</v>
      </c>
      <c r="AB148" s="1" t="e">
        <f t="shared" ca="1" si="42"/>
        <v>#NAME?</v>
      </c>
      <c r="AC148" s="1" t="e">
        <f ca="1"/>
        <v>#NAME?</v>
      </c>
      <c r="AD148" s="1" t="e">
        <f t="shared" ca="1" si="43"/>
        <v>#NAME?</v>
      </c>
      <c r="AE148" s="1" t="e">
        <f ca="1"/>
        <v>#NAME?</v>
      </c>
      <c r="AF148" s="1" t="e">
        <f t="shared" ca="1" si="44"/>
        <v>#NAME?</v>
      </c>
      <c r="AG148" s="1" t="e">
        <f ca="1"/>
        <v>#NAME?</v>
      </c>
      <c r="AH148" s="1" t="e">
        <f t="shared" ca="1" si="45"/>
        <v>#NAME?</v>
      </c>
      <c r="AI148" s="1" t="e">
        <f ca="1"/>
        <v>#NAME?</v>
      </c>
      <c r="AJ148" s="1" t="e">
        <f t="shared" ca="1" si="54"/>
        <v>#NAME?</v>
      </c>
      <c r="AK148" s="1" t="e">
        <f ca="1"/>
        <v>#NAME?</v>
      </c>
      <c r="AL148" s="1" t="e">
        <f t="shared" ca="1" si="46"/>
        <v>#NAME?</v>
      </c>
      <c r="AN148" s="1">
        <f t="shared" si="36"/>
        <v>4.0051148180565699</v>
      </c>
      <c r="AO148" s="1" t="e">
        <f ca="1"/>
        <v>#NAME?</v>
      </c>
      <c r="AP148" s="1" t="e">
        <f t="shared" ca="1" si="37"/>
        <v>#NAME?</v>
      </c>
    </row>
    <row r="149" spans="1:42" x14ac:dyDescent="0.25">
      <c r="A149" s="1" t="s">
        <v>164</v>
      </c>
      <c r="B149" s="1">
        <v>148</v>
      </c>
      <c r="C149" s="1">
        <v>41400.7771475806</v>
      </c>
      <c r="D149" s="1">
        <f t="shared" si="47"/>
        <v>4.6170084934817224</v>
      </c>
      <c r="E149" s="1">
        <v>26746.2277345004</v>
      </c>
      <c r="F149" s="1">
        <f t="shared" si="48"/>
        <v>4.4272625381473141</v>
      </c>
      <c r="G149" s="1">
        <v>6329.5275488853904</v>
      </c>
      <c r="H149" s="1">
        <f t="shared" si="49"/>
        <v>3.8013712944455502</v>
      </c>
      <c r="I149" s="1">
        <v>9051.9389942839407</v>
      </c>
      <c r="J149" s="1">
        <f t="shared" si="50"/>
        <v>0.21864176515374717</v>
      </c>
      <c r="K149" s="1">
        <f t="shared" si="51"/>
        <v>3.9567416183565829</v>
      </c>
      <c r="L149" s="1">
        <v>4114.4355347594601</v>
      </c>
      <c r="M149" s="1">
        <f t="shared" si="52"/>
        <v>3.614310262159647</v>
      </c>
      <c r="N149" s="1">
        <v>4650.6267735828897</v>
      </c>
      <c r="O149" s="1">
        <f t="shared" si="53"/>
        <v>3.6675114875060588</v>
      </c>
      <c r="P149" s="1">
        <v>-536.19123882343001</v>
      </c>
      <c r="Q149" s="1" t="e">
        <f ca="1"/>
        <v>#NAME?</v>
      </c>
      <c r="R149" s="1" t="e">
        <f t="shared" ca="1" si="38"/>
        <v>#NAME?</v>
      </c>
      <c r="S149" s="4">
        <v>2153073000000</v>
      </c>
      <c r="T149" s="1">
        <v>120919</v>
      </c>
      <c r="U149" s="1" t="e">
        <f ca="1"/>
        <v>#NAME?</v>
      </c>
      <c r="V149" s="1" t="e">
        <f t="shared" ca="1" si="39"/>
        <v>#NAME?</v>
      </c>
      <c r="W149" s="1" t="e">
        <f ca="1"/>
        <v>#NAME?</v>
      </c>
      <c r="X149" s="1" t="e">
        <f t="shared" ca="1" si="40"/>
        <v>#NAME?</v>
      </c>
      <c r="Y149" s="1" t="e">
        <f ca="1"/>
        <v>#NAME?</v>
      </c>
      <c r="Z149" s="1" t="e">
        <f t="shared" ca="1" si="41"/>
        <v>#NAME?</v>
      </c>
      <c r="AA149" s="1" t="e">
        <f ca="1"/>
        <v>#NAME?</v>
      </c>
      <c r="AB149" s="1" t="e">
        <f t="shared" ca="1" si="42"/>
        <v>#NAME?</v>
      </c>
      <c r="AC149" s="1" t="e">
        <f ca="1"/>
        <v>#NAME?</v>
      </c>
      <c r="AD149" s="1" t="e">
        <f t="shared" ca="1" si="43"/>
        <v>#NAME?</v>
      </c>
      <c r="AE149" s="1" t="e">
        <f ca="1"/>
        <v>#NAME?</v>
      </c>
      <c r="AF149" s="1" t="e">
        <f t="shared" ca="1" si="44"/>
        <v>#NAME?</v>
      </c>
      <c r="AG149" s="1" t="e">
        <f ca="1"/>
        <v>#NAME?</v>
      </c>
      <c r="AH149" s="1" t="e">
        <f t="shared" ca="1" si="45"/>
        <v>#NAME?</v>
      </c>
      <c r="AI149" s="1" t="e">
        <f ca="1"/>
        <v>#NAME?</v>
      </c>
      <c r="AJ149" s="1" t="e">
        <f t="shared" ca="1" si="54"/>
        <v>#NAME?</v>
      </c>
      <c r="AK149" s="1" t="e">
        <f ca="1"/>
        <v>#NAME?</v>
      </c>
      <c r="AL149" s="1" t="e">
        <f t="shared" ca="1" si="46"/>
        <v>#NAME?</v>
      </c>
      <c r="AN149" s="1">
        <f t="shared" si="36"/>
        <v>4.0043108317197946</v>
      </c>
      <c r="AO149" s="1" t="e">
        <f ca="1"/>
        <v>#NAME?</v>
      </c>
      <c r="AP149" s="1" t="e">
        <f t="shared" ca="1" si="37"/>
        <v>#NAME?</v>
      </c>
    </row>
    <row r="150" spans="1:42" x14ac:dyDescent="0.25">
      <c r="A150" s="1" t="s">
        <v>165</v>
      </c>
      <c r="B150" s="1">
        <v>149</v>
      </c>
      <c r="C150" s="1">
        <v>41557.935143848801</v>
      </c>
      <c r="D150" s="1">
        <f t="shared" si="47"/>
        <v>4.6186539609758466</v>
      </c>
      <c r="E150" s="1">
        <v>26956.736802976699</v>
      </c>
      <c r="F150" s="1">
        <f t="shared" si="48"/>
        <v>4.4306673183441925</v>
      </c>
      <c r="G150" s="1">
        <v>6440.2688170064303</v>
      </c>
      <c r="H150" s="1">
        <f t="shared" si="49"/>
        <v>3.8089039952023609</v>
      </c>
      <c r="I150" s="1">
        <v>8981.0974240823798</v>
      </c>
      <c r="J150" s="1">
        <f t="shared" si="50"/>
        <v>0.21611029020078051</v>
      </c>
      <c r="K150" s="1">
        <f t="shared" si="51"/>
        <v>3.9533294075028582</v>
      </c>
      <c r="L150" s="1">
        <v>4181.5140462774498</v>
      </c>
      <c r="M150" s="1">
        <f t="shared" si="52"/>
        <v>3.621333559977808</v>
      </c>
      <c r="N150" s="1">
        <v>4836.4463451707497</v>
      </c>
      <c r="O150" s="1">
        <f t="shared" si="53"/>
        <v>3.6845263741365479</v>
      </c>
      <c r="P150" s="1">
        <v>-654.93229889330098</v>
      </c>
      <c r="Q150" s="1" t="e">
        <f ca="1"/>
        <v>#NAME?</v>
      </c>
      <c r="R150" s="1" t="e">
        <f t="shared" ca="1" si="38"/>
        <v>#NAME?</v>
      </c>
      <c r="S150" s="4">
        <v>2178106000000</v>
      </c>
      <c r="T150" s="1">
        <v>121675.66666666701</v>
      </c>
      <c r="U150" s="1" t="e">
        <f ca="1"/>
        <v>#NAME?</v>
      </c>
      <c r="V150" s="1" t="e">
        <f t="shared" ca="1" si="39"/>
        <v>#NAME?</v>
      </c>
      <c r="W150" s="1" t="e">
        <f ca="1"/>
        <v>#NAME?</v>
      </c>
      <c r="X150" s="1" t="e">
        <f t="shared" ca="1" si="40"/>
        <v>#NAME?</v>
      </c>
      <c r="Y150" s="1" t="e">
        <f ca="1"/>
        <v>#NAME?</v>
      </c>
      <c r="Z150" s="1" t="e">
        <f t="shared" ca="1" si="41"/>
        <v>#NAME?</v>
      </c>
      <c r="AA150" s="1" t="e">
        <f ca="1"/>
        <v>#NAME?</v>
      </c>
      <c r="AB150" s="1" t="e">
        <f t="shared" ca="1" si="42"/>
        <v>#NAME?</v>
      </c>
      <c r="AC150" s="1" t="e">
        <f ca="1"/>
        <v>#NAME?</v>
      </c>
      <c r="AD150" s="1" t="e">
        <f t="shared" ca="1" si="43"/>
        <v>#NAME?</v>
      </c>
      <c r="AE150" s="1" t="e">
        <f ca="1"/>
        <v>#NAME?</v>
      </c>
      <c r="AF150" s="1" t="e">
        <f t="shared" ca="1" si="44"/>
        <v>#NAME?</v>
      </c>
      <c r="AG150" s="1" t="e">
        <f ca="1"/>
        <v>#NAME?</v>
      </c>
      <c r="AH150" s="1" t="e">
        <f t="shared" ca="1" si="45"/>
        <v>#NAME?</v>
      </c>
      <c r="AI150" s="1" t="e">
        <f ca="1"/>
        <v>#NAME?</v>
      </c>
      <c r="AJ150" s="1" t="e">
        <f t="shared" ca="1" si="54"/>
        <v>#NAME?</v>
      </c>
      <c r="AK150" s="1" t="e">
        <f ca="1"/>
        <v>#NAME?</v>
      </c>
      <c r="AL150" s="1" t="e">
        <f t="shared" ca="1" si="46"/>
        <v>#NAME?</v>
      </c>
      <c r="AN150" s="1">
        <f t="shared" si="36"/>
        <v>4.0024151268406571</v>
      </c>
      <c r="AO150" s="1" t="e">
        <f ca="1"/>
        <v>#NAME?</v>
      </c>
      <c r="AP150" s="1" t="e">
        <f t="shared" ca="1" si="37"/>
        <v>#NAME?</v>
      </c>
    </row>
    <row r="151" spans="1:42" x14ac:dyDescent="0.25">
      <c r="A151" s="1" t="s">
        <v>166</v>
      </c>
      <c r="B151" s="1">
        <v>150</v>
      </c>
      <c r="C151" s="1">
        <v>42127.991427114001</v>
      </c>
      <c r="D151" s="1">
        <f t="shared" si="47"/>
        <v>4.6245707533847273</v>
      </c>
      <c r="E151" s="1">
        <v>27000.781688667699</v>
      </c>
      <c r="F151" s="1">
        <f t="shared" si="48"/>
        <v>4.4313763374242017</v>
      </c>
      <c r="G151" s="1">
        <v>6814.8425429469999</v>
      </c>
      <c r="H151" s="1">
        <f t="shared" si="49"/>
        <v>3.8334558259052129</v>
      </c>
      <c r="I151" s="1">
        <v>9071.5043286468699</v>
      </c>
      <c r="J151" s="1">
        <f t="shared" si="50"/>
        <v>0.21533199237237685</v>
      </c>
      <c r="K151" s="1">
        <f t="shared" si="51"/>
        <v>3.9576793121380565</v>
      </c>
      <c r="L151" s="1">
        <v>4336.2582435125296</v>
      </c>
      <c r="M151" s="1">
        <f t="shared" si="52"/>
        <v>3.637115138473316</v>
      </c>
      <c r="N151" s="1">
        <v>4984.50201294007</v>
      </c>
      <c r="O151" s="1">
        <f t="shared" si="53"/>
        <v>3.6976217757198047</v>
      </c>
      <c r="P151" s="1">
        <v>-648.24376942753202</v>
      </c>
      <c r="Q151" s="1" t="e">
        <f ca="1"/>
        <v>#NAME?</v>
      </c>
      <c r="R151" s="1" t="e">
        <f t="shared" ca="1" si="38"/>
        <v>#NAME?</v>
      </c>
      <c r="S151" s="4">
        <v>2215554000000</v>
      </c>
      <c r="T151" s="1">
        <v>122550.33333333299</v>
      </c>
      <c r="U151" s="1" t="e">
        <f ca="1"/>
        <v>#NAME?</v>
      </c>
      <c r="V151" s="1" t="e">
        <f t="shared" ca="1" si="39"/>
        <v>#NAME?</v>
      </c>
      <c r="W151" s="1" t="e">
        <f ca="1"/>
        <v>#NAME?</v>
      </c>
      <c r="X151" s="1" t="e">
        <f t="shared" ca="1" si="40"/>
        <v>#NAME?</v>
      </c>
      <c r="Y151" s="1" t="e">
        <f ca="1"/>
        <v>#NAME?</v>
      </c>
      <c r="Z151" s="1" t="e">
        <f t="shared" ca="1" si="41"/>
        <v>#NAME?</v>
      </c>
      <c r="AA151" s="1" t="e">
        <f ca="1"/>
        <v>#NAME?</v>
      </c>
      <c r="AB151" s="1" t="e">
        <f t="shared" ca="1" si="42"/>
        <v>#NAME?</v>
      </c>
      <c r="AC151" s="1" t="e">
        <f ca="1"/>
        <v>#NAME?</v>
      </c>
      <c r="AD151" s="1" t="e">
        <f t="shared" ca="1" si="43"/>
        <v>#NAME?</v>
      </c>
      <c r="AE151" s="1" t="e">
        <f ca="1"/>
        <v>#NAME?</v>
      </c>
      <c r="AF151" s="1" t="e">
        <f t="shared" ca="1" si="44"/>
        <v>#NAME?</v>
      </c>
      <c r="AG151" s="1" t="e">
        <f ca="1"/>
        <v>#NAME?</v>
      </c>
      <c r="AH151" s="1" t="e">
        <f t="shared" ca="1" si="45"/>
        <v>#NAME?</v>
      </c>
      <c r="AI151" s="1" t="e">
        <f ca="1"/>
        <v>#NAME?</v>
      </c>
      <c r="AJ151" s="1" t="e">
        <f t="shared" ca="1" si="54"/>
        <v>#NAME?</v>
      </c>
      <c r="AK151" s="1" t="e">
        <f ca="1"/>
        <v>#NAME?</v>
      </c>
      <c r="AL151" s="1" t="e">
        <f t="shared" ca="1" si="46"/>
        <v>#NAME?</v>
      </c>
      <c r="AN151" s="1">
        <f t="shared" si="36"/>
        <v>4.0036758331340785</v>
      </c>
      <c r="AO151" s="1" t="e">
        <f ca="1"/>
        <v>#NAME?</v>
      </c>
      <c r="AP151" s="1" t="e">
        <f t="shared" ca="1" si="37"/>
        <v>#NAME?</v>
      </c>
    </row>
    <row r="152" spans="1:42" x14ac:dyDescent="0.25">
      <c r="A152" s="1" t="s">
        <v>167</v>
      </c>
      <c r="B152" s="1">
        <v>151</v>
      </c>
      <c r="C152" s="1">
        <v>42513.875731095803</v>
      </c>
      <c r="D152" s="1">
        <f t="shared" si="47"/>
        <v>4.6285306987545134</v>
      </c>
      <c r="E152" s="1">
        <v>27370.0048648273</v>
      </c>
      <c r="F152" s="1">
        <f t="shared" si="48"/>
        <v>4.4372748746029433</v>
      </c>
      <c r="G152" s="1">
        <v>6887.4066812733399</v>
      </c>
      <c r="H152" s="1">
        <f t="shared" si="49"/>
        <v>3.8380557275647265</v>
      </c>
      <c r="I152" s="1">
        <v>9083.3641195211294</v>
      </c>
      <c r="J152" s="1">
        <f t="shared" si="50"/>
        <v>0.21365645835195662</v>
      </c>
      <c r="K152" s="1">
        <f t="shared" si="51"/>
        <v>3.9582467238469974</v>
      </c>
      <c r="L152" s="1">
        <v>4422.0255970386697</v>
      </c>
      <c r="M152" s="1">
        <f t="shared" si="52"/>
        <v>3.6456212521776732</v>
      </c>
      <c r="N152" s="1">
        <v>5151.0986096835704</v>
      </c>
      <c r="O152" s="1">
        <f t="shared" si="53"/>
        <v>3.7118998638451526</v>
      </c>
      <c r="P152" s="1">
        <v>-729.07301264489297</v>
      </c>
      <c r="Q152" s="1" t="e">
        <f ca="1"/>
        <v>#NAME?</v>
      </c>
      <c r="R152" s="1" t="e">
        <f t="shared" ca="1" si="38"/>
        <v>#NAME?</v>
      </c>
      <c r="S152" s="4">
        <v>2288454000000</v>
      </c>
      <c r="T152" s="1">
        <v>123260.33333333299</v>
      </c>
      <c r="U152" s="1" t="e">
        <f ca="1"/>
        <v>#NAME?</v>
      </c>
      <c r="V152" s="1" t="e">
        <f t="shared" ca="1" si="39"/>
        <v>#NAME?</v>
      </c>
      <c r="W152" s="1" t="e">
        <f ca="1"/>
        <v>#NAME?</v>
      </c>
      <c r="X152" s="1" t="e">
        <f t="shared" ca="1" si="40"/>
        <v>#NAME?</v>
      </c>
      <c r="Y152" s="1" t="e">
        <f ca="1"/>
        <v>#NAME?</v>
      </c>
      <c r="Z152" s="1" t="e">
        <f t="shared" ca="1" si="41"/>
        <v>#NAME?</v>
      </c>
      <c r="AA152" s="1" t="e">
        <f ca="1"/>
        <v>#NAME?</v>
      </c>
      <c r="AB152" s="1" t="e">
        <f t="shared" ca="1" si="42"/>
        <v>#NAME?</v>
      </c>
      <c r="AC152" s="1" t="e">
        <f ca="1"/>
        <v>#NAME?</v>
      </c>
      <c r="AD152" s="1" t="e">
        <f t="shared" ca="1" si="43"/>
        <v>#NAME?</v>
      </c>
      <c r="AE152" s="1" t="e">
        <f ca="1"/>
        <v>#NAME?</v>
      </c>
      <c r="AF152" s="1" t="e">
        <f t="shared" ca="1" si="44"/>
        <v>#NAME?</v>
      </c>
      <c r="AG152" s="1" t="e">
        <f ca="1"/>
        <v>#NAME?</v>
      </c>
      <c r="AH152" s="1" t="e">
        <f t="shared" ca="1" si="45"/>
        <v>#NAME?</v>
      </c>
      <c r="AI152" s="1" t="e">
        <f ca="1"/>
        <v>#NAME?</v>
      </c>
      <c r="AJ152" s="1" t="e">
        <f t="shared" ca="1" si="54"/>
        <v>#NAME?</v>
      </c>
      <c r="AK152" s="1" t="e">
        <f ca="1"/>
        <v>#NAME?</v>
      </c>
      <c r="AL152" s="1" t="e">
        <f t="shared" ca="1" si="46"/>
        <v>#NAME?</v>
      </c>
      <c r="AN152" s="1">
        <f t="shared" si="36"/>
        <v>4.0009685751541681</v>
      </c>
      <c r="AO152" s="1" t="e">
        <f ca="1"/>
        <v>#NAME?</v>
      </c>
      <c r="AP152" s="1" t="e">
        <f t="shared" ca="1" si="37"/>
        <v>#NAME?</v>
      </c>
    </row>
    <row r="153" spans="1:42" x14ac:dyDescent="0.25">
      <c r="A153" s="1" t="s">
        <v>168</v>
      </c>
      <c r="B153" s="1">
        <v>152</v>
      </c>
      <c r="C153" s="1">
        <v>42745.2797853023</v>
      </c>
      <c r="D153" s="1">
        <f t="shared" si="47"/>
        <v>4.6308881640612052</v>
      </c>
      <c r="E153" s="1">
        <v>27610.783748897</v>
      </c>
      <c r="F153" s="1">
        <f t="shared" si="48"/>
        <v>4.4410787345273546</v>
      </c>
      <c r="G153" s="1">
        <v>6968.3714621179497</v>
      </c>
      <c r="H153" s="1">
        <f t="shared" si="49"/>
        <v>3.843131293499054</v>
      </c>
      <c r="I153" s="1">
        <v>9100.4864245969002</v>
      </c>
      <c r="J153" s="1">
        <f t="shared" si="50"/>
        <v>0.21290038269268846</v>
      </c>
      <c r="K153" s="1">
        <f t="shared" si="51"/>
        <v>3.9590646061532317</v>
      </c>
      <c r="L153" s="1">
        <v>4402.1024919233096</v>
      </c>
      <c r="M153" s="1">
        <f t="shared" si="52"/>
        <v>3.6436601497935577</v>
      </c>
      <c r="N153" s="1">
        <v>5245.8559103870302</v>
      </c>
      <c r="O153" s="1">
        <f t="shared" si="53"/>
        <v>3.7198163575118222</v>
      </c>
      <c r="P153" s="1">
        <v>-843.75341846371498</v>
      </c>
      <c r="Q153" s="1" t="e">
        <f ca="1"/>
        <v>#NAME?</v>
      </c>
      <c r="R153" s="1" t="e">
        <f t="shared" ca="1" si="38"/>
        <v>#NAME?</v>
      </c>
      <c r="S153" s="4">
        <v>2301413000000</v>
      </c>
      <c r="T153" s="1">
        <v>124234.66666666701</v>
      </c>
      <c r="U153" s="1" t="e">
        <f ca="1"/>
        <v>#NAME?</v>
      </c>
      <c r="V153" s="1" t="e">
        <f t="shared" ca="1" si="39"/>
        <v>#NAME?</v>
      </c>
      <c r="W153" s="1" t="e">
        <f ca="1"/>
        <v>#NAME?</v>
      </c>
      <c r="X153" s="1" t="e">
        <f t="shared" ca="1" si="40"/>
        <v>#NAME?</v>
      </c>
      <c r="Y153" s="1" t="e">
        <f ca="1"/>
        <v>#NAME?</v>
      </c>
      <c r="Z153" s="1" t="e">
        <f t="shared" ca="1" si="41"/>
        <v>#NAME?</v>
      </c>
      <c r="AA153" s="1" t="e">
        <f ca="1"/>
        <v>#NAME?</v>
      </c>
      <c r="AB153" s="1" t="e">
        <f t="shared" ca="1" si="42"/>
        <v>#NAME?</v>
      </c>
      <c r="AC153" s="1" t="e">
        <f ca="1"/>
        <v>#NAME?</v>
      </c>
      <c r="AD153" s="1" t="e">
        <f t="shared" ca="1" si="43"/>
        <v>#NAME?</v>
      </c>
      <c r="AE153" s="1" t="e">
        <f ca="1"/>
        <v>#NAME?</v>
      </c>
      <c r="AF153" s="1" t="e">
        <f t="shared" ca="1" si="44"/>
        <v>#NAME?</v>
      </c>
      <c r="AG153" s="1" t="e">
        <f ca="1"/>
        <v>#NAME?</v>
      </c>
      <c r="AH153" s="1" t="e">
        <f t="shared" ca="1" si="45"/>
        <v>#NAME?</v>
      </c>
      <c r="AI153" s="1" t="e">
        <f ca="1"/>
        <v>#NAME?</v>
      </c>
      <c r="AJ153" s="1" t="e">
        <f t="shared" ca="1" si="54"/>
        <v>#NAME?</v>
      </c>
      <c r="AK153" s="1" t="e">
        <f ca="1"/>
        <v>#NAME?</v>
      </c>
      <c r="AL153" s="1" t="e">
        <f t="shared" ca="1" si="46"/>
        <v>#NAME?</v>
      </c>
      <c r="AN153" s="1">
        <f t="shared" si="36"/>
        <v>4.0002547303478506</v>
      </c>
      <c r="AO153" s="1" t="e">
        <f ca="1"/>
        <v>#NAME?</v>
      </c>
      <c r="AP153" s="1" t="e">
        <f t="shared" ca="1" si="37"/>
        <v>#NAME?</v>
      </c>
    </row>
    <row r="154" spans="1:42" x14ac:dyDescent="0.25">
      <c r="A154" s="1" t="s">
        <v>169</v>
      </c>
      <c r="B154" s="1">
        <v>153</v>
      </c>
      <c r="C154" s="1">
        <v>43061.923986179303</v>
      </c>
      <c r="D154" s="1">
        <f t="shared" si="47"/>
        <v>4.6340934299908145</v>
      </c>
      <c r="E154" s="1">
        <v>27818.6615748318</v>
      </c>
      <c r="F154" s="1">
        <f t="shared" si="48"/>
        <v>4.4443362311683225</v>
      </c>
      <c r="G154" s="1">
        <v>7253.5915621022004</v>
      </c>
      <c r="H154" s="1">
        <f t="shared" si="49"/>
        <v>3.8605530975196878</v>
      </c>
      <c r="I154" s="1">
        <v>9044.7026732133108</v>
      </c>
      <c r="J154" s="1">
        <f t="shared" si="50"/>
        <v>0.2100394463590666</v>
      </c>
      <c r="K154" s="1">
        <f t="shared" si="51"/>
        <v>3.9563942948547424</v>
      </c>
      <c r="L154" s="1">
        <v>4411.3984360792901</v>
      </c>
      <c r="M154" s="1">
        <f t="shared" si="52"/>
        <v>3.6445762848869987</v>
      </c>
      <c r="N154" s="1">
        <v>5428.6706673940698</v>
      </c>
      <c r="O154" s="1">
        <f t="shared" si="53"/>
        <v>3.7346934957960767</v>
      </c>
      <c r="P154" s="1">
        <v>-1017.27223131478</v>
      </c>
      <c r="Q154" s="1" t="e">
        <f ca="1"/>
        <v>#NAME?</v>
      </c>
      <c r="R154" s="1" t="e">
        <f t="shared" ca="1" si="38"/>
        <v>#NAME?</v>
      </c>
      <c r="S154" s="4">
        <v>2357550000000</v>
      </c>
      <c r="T154" s="1">
        <v>124998.66666666701</v>
      </c>
      <c r="U154" s="1" t="e">
        <f ca="1"/>
        <v>#NAME?</v>
      </c>
      <c r="V154" s="1" t="e">
        <f t="shared" ca="1" si="39"/>
        <v>#NAME?</v>
      </c>
      <c r="W154" s="1" t="e">
        <f ca="1"/>
        <v>#NAME?</v>
      </c>
      <c r="X154" s="1" t="e">
        <f t="shared" ca="1" si="40"/>
        <v>#NAME?</v>
      </c>
      <c r="Y154" s="1" t="e">
        <f ca="1"/>
        <v>#NAME?</v>
      </c>
      <c r="Z154" s="1" t="e">
        <f t="shared" ca="1" si="41"/>
        <v>#NAME?</v>
      </c>
      <c r="AA154" s="1" t="e">
        <f ca="1"/>
        <v>#NAME?</v>
      </c>
      <c r="AB154" s="1" t="e">
        <f t="shared" ca="1" si="42"/>
        <v>#NAME?</v>
      </c>
      <c r="AC154" s="1" t="e">
        <f ca="1"/>
        <v>#NAME?</v>
      </c>
      <c r="AD154" s="1" t="e">
        <f t="shared" ca="1" si="43"/>
        <v>#NAME?</v>
      </c>
      <c r="AE154" s="1" t="e">
        <f ca="1"/>
        <v>#NAME?</v>
      </c>
      <c r="AF154" s="1" t="e">
        <f t="shared" ca="1" si="44"/>
        <v>#NAME?</v>
      </c>
      <c r="AG154" s="1" t="e">
        <f ca="1"/>
        <v>#NAME?</v>
      </c>
      <c r="AH154" s="1" t="e">
        <f t="shared" ca="1" si="45"/>
        <v>#NAME?</v>
      </c>
      <c r="AI154" s="1" t="e">
        <f ca="1"/>
        <v>#NAME?</v>
      </c>
      <c r="AJ154" s="1" t="e">
        <f t="shared" ca="1" si="54"/>
        <v>#NAME?</v>
      </c>
      <c r="AK154" s="1" t="e">
        <f ca="1"/>
        <v>#NAME?</v>
      </c>
      <c r="AL154" s="1" t="e">
        <f t="shared" ca="1" si="46"/>
        <v>#NAME?</v>
      </c>
      <c r="AN154" s="1">
        <f t="shared" si="36"/>
        <v>3.9979880580647498</v>
      </c>
      <c r="AO154" s="1" t="e">
        <f ca="1"/>
        <v>#NAME?</v>
      </c>
      <c r="AP154" s="1" t="e">
        <f t="shared" ca="1" si="37"/>
        <v>#NAME?</v>
      </c>
    </row>
    <row r="155" spans="1:42" x14ac:dyDescent="0.25">
      <c r="A155" s="1" t="s">
        <v>170</v>
      </c>
      <c r="B155" s="1">
        <v>154</v>
      </c>
      <c r="C155" s="1">
        <v>43341.900523389297</v>
      </c>
      <c r="D155" s="1">
        <f t="shared" si="47"/>
        <v>4.6369079510245008</v>
      </c>
      <c r="E155" s="1">
        <v>28231.212572949898</v>
      </c>
      <c r="F155" s="1">
        <f t="shared" si="48"/>
        <v>4.4507295321473253</v>
      </c>
      <c r="G155" s="1">
        <v>7189.1056680558404</v>
      </c>
      <c r="H155" s="1">
        <f t="shared" si="49"/>
        <v>3.8566748670746454</v>
      </c>
      <c r="I155" s="1">
        <v>9177.8653115852903</v>
      </c>
      <c r="J155" s="1">
        <f t="shared" si="50"/>
        <v>0.21175502690825682</v>
      </c>
      <c r="K155" s="1">
        <f t="shared" si="51"/>
        <v>3.9627416799805086</v>
      </c>
      <c r="L155" s="1">
        <v>4350.7868974947696</v>
      </c>
      <c r="M155" s="1">
        <f t="shared" si="52"/>
        <v>3.6385678119738003</v>
      </c>
      <c r="N155" s="1">
        <v>5537.9230548815203</v>
      </c>
      <c r="O155" s="1">
        <f t="shared" si="53"/>
        <v>3.7433469172686178</v>
      </c>
      <c r="P155" s="1">
        <v>-1187.13615738675</v>
      </c>
      <c r="Q155" s="1" t="e">
        <f ca="1"/>
        <v>#NAME?</v>
      </c>
      <c r="R155" s="1" t="e">
        <f t="shared" ca="1" si="38"/>
        <v>#NAME?</v>
      </c>
      <c r="S155" s="4">
        <v>2435276000000</v>
      </c>
      <c r="T155" s="1">
        <v>125790.66666666701</v>
      </c>
      <c r="U155" s="1" t="e">
        <f ca="1"/>
        <v>#NAME?</v>
      </c>
      <c r="V155" s="1" t="e">
        <f t="shared" ca="1" si="39"/>
        <v>#NAME?</v>
      </c>
      <c r="W155" s="1" t="e">
        <f ca="1"/>
        <v>#NAME?</v>
      </c>
      <c r="X155" s="1" t="e">
        <f t="shared" ca="1" si="40"/>
        <v>#NAME?</v>
      </c>
      <c r="Y155" s="1" t="e">
        <f ca="1"/>
        <v>#NAME?</v>
      </c>
      <c r="Z155" s="1" t="e">
        <f t="shared" ca="1" si="41"/>
        <v>#NAME?</v>
      </c>
      <c r="AA155" s="1" t="e">
        <f ca="1"/>
        <v>#NAME?</v>
      </c>
      <c r="AB155" s="1" t="e">
        <f t="shared" ca="1" si="42"/>
        <v>#NAME?</v>
      </c>
      <c r="AC155" s="1" t="e">
        <f ca="1"/>
        <v>#NAME?</v>
      </c>
      <c r="AD155" s="1" t="e">
        <f t="shared" ca="1" si="43"/>
        <v>#NAME?</v>
      </c>
      <c r="AE155" s="1" t="e">
        <f ca="1"/>
        <v>#NAME?</v>
      </c>
      <c r="AF155" s="1" t="e">
        <f t="shared" ca="1" si="44"/>
        <v>#NAME?</v>
      </c>
      <c r="AG155" s="1" t="e">
        <f ca="1"/>
        <v>#NAME?</v>
      </c>
      <c r="AH155" s="1" t="e">
        <f t="shared" ca="1" si="45"/>
        <v>#NAME?</v>
      </c>
      <c r="AI155" s="1" t="e">
        <f ca="1"/>
        <v>#NAME?</v>
      </c>
      <c r="AJ155" s="1" t="e">
        <f t="shared" ca="1" si="54"/>
        <v>#NAME?</v>
      </c>
      <c r="AK155" s="1" t="e">
        <f ca="1"/>
        <v>#NAME?</v>
      </c>
      <c r="AL155" s="1" t="e">
        <f t="shared" ca="1" si="46"/>
        <v>#NAME?</v>
      </c>
      <c r="AN155" s="1">
        <f t="shared" si="36"/>
        <v>3.9939756150384804</v>
      </c>
      <c r="AO155" s="1" t="e">
        <f ca="1"/>
        <v>#NAME?</v>
      </c>
      <c r="AP155" s="1" t="e">
        <f t="shared" ca="1" si="37"/>
        <v>#NAME?</v>
      </c>
    </row>
    <row r="156" spans="1:42" x14ac:dyDescent="0.25">
      <c r="A156" s="1" t="s">
        <v>171</v>
      </c>
      <c r="B156" s="1">
        <v>155</v>
      </c>
      <c r="C156" s="1">
        <v>43748.2499529946</v>
      </c>
      <c r="D156" s="1">
        <f t="shared" si="47"/>
        <v>4.6409606847649822</v>
      </c>
      <c r="E156" s="1">
        <v>28510.323107852098</v>
      </c>
      <c r="F156" s="1">
        <f t="shared" si="48"/>
        <v>4.4550021392022021</v>
      </c>
      <c r="G156" s="1">
        <v>7350.9748195716002</v>
      </c>
      <c r="H156" s="1">
        <f t="shared" si="49"/>
        <v>3.8663449350962438</v>
      </c>
      <c r="I156" s="1">
        <v>9218.2135057346604</v>
      </c>
      <c r="J156" s="1">
        <f t="shared" si="50"/>
        <v>0.21071045163267535</v>
      </c>
      <c r="K156" s="1">
        <f t="shared" si="51"/>
        <v>3.9646467627262973</v>
      </c>
      <c r="L156" s="1">
        <v>4317.0658509422801</v>
      </c>
      <c r="M156" s="1">
        <f t="shared" si="52"/>
        <v>3.6351886732758514</v>
      </c>
      <c r="N156" s="1">
        <v>5595.1714612169299</v>
      </c>
      <c r="O156" s="1">
        <f t="shared" si="53"/>
        <v>3.7478133998043859</v>
      </c>
      <c r="P156" s="1">
        <v>-1278.10561027466</v>
      </c>
      <c r="Q156" s="1" t="e">
        <f ca="1"/>
        <v>#NAME?</v>
      </c>
      <c r="R156" s="1" t="e">
        <f t="shared" ca="1" si="38"/>
        <v>#NAME?</v>
      </c>
      <c r="S156" s="4">
        <v>2488294000000</v>
      </c>
      <c r="T156" s="1">
        <v>126500</v>
      </c>
      <c r="U156" s="1" t="e">
        <f ca="1"/>
        <v>#NAME?</v>
      </c>
      <c r="V156" s="1" t="e">
        <f t="shared" ca="1" si="39"/>
        <v>#NAME?</v>
      </c>
      <c r="W156" s="1" t="e">
        <f ca="1"/>
        <v>#NAME?</v>
      </c>
      <c r="X156" s="1" t="e">
        <f t="shared" ca="1" si="40"/>
        <v>#NAME?</v>
      </c>
      <c r="Y156" s="1" t="e">
        <f ca="1"/>
        <v>#NAME?</v>
      </c>
      <c r="Z156" s="1" t="e">
        <f t="shared" ca="1" si="41"/>
        <v>#NAME?</v>
      </c>
      <c r="AA156" s="1" t="e">
        <f ca="1"/>
        <v>#NAME?</v>
      </c>
      <c r="AB156" s="1" t="e">
        <f t="shared" ca="1" si="42"/>
        <v>#NAME?</v>
      </c>
      <c r="AC156" s="1" t="e">
        <f ca="1"/>
        <v>#NAME?</v>
      </c>
      <c r="AD156" s="1" t="e">
        <f t="shared" ca="1" si="43"/>
        <v>#NAME?</v>
      </c>
      <c r="AE156" s="1" t="e">
        <f ca="1"/>
        <v>#NAME?</v>
      </c>
      <c r="AF156" s="1" t="e">
        <f t="shared" ca="1" si="44"/>
        <v>#NAME?</v>
      </c>
      <c r="AG156" s="1" t="e">
        <f ca="1"/>
        <v>#NAME?</v>
      </c>
      <c r="AH156" s="1" t="e">
        <f t="shared" ca="1" si="45"/>
        <v>#NAME?</v>
      </c>
      <c r="AI156" s="1" t="e">
        <f ca="1"/>
        <v>#NAME?</v>
      </c>
      <c r="AJ156" s="1" t="e">
        <f t="shared" ca="1" si="54"/>
        <v>#NAME?</v>
      </c>
      <c r="AK156" s="1" t="e">
        <f ca="1"/>
        <v>#NAME?</v>
      </c>
      <c r="AL156" s="1" t="e">
        <f t="shared" ca="1" si="46"/>
        <v>#NAME?</v>
      </c>
      <c r="AN156" s="1">
        <f t="shared" si="36"/>
        <v>3.9930981391910816</v>
      </c>
      <c r="AO156" s="1" t="e">
        <f ca="1"/>
        <v>#NAME?</v>
      </c>
      <c r="AP156" s="1" t="e">
        <f t="shared" ca="1" si="37"/>
        <v>#NAME?</v>
      </c>
    </row>
    <row r="157" spans="1:42" x14ac:dyDescent="0.25">
      <c r="A157" s="1" t="s">
        <v>172</v>
      </c>
      <c r="B157" s="1">
        <v>156</v>
      </c>
      <c r="C157" s="1">
        <v>44321.330209084401</v>
      </c>
      <c r="D157" s="1">
        <f t="shared" si="47"/>
        <v>4.6466127863276796</v>
      </c>
      <c r="E157" s="1">
        <v>28835.0468637347</v>
      </c>
      <c r="F157" s="1">
        <f t="shared" si="48"/>
        <v>4.4599206615781917</v>
      </c>
      <c r="G157" s="1">
        <v>7555.010814708</v>
      </c>
      <c r="H157" s="1">
        <f t="shared" si="49"/>
        <v>3.8782350903513705</v>
      </c>
      <c r="I157" s="1">
        <v>9244.6755587599091</v>
      </c>
      <c r="J157" s="1">
        <f t="shared" si="50"/>
        <v>0.20858298961580032</v>
      </c>
      <c r="K157" s="1">
        <f t="shared" si="51"/>
        <v>3.9658916742282653</v>
      </c>
      <c r="L157" s="1">
        <v>4463.2984859408798</v>
      </c>
      <c r="M157" s="1">
        <f t="shared" si="52"/>
        <v>3.6496559315329744</v>
      </c>
      <c r="N157" s="1">
        <v>5758.8572458543604</v>
      </c>
      <c r="O157" s="1">
        <f t="shared" si="53"/>
        <v>3.7603363131008165</v>
      </c>
      <c r="P157" s="1">
        <v>-1295.5587599134799</v>
      </c>
      <c r="Q157" s="1" t="e">
        <f ca="1"/>
        <v>#NAME?</v>
      </c>
      <c r="R157" s="1" t="e">
        <f t="shared" ca="1" si="38"/>
        <v>#NAME?</v>
      </c>
      <c r="S157" s="4">
        <v>2537311000000</v>
      </c>
      <c r="T157" s="1">
        <v>127257.66666666701</v>
      </c>
      <c r="U157" s="1" t="e">
        <f ca="1"/>
        <v>#NAME?</v>
      </c>
      <c r="V157" s="1" t="e">
        <f t="shared" ca="1" si="39"/>
        <v>#NAME?</v>
      </c>
      <c r="W157" s="1" t="e">
        <f ca="1"/>
        <v>#NAME?</v>
      </c>
      <c r="X157" s="1" t="e">
        <f t="shared" ca="1" si="40"/>
        <v>#NAME?</v>
      </c>
      <c r="Y157" s="1" t="e">
        <f ca="1"/>
        <v>#NAME?</v>
      </c>
      <c r="Z157" s="1" t="e">
        <f t="shared" ca="1" si="41"/>
        <v>#NAME?</v>
      </c>
      <c r="AA157" s="1" t="e">
        <f ca="1"/>
        <v>#NAME?</v>
      </c>
      <c r="AB157" s="1" t="e">
        <f t="shared" ca="1" si="42"/>
        <v>#NAME?</v>
      </c>
      <c r="AC157" s="1" t="e">
        <f ca="1"/>
        <v>#NAME?</v>
      </c>
      <c r="AD157" s="1" t="e">
        <f t="shared" ca="1" si="43"/>
        <v>#NAME?</v>
      </c>
      <c r="AE157" s="1" t="e">
        <f ca="1"/>
        <v>#NAME?</v>
      </c>
      <c r="AF157" s="1" t="e">
        <f t="shared" ca="1" si="44"/>
        <v>#NAME?</v>
      </c>
      <c r="AG157" s="1" t="e">
        <f ca="1"/>
        <v>#NAME?</v>
      </c>
      <c r="AH157" s="1" t="e">
        <f t="shared" ca="1" si="45"/>
        <v>#NAME?</v>
      </c>
      <c r="AI157" s="1" t="e">
        <f ca="1"/>
        <v>#NAME?</v>
      </c>
      <c r="AJ157" s="1" t="e">
        <f t="shared" ca="1" si="54"/>
        <v>#NAME?</v>
      </c>
      <c r="AK157" s="1" t="e">
        <f ca="1"/>
        <v>#NAME?</v>
      </c>
      <c r="AL157" s="1" t="e">
        <f t="shared" ca="1" si="46"/>
        <v>#NAME?</v>
      </c>
      <c r="AN157" s="1">
        <f t="shared" si="36"/>
        <v>3.994040521694239</v>
      </c>
      <c r="AO157" s="1" t="e">
        <f ca="1"/>
        <v>#NAME?</v>
      </c>
      <c r="AP157" s="1" t="e">
        <f t="shared" ca="1" si="37"/>
        <v>#NAME?</v>
      </c>
    </row>
    <row r="158" spans="1:42" x14ac:dyDescent="0.25">
      <c r="A158" s="1" t="s">
        <v>173</v>
      </c>
      <c r="B158" s="1">
        <v>157</v>
      </c>
      <c r="C158" s="1">
        <v>44626.552032879903</v>
      </c>
      <c r="D158" s="1">
        <f t="shared" si="47"/>
        <v>4.6495933333800679</v>
      </c>
      <c r="E158" s="1">
        <v>29057.5650028946</v>
      </c>
      <c r="F158" s="1">
        <f t="shared" si="48"/>
        <v>4.4632592180103821</v>
      </c>
      <c r="G158" s="1">
        <v>7742.8434788549603</v>
      </c>
      <c r="H158" s="1">
        <f t="shared" si="49"/>
        <v>3.888900480113763</v>
      </c>
      <c r="I158" s="1">
        <v>9287.5193723188895</v>
      </c>
      <c r="J158" s="1">
        <f t="shared" si="50"/>
        <v>0.20811644523816317</v>
      </c>
      <c r="K158" s="1">
        <f t="shared" si="51"/>
        <v>3.967899732640225</v>
      </c>
      <c r="L158" s="1">
        <v>4439.1034976249803</v>
      </c>
      <c r="M158" s="1">
        <f t="shared" si="52"/>
        <v>3.6472952707121045</v>
      </c>
      <c r="N158" s="1">
        <v>5906.6137366371504</v>
      </c>
      <c r="O158" s="1">
        <f t="shared" si="53"/>
        <v>3.7713385710724405</v>
      </c>
      <c r="P158" s="1">
        <v>-1467.5102390121599</v>
      </c>
      <c r="Q158" s="1" t="e">
        <f ca="1"/>
        <v>#NAME?</v>
      </c>
      <c r="R158" s="1" t="e">
        <f t="shared" ca="1" si="38"/>
        <v>#NAME?</v>
      </c>
      <c r="S158" s="4">
        <v>2581660000000</v>
      </c>
      <c r="T158" s="1">
        <v>128018.66666666701</v>
      </c>
      <c r="U158" s="1" t="e">
        <f ca="1"/>
        <v>#NAME?</v>
      </c>
      <c r="V158" s="1" t="e">
        <f t="shared" ca="1" si="39"/>
        <v>#NAME?</v>
      </c>
      <c r="W158" s="1" t="e">
        <f ca="1"/>
        <v>#NAME?</v>
      </c>
      <c r="X158" s="1" t="e">
        <f t="shared" ca="1" si="40"/>
        <v>#NAME?</v>
      </c>
      <c r="Y158" s="1" t="e">
        <f ca="1"/>
        <v>#NAME?</v>
      </c>
      <c r="Z158" s="1" t="e">
        <f t="shared" ca="1" si="41"/>
        <v>#NAME?</v>
      </c>
      <c r="AA158" s="1" t="e">
        <f ca="1"/>
        <v>#NAME?</v>
      </c>
      <c r="AB158" s="1" t="e">
        <f t="shared" ca="1" si="42"/>
        <v>#NAME?</v>
      </c>
      <c r="AC158" s="1" t="e">
        <f ca="1"/>
        <v>#NAME?</v>
      </c>
      <c r="AD158" s="1" t="e">
        <f t="shared" ca="1" si="43"/>
        <v>#NAME?</v>
      </c>
      <c r="AE158" s="1" t="e">
        <f ca="1"/>
        <v>#NAME?</v>
      </c>
      <c r="AF158" s="1" t="e">
        <f t="shared" ca="1" si="44"/>
        <v>#NAME?</v>
      </c>
      <c r="AG158" s="1" t="e">
        <f ca="1"/>
        <v>#NAME?</v>
      </c>
      <c r="AH158" s="1" t="e">
        <f t="shared" ca="1" si="45"/>
        <v>#NAME?</v>
      </c>
      <c r="AI158" s="1" t="e">
        <f ca="1"/>
        <v>#NAME?</v>
      </c>
      <c r="AJ158" s="1" t="e">
        <f t="shared" ca="1" si="54"/>
        <v>#NAME?</v>
      </c>
      <c r="AK158" s="1" t="e">
        <f ca="1"/>
        <v>#NAME?</v>
      </c>
      <c r="AL158" s="1" t="e">
        <f t="shared" ca="1" si="46"/>
        <v>#NAME?</v>
      </c>
      <c r="AN158" s="1">
        <f t="shared" si="36"/>
        <v>3.9926547650884912</v>
      </c>
      <c r="AO158" s="1" t="e">
        <f ca="1"/>
        <v>#NAME?</v>
      </c>
      <c r="AP158" s="1" t="e">
        <f t="shared" ca="1" si="37"/>
        <v>#NAME?</v>
      </c>
    </row>
    <row r="159" spans="1:42" x14ac:dyDescent="0.25">
      <c r="A159" s="1" t="s">
        <v>174</v>
      </c>
      <c r="B159" s="1">
        <v>158</v>
      </c>
      <c r="C159" s="1">
        <v>44876.384187274103</v>
      </c>
      <c r="D159" s="1">
        <f t="shared" si="47"/>
        <v>4.6520178573662969</v>
      </c>
      <c r="E159" s="1">
        <v>29422.048023409301</v>
      </c>
      <c r="F159" s="1">
        <f t="shared" si="48"/>
        <v>4.4686729000131393</v>
      </c>
      <c r="G159" s="1">
        <v>7726.5333639336704</v>
      </c>
      <c r="H159" s="1">
        <f t="shared" si="49"/>
        <v>3.8879846842667467</v>
      </c>
      <c r="I159" s="1">
        <v>9295.6351483160306</v>
      </c>
      <c r="J159" s="1">
        <f t="shared" si="50"/>
        <v>0.20713868366765734</v>
      </c>
      <c r="K159" s="1">
        <f t="shared" si="51"/>
        <v>3.9682790694155923</v>
      </c>
      <c r="L159" s="1">
        <v>4481.0767972918702</v>
      </c>
      <c r="M159" s="1">
        <f t="shared" si="52"/>
        <v>3.6513823869735837</v>
      </c>
      <c r="N159" s="1">
        <v>6059.6670778587404</v>
      </c>
      <c r="O159" s="1">
        <f t="shared" si="53"/>
        <v>3.7824487643939078</v>
      </c>
      <c r="P159" s="1">
        <v>-1578.59028056687</v>
      </c>
      <c r="Q159" s="1" t="e">
        <f ca="1"/>
        <v>#NAME?</v>
      </c>
      <c r="R159" s="1" t="e">
        <f t="shared" ca="1" si="38"/>
        <v>#NAME?</v>
      </c>
      <c r="S159" s="4">
        <v>2636841000000</v>
      </c>
      <c r="T159" s="1">
        <v>128832</v>
      </c>
      <c r="U159" s="1" t="e">
        <f ca="1"/>
        <v>#NAME?</v>
      </c>
      <c r="V159" s="1" t="e">
        <f t="shared" ca="1" si="39"/>
        <v>#NAME?</v>
      </c>
      <c r="W159" s="1" t="e">
        <f ca="1"/>
        <v>#NAME?</v>
      </c>
      <c r="X159" s="1" t="e">
        <f t="shared" ca="1" si="40"/>
        <v>#NAME?</v>
      </c>
      <c r="Y159" s="1" t="e">
        <f ca="1"/>
        <v>#NAME?</v>
      </c>
      <c r="Z159" s="1" t="e">
        <f t="shared" ca="1" si="41"/>
        <v>#NAME?</v>
      </c>
      <c r="AA159" s="1" t="e">
        <f ca="1"/>
        <v>#NAME?</v>
      </c>
      <c r="AB159" s="1" t="e">
        <f t="shared" ca="1" si="42"/>
        <v>#NAME?</v>
      </c>
      <c r="AC159" s="1" t="e">
        <f ca="1"/>
        <v>#NAME?</v>
      </c>
      <c r="AD159" s="1" t="e">
        <f t="shared" ca="1" si="43"/>
        <v>#NAME?</v>
      </c>
      <c r="AE159" s="1" t="e">
        <f ca="1"/>
        <v>#NAME?</v>
      </c>
      <c r="AF159" s="1" t="e">
        <f t="shared" ca="1" si="44"/>
        <v>#NAME?</v>
      </c>
      <c r="AG159" s="1" t="e">
        <f ca="1"/>
        <v>#NAME?</v>
      </c>
      <c r="AH159" s="1" t="e">
        <f t="shared" ca="1" si="45"/>
        <v>#NAME?</v>
      </c>
      <c r="AI159" s="1" t="e">
        <f ca="1"/>
        <v>#NAME?</v>
      </c>
      <c r="AJ159" s="1" t="e">
        <f t="shared" ca="1" si="54"/>
        <v>#NAME?</v>
      </c>
      <c r="AK159" s="1" t="e">
        <f ca="1"/>
        <v>#NAME?</v>
      </c>
      <c r="AL159" s="1" t="e">
        <f t="shared" ca="1" si="46"/>
        <v>#NAME?</v>
      </c>
      <c r="AN159" s="1">
        <f t="shared" si="36"/>
        <v>3.9900124386529523</v>
      </c>
      <c r="AO159" s="1" t="e">
        <f ca="1"/>
        <v>#NAME?</v>
      </c>
      <c r="AP159" s="1" t="e">
        <f t="shared" ca="1" si="37"/>
        <v>#NAME?</v>
      </c>
    </row>
    <row r="160" spans="1:42" x14ac:dyDescent="0.25">
      <c r="A160" s="1" t="s">
        <v>175</v>
      </c>
      <c r="B160" s="1">
        <v>159</v>
      </c>
      <c r="C160" s="1">
        <v>45325.939853655596</v>
      </c>
      <c r="D160" s="1">
        <f t="shared" si="47"/>
        <v>4.6563468181514311</v>
      </c>
      <c r="E160" s="1">
        <v>29658.474857998699</v>
      </c>
      <c r="F160" s="1">
        <f t="shared" si="48"/>
        <v>4.4721488143327734</v>
      </c>
      <c r="G160" s="1">
        <v>7913.3693892068304</v>
      </c>
      <c r="H160" s="1">
        <f t="shared" si="49"/>
        <v>3.8983614386897139</v>
      </c>
      <c r="I160" s="1">
        <v>9377.7073182937693</v>
      </c>
      <c r="J160" s="1">
        <f t="shared" si="50"/>
        <v>0.20689493364222969</v>
      </c>
      <c r="K160" s="1">
        <f t="shared" si="51"/>
        <v>3.9720966741232906</v>
      </c>
      <c r="L160" s="1">
        <v>4601.09168510568</v>
      </c>
      <c r="M160" s="1">
        <f t="shared" si="52"/>
        <v>3.6628608874570894</v>
      </c>
      <c r="N160" s="1">
        <v>6258.8194501538901</v>
      </c>
      <c r="O160" s="1">
        <f t="shared" si="53"/>
        <v>3.7964924235244024</v>
      </c>
      <c r="P160" s="1">
        <v>-1657.7277650481999</v>
      </c>
      <c r="Q160" s="1" t="e">
        <f ca="1"/>
        <v>#NAME?</v>
      </c>
      <c r="R160" s="1" t="e">
        <f t="shared" ca="1" si="38"/>
        <v>#NAME?</v>
      </c>
      <c r="S160" s="4">
        <v>2696032000000</v>
      </c>
      <c r="T160" s="1">
        <v>129590.66666666701</v>
      </c>
      <c r="U160" s="1" t="e">
        <f ca="1"/>
        <v>#NAME?</v>
      </c>
      <c r="V160" s="1" t="e">
        <f t="shared" ca="1" si="39"/>
        <v>#NAME?</v>
      </c>
      <c r="W160" s="1" t="e">
        <f ca="1"/>
        <v>#NAME?</v>
      </c>
      <c r="X160" s="1" t="e">
        <f t="shared" ca="1" si="40"/>
        <v>#NAME?</v>
      </c>
      <c r="Y160" s="1" t="e">
        <f ca="1"/>
        <v>#NAME?</v>
      </c>
      <c r="Z160" s="1" t="e">
        <f t="shared" ca="1" si="41"/>
        <v>#NAME?</v>
      </c>
      <c r="AA160" s="1" t="e">
        <f ca="1"/>
        <v>#NAME?</v>
      </c>
      <c r="AB160" s="1" t="e">
        <f t="shared" ca="1" si="42"/>
        <v>#NAME?</v>
      </c>
      <c r="AC160" s="1" t="e">
        <f ca="1"/>
        <v>#NAME?</v>
      </c>
      <c r="AD160" s="1" t="e">
        <f t="shared" ca="1" si="43"/>
        <v>#NAME?</v>
      </c>
      <c r="AE160" s="1" t="e">
        <f ca="1"/>
        <v>#NAME?</v>
      </c>
      <c r="AF160" s="1" t="e">
        <f t="shared" ca="1" si="44"/>
        <v>#NAME?</v>
      </c>
      <c r="AG160" s="1" t="e">
        <f ca="1"/>
        <v>#NAME?</v>
      </c>
      <c r="AH160" s="1" t="e">
        <f t="shared" ca="1" si="45"/>
        <v>#NAME?</v>
      </c>
      <c r="AI160" s="1" t="e">
        <f ca="1"/>
        <v>#NAME?</v>
      </c>
      <c r="AJ160" s="1" t="e">
        <f t="shared" ca="1" si="54"/>
        <v>#NAME?</v>
      </c>
      <c r="AK160" s="1" t="e">
        <f ca="1"/>
        <v>#NAME?</v>
      </c>
      <c r="AL160" s="1" t="e">
        <f t="shared" ca="1" si="46"/>
        <v>#NAME?</v>
      </c>
      <c r="AN160" s="1">
        <f t="shared" si="36"/>
        <v>3.9892386193963176</v>
      </c>
      <c r="AO160" s="1" t="e">
        <f ca="1"/>
        <v>#NAME?</v>
      </c>
      <c r="AP160" s="1" t="e">
        <f t="shared" ca="1" si="37"/>
        <v>#NAME?</v>
      </c>
    </row>
    <row r="161" spans="1:42" x14ac:dyDescent="0.25">
      <c r="A161" s="1" t="s">
        <v>176</v>
      </c>
      <c r="B161" s="1">
        <v>160</v>
      </c>
      <c r="C161" s="1">
        <v>45932.460654615999</v>
      </c>
      <c r="D161" s="1">
        <f t="shared" si="47"/>
        <v>4.6621197116947952</v>
      </c>
      <c r="E161" s="1">
        <v>30002.099133261101</v>
      </c>
      <c r="F161" s="1">
        <f t="shared" si="48"/>
        <v>4.4771516417229709</v>
      </c>
      <c r="G161" s="1">
        <v>8101.0684552660096</v>
      </c>
      <c r="H161" s="1">
        <f t="shared" si="49"/>
        <v>3.9085423020421821</v>
      </c>
      <c r="I161" s="1">
        <v>9495.0533158465005</v>
      </c>
      <c r="J161" s="1">
        <f t="shared" si="50"/>
        <v>0.20671771510878748</v>
      </c>
      <c r="K161" s="1">
        <f t="shared" si="51"/>
        <v>3.9774974076947238</v>
      </c>
      <c r="L161" s="1">
        <v>4685.2262359582601</v>
      </c>
      <c r="M161" s="1">
        <f t="shared" si="52"/>
        <v>3.6707305665484644</v>
      </c>
      <c r="N161" s="1">
        <v>6399.6728345783204</v>
      </c>
      <c r="O161" s="1">
        <f t="shared" si="53"/>
        <v>3.8061577724574618</v>
      </c>
      <c r="P161" s="1">
        <v>-1714.4465986200601</v>
      </c>
      <c r="Q161" s="1" t="e">
        <f ca="1"/>
        <v>#NAME?</v>
      </c>
      <c r="R161" s="1" t="e">
        <f t="shared" ca="1" si="38"/>
        <v>#NAME?</v>
      </c>
      <c r="S161" s="4">
        <v>2721230000000</v>
      </c>
      <c r="T161" s="1">
        <v>130475</v>
      </c>
      <c r="U161" s="1" t="e">
        <f ca="1"/>
        <v>#NAME?</v>
      </c>
      <c r="V161" s="1" t="e">
        <f t="shared" ca="1" si="39"/>
        <v>#NAME?</v>
      </c>
      <c r="W161" s="1" t="e">
        <f ca="1"/>
        <v>#NAME?</v>
      </c>
      <c r="X161" s="1" t="e">
        <f t="shared" ca="1" si="40"/>
        <v>#NAME?</v>
      </c>
      <c r="Y161" s="1" t="e">
        <f ca="1"/>
        <v>#NAME?</v>
      </c>
      <c r="Z161" s="1" t="e">
        <f t="shared" ca="1" si="41"/>
        <v>#NAME?</v>
      </c>
      <c r="AA161" s="1" t="e">
        <f ca="1"/>
        <v>#NAME?</v>
      </c>
      <c r="AB161" s="1" t="e">
        <f t="shared" ca="1" si="42"/>
        <v>#NAME?</v>
      </c>
      <c r="AC161" s="1" t="e">
        <f ca="1"/>
        <v>#NAME?</v>
      </c>
      <c r="AD161" s="1" t="e">
        <f t="shared" ca="1" si="43"/>
        <v>#NAME?</v>
      </c>
      <c r="AE161" s="1" t="e">
        <f ca="1"/>
        <v>#NAME?</v>
      </c>
      <c r="AF161" s="1" t="e">
        <f t="shared" ca="1" si="44"/>
        <v>#NAME?</v>
      </c>
      <c r="AG161" s="1" t="e">
        <f ca="1"/>
        <v>#NAME?</v>
      </c>
      <c r="AH161" s="1" t="e">
        <f t="shared" ca="1" si="45"/>
        <v>#NAME?</v>
      </c>
      <c r="AI161" s="1" t="e">
        <f ca="1"/>
        <v>#NAME?</v>
      </c>
      <c r="AJ161" s="1" t="e">
        <f t="shared" ca="1" si="54"/>
        <v>#NAME?</v>
      </c>
      <c r="AK161" s="1" t="e">
        <f ca="1"/>
        <v>#NAME?</v>
      </c>
      <c r="AL161" s="1" t="e">
        <f t="shared" ca="1" si="46"/>
        <v>#NAME?</v>
      </c>
      <c r="AN161" s="1">
        <f t="shared" si="36"/>
        <v>3.991666746098697</v>
      </c>
      <c r="AO161" s="1" t="e">
        <f ca="1"/>
        <v>#NAME?</v>
      </c>
      <c r="AP161" s="1" t="e">
        <f t="shared" ca="1" si="37"/>
        <v>#NAME?</v>
      </c>
    </row>
    <row r="162" spans="1:42" x14ac:dyDescent="0.25">
      <c r="A162" s="1" t="s">
        <v>177</v>
      </c>
      <c r="B162" s="1">
        <v>161</v>
      </c>
      <c r="C162" s="1">
        <v>45983.178340869701</v>
      </c>
      <c r="D162" s="1">
        <f t="shared" si="47"/>
        <v>4.662598986250269</v>
      </c>
      <c r="E162" s="1">
        <v>30378.661519210498</v>
      </c>
      <c r="F162" s="1">
        <f t="shared" si="48"/>
        <v>4.4825686349768423</v>
      </c>
      <c r="G162" s="1">
        <v>8023.7358871541101</v>
      </c>
      <c r="H162" s="1">
        <f t="shared" si="49"/>
        <v>3.9043766248180258</v>
      </c>
      <c r="I162" s="1">
        <v>9403.7873617154401</v>
      </c>
      <c r="J162" s="1">
        <f t="shared" si="50"/>
        <v>0.20450494509113529</v>
      </c>
      <c r="K162" s="1">
        <f t="shared" si="51"/>
        <v>3.9733028003042734</v>
      </c>
      <c r="L162" s="1">
        <v>4741.0132810056002</v>
      </c>
      <c r="M162" s="1">
        <f t="shared" si="52"/>
        <v>3.6758711719102597</v>
      </c>
      <c r="N162" s="1">
        <v>6624.4632141739903</v>
      </c>
      <c r="O162" s="1">
        <f t="shared" si="53"/>
        <v>3.8211506927874077</v>
      </c>
      <c r="P162" s="1">
        <v>-1883.4499331683901</v>
      </c>
      <c r="Q162" s="1" t="e">
        <f ca="1"/>
        <v>#NAME?</v>
      </c>
      <c r="R162" s="1" t="e">
        <f t="shared" ca="1" si="38"/>
        <v>#NAME?</v>
      </c>
      <c r="S162" s="4">
        <v>2788580000000</v>
      </c>
      <c r="T162" s="1">
        <v>131244.66666666701</v>
      </c>
      <c r="U162" s="1" t="e">
        <f ca="1"/>
        <v>#NAME?</v>
      </c>
      <c r="V162" s="1" t="e">
        <f t="shared" ca="1" si="39"/>
        <v>#NAME?</v>
      </c>
      <c r="W162" s="1" t="e">
        <f ca="1"/>
        <v>#NAME?</v>
      </c>
      <c r="X162" s="1" t="e">
        <f t="shared" ca="1" si="40"/>
        <v>#NAME?</v>
      </c>
      <c r="Y162" s="1" t="e">
        <f ca="1"/>
        <v>#NAME?</v>
      </c>
      <c r="Z162" s="1" t="e">
        <f t="shared" ca="1" si="41"/>
        <v>#NAME?</v>
      </c>
      <c r="AA162" s="1" t="e">
        <f ca="1"/>
        <v>#NAME?</v>
      </c>
      <c r="AB162" s="1" t="e">
        <f t="shared" ca="1" si="42"/>
        <v>#NAME?</v>
      </c>
      <c r="AC162" s="1" t="e">
        <f ca="1"/>
        <v>#NAME?</v>
      </c>
      <c r="AD162" s="1" t="e">
        <f t="shared" ca="1" si="43"/>
        <v>#NAME?</v>
      </c>
      <c r="AE162" s="1" t="e">
        <f ca="1"/>
        <v>#NAME?</v>
      </c>
      <c r="AF162" s="1" t="e">
        <f t="shared" ca="1" si="44"/>
        <v>#NAME?</v>
      </c>
      <c r="AG162" s="1" t="e">
        <f ca="1"/>
        <v>#NAME?</v>
      </c>
      <c r="AH162" s="1" t="e">
        <f t="shared" ca="1" si="45"/>
        <v>#NAME?</v>
      </c>
      <c r="AI162" s="1" t="e">
        <f ca="1"/>
        <v>#NAME?</v>
      </c>
      <c r="AJ162" s="1" t="e">
        <f t="shared" ca="1" si="54"/>
        <v>#NAME?</v>
      </c>
      <c r="AK162" s="1" t="e">
        <f ca="1"/>
        <v>#NAME?</v>
      </c>
      <c r="AL162" s="1" t="e">
        <f t="shared" ca="1" si="46"/>
        <v>#NAME?</v>
      </c>
      <c r="AN162" s="1">
        <f t="shared" si="36"/>
        <v>3.9866888021988531</v>
      </c>
      <c r="AO162" s="1" t="e">
        <f ca="1"/>
        <v>#NAME?</v>
      </c>
      <c r="AP162" s="1" t="e">
        <f t="shared" ca="1" si="37"/>
        <v>#NAME?</v>
      </c>
    </row>
    <row r="163" spans="1:42" x14ac:dyDescent="0.25">
      <c r="A163" s="1" t="s">
        <v>178</v>
      </c>
      <c r="B163" s="1">
        <v>162</v>
      </c>
      <c r="C163" s="1">
        <v>46704.452450691802</v>
      </c>
      <c r="D163" s="1">
        <f t="shared" si="47"/>
        <v>4.6693582849042805</v>
      </c>
      <c r="E163" s="1">
        <v>30586.432011120502</v>
      </c>
      <c r="F163" s="1">
        <f t="shared" si="48"/>
        <v>4.485528818329616</v>
      </c>
      <c r="G163" s="1">
        <v>8477.7164700959602</v>
      </c>
      <c r="H163" s="1">
        <f t="shared" si="49"/>
        <v>3.9282788878712873</v>
      </c>
      <c r="I163" s="1">
        <v>9472.9753689690206</v>
      </c>
      <c r="J163" s="1">
        <f t="shared" si="50"/>
        <v>0.20282810036088333</v>
      </c>
      <c r="K163" s="1">
        <f t="shared" si="51"/>
        <v>3.9764864080816342</v>
      </c>
      <c r="L163" s="1">
        <v>4873.3413238204002</v>
      </c>
      <c r="M163" s="1">
        <f t="shared" si="52"/>
        <v>3.687826829985954</v>
      </c>
      <c r="N163" s="1">
        <v>6818.5828469301596</v>
      </c>
      <c r="O163" s="1">
        <f t="shared" si="53"/>
        <v>3.833694121619581</v>
      </c>
      <c r="P163" s="1">
        <v>-1945.24152310977</v>
      </c>
      <c r="Q163" s="1" t="e">
        <f ca="1"/>
        <v>#NAME?</v>
      </c>
      <c r="R163" s="1" t="e">
        <f t="shared" ca="1" si="38"/>
        <v>#NAME?</v>
      </c>
      <c r="S163" s="4">
        <v>2832313000000</v>
      </c>
      <c r="T163" s="1">
        <v>132016.66666666701</v>
      </c>
      <c r="U163" s="1" t="e">
        <f ca="1"/>
        <v>#NAME?</v>
      </c>
      <c r="V163" s="1" t="e">
        <f t="shared" ca="1" si="39"/>
        <v>#NAME?</v>
      </c>
      <c r="W163" s="1" t="e">
        <f ca="1"/>
        <v>#NAME?</v>
      </c>
      <c r="X163" s="1" t="e">
        <f t="shared" ca="1" si="40"/>
        <v>#NAME?</v>
      </c>
      <c r="Y163" s="1" t="e">
        <f ca="1"/>
        <v>#NAME?</v>
      </c>
      <c r="Z163" s="1" t="e">
        <f t="shared" ca="1" si="41"/>
        <v>#NAME?</v>
      </c>
      <c r="AA163" s="1" t="e">
        <f ca="1"/>
        <v>#NAME?</v>
      </c>
      <c r="AB163" s="1" t="e">
        <f t="shared" ca="1" si="42"/>
        <v>#NAME?</v>
      </c>
      <c r="AC163" s="1" t="e">
        <f ca="1"/>
        <v>#NAME?</v>
      </c>
      <c r="AD163" s="1" t="e">
        <f t="shared" ca="1" si="43"/>
        <v>#NAME?</v>
      </c>
      <c r="AE163" s="1" t="e">
        <f ca="1"/>
        <v>#NAME?</v>
      </c>
      <c r="AF163" s="1" t="e">
        <f t="shared" ca="1" si="44"/>
        <v>#NAME?</v>
      </c>
      <c r="AG163" s="1" t="e">
        <f ca="1"/>
        <v>#NAME?</v>
      </c>
      <c r="AH163" s="1" t="e">
        <f t="shared" ca="1" si="45"/>
        <v>#NAME?</v>
      </c>
      <c r="AI163" s="1" t="e">
        <f ca="1"/>
        <v>#NAME?</v>
      </c>
      <c r="AJ163" s="1" t="e">
        <f t="shared" ca="1" si="54"/>
        <v>#NAME?</v>
      </c>
      <c r="AK163" s="1" t="e">
        <f ca="1"/>
        <v>#NAME?</v>
      </c>
      <c r="AL163" s="1" t="e">
        <f t="shared" ca="1" si="46"/>
        <v>#NAME?</v>
      </c>
      <c r="AN163" s="1">
        <f t="shared" si="36"/>
        <v>3.9893850281850378</v>
      </c>
      <c r="AO163" s="1" t="e">
        <f ca="1"/>
        <v>#NAME?</v>
      </c>
      <c r="AP163" s="1" t="e">
        <f t="shared" ca="1" si="37"/>
        <v>#NAME?</v>
      </c>
    </row>
    <row r="164" spans="1:42" x14ac:dyDescent="0.25">
      <c r="A164" s="1" t="s">
        <v>179</v>
      </c>
      <c r="B164" s="1">
        <v>163</v>
      </c>
      <c r="C164" s="1">
        <v>46624.240988227102</v>
      </c>
      <c r="D164" s="1">
        <f t="shared" si="47"/>
        <v>4.668611774847677</v>
      </c>
      <c r="E164" s="1">
        <v>30795.7166450353</v>
      </c>
      <c r="F164" s="1">
        <f t="shared" si="48"/>
        <v>4.4884903149813278</v>
      </c>
      <c r="G164" s="1">
        <v>8371.7592805434797</v>
      </c>
      <c r="H164" s="1">
        <f t="shared" si="49"/>
        <v>3.9228167322520955</v>
      </c>
      <c r="I164" s="1">
        <v>9407.4633357970597</v>
      </c>
      <c r="J164" s="1">
        <f t="shared" si="50"/>
        <v>0.20177193529375631</v>
      </c>
      <c r="K164" s="1">
        <f t="shared" si="51"/>
        <v>3.9734725343964143</v>
      </c>
      <c r="L164" s="1">
        <v>4976.9599920783403</v>
      </c>
      <c r="M164" s="1">
        <f t="shared" si="52"/>
        <v>3.6969641496269956</v>
      </c>
      <c r="N164" s="1">
        <v>7044.7609179224</v>
      </c>
      <c r="O164" s="1">
        <f t="shared" si="53"/>
        <v>3.847866258795424</v>
      </c>
      <c r="P164" s="1">
        <v>-2067.8009258440602</v>
      </c>
      <c r="Q164" s="1" t="e">
        <f ca="1"/>
        <v>#NAME?</v>
      </c>
      <c r="R164" s="1" t="e">
        <f t="shared" ca="1" si="38"/>
        <v>#NAME?</v>
      </c>
      <c r="S164" s="4">
        <v>2840417000000</v>
      </c>
      <c r="T164" s="1">
        <v>132271</v>
      </c>
      <c r="U164" s="1" t="e">
        <f ca="1"/>
        <v>#NAME?</v>
      </c>
      <c r="V164" s="1" t="e">
        <f t="shared" ca="1" si="39"/>
        <v>#NAME?</v>
      </c>
      <c r="W164" s="1" t="e">
        <f ca="1"/>
        <v>#NAME?</v>
      </c>
      <c r="X164" s="1" t="e">
        <f t="shared" ca="1" si="40"/>
        <v>#NAME?</v>
      </c>
      <c r="Y164" s="1" t="e">
        <f ca="1"/>
        <v>#NAME?</v>
      </c>
      <c r="Z164" s="1" t="e">
        <f t="shared" ca="1" si="41"/>
        <v>#NAME?</v>
      </c>
      <c r="AA164" s="1" t="e">
        <f ca="1"/>
        <v>#NAME?</v>
      </c>
      <c r="AB164" s="1" t="e">
        <f t="shared" ca="1" si="42"/>
        <v>#NAME?</v>
      </c>
      <c r="AC164" s="1" t="e">
        <f ca="1"/>
        <v>#NAME?</v>
      </c>
      <c r="AD164" s="1" t="e">
        <f t="shared" ca="1" si="43"/>
        <v>#NAME?</v>
      </c>
      <c r="AE164" s="1" t="e">
        <f ca="1"/>
        <v>#NAME?</v>
      </c>
      <c r="AF164" s="1" t="e">
        <f t="shared" ca="1" si="44"/>
        <v>#NAME?</v>
      </c>
      <c r="AG164" s="1" t="e">
        <f ca="1"/>
        <v>#NAME?</v>
      </c>
      <c r="AH164" s="1" t="e">
        <f t="shared" ca="1" si="45"/>
        <v>#NAME?</v>
      </c>
      <c r="AI164" s="1" t="e">
        <f ca="1"/>
        <v>#NAME?</v>
      </c>
      <c r="AJ164" s="1" t="e">
        <f t="shared" ca="1" si="54"/>
        <v>#NAME?</v>
      </c>
      <c r="AK164" s="1" t="e">
        <f ca="1"/>
        <v>#NAME?</v>
      </c>
      <c r="AL164" s="1" t="e">
        <f t="shared" ca="1" si="46"/>
        <v>#NAME?</v>
      </c>
      <c r="AN164" s="1">
        <f t="shared" si="36"/>
        <v>3.9876568500431899</v>
      </c>
      <c r="AO164" s="1" t="e">
        <f ca="1"/>
        <v>#NAME?</v>
      </c>
      <c r="AP164" s="1" t="e">
        <f t="shared" ca="1" si="37"/>
        <v>#NAME?</v>
      </c>
    </row>
    <row r="165" spans="1:42" x14ac:dyDescent="0.25">
      <c r="A165" s="1" t="s">
        <v>180</v>
      </c>
      <c r="B165" s="1">
        <v>164</v>
      </c>
      <c r="C165" s="1">
        <v>46777.453283389397</v>
      </c>
      <c r="D165" s="1">
        <f t="shared" si="47"/>
        <v>4.6700365737134462</v>
      </c>
      <c r="E165" s="1">
        <v>30982.706565368</v>
      </c>
      <c r="F165" s="1">
        <f t="shared" si="48"/>
        <v>4.4911193538705998</v>
      </c>
      <c r="G165" s="1">
        <v>8365.6381605400693</v>
      </c>
      <c r="H165" s="1">
        <f t="shared" si="49"/>
        <v>3.9224990760850091</v>
      </c>
      <c r="I165" s="1">
        <v>9440.1272582340407</v>
      </c>
      <c r="J165" s="1">
        <f t="shared" si="50"/>
        <v>0.2018093460762691</v>
      </c>
      <c r="K165" s="1">
        <f t="shared" si="51"/>
        <v>3.9749778488718297</v>
      </c>
      <c r="L165" s="1">
        <v>4914.4992557791802</v>
      </c>
      <c r="M165" s="1">
        <f t="shared" si="52"/>
        <v>3.6914792736369777</v>
      </c>
      <c r="N165" s="1">
        <v>7036.42449509379</v>
      </c>
      <c r="O165" s="1">
        <f t="shared" si="53"/>
        <v>3.8473520317967629</v>
      </c>
      <c r="P165" s="1">
        <v>-2121.9252393146098</v>
      </c>
      <c r="Q165" s="1" t="e">
        <f ca="1"/>
        <v>#NAME?</v>
      </c>
      <c r="R165" s="1" t="e">
        <f t="shared" ca="1" si="38"/>
        <v>#NAME?</v>
      </c>
      <c r="S165" s="4">
        <v>2854881000000</v>
      </c>
      <c r="T165" s="1">
        <v>132541</v>
      </c>
      <c r="U165" s="1" t="e">
        <f ca="1"/>
        <v>#NAME?</v>
      </c>
      <c r="V165" s="1" t="e">
        <f t="shared" ca="1" si="39"/>
        <v>#NAME?</v>
      </c>
      <c r="W165" s="1" t="e">
        <f ca="1"/>
        <v>#NAME?</v>
      </c>
      <c r="X165" s="1" t="e">
        <f t="shared" ca="1" si="40"/>
        <v>#NAME?</v>
      </c>
      <c r="Y165" s="1" t="e">
        <f ca="1"/>
        <v>#NAME?</v>
      </c>
      <c r="Z165" s="1" t="e">
        <f t="shared" ca="1" si="41"/>
        <v>#NAME?</v>
      </c>
      <c r="AA165" s="1" t="e">
        <f ca="1"/>
        <v>#NAME?</v>
      </c>
      <c r="AB165" s="1" t="e">
        <f t="shared" ca="1" si="42"/>
        <v>#NAME?</v>
      </c>
      <c r="AC165" s="1" t="e">
        <f ca="1"/>
        <v>#NAME?</v>
      </c>
      <c r="AD165" s="1" t="e">
        <f t="shared" ca="1" si="43"/>
        <v>#NAME?</v>
      </c>
      <c r="AE165" s="1" t="e">
        <f ca="1"/>
        <v>#NAME?</v>
      </c>
      <c r="AF165" s="1" t="e">
        <f t="shared" ca="1" si="44"/>
        <v>#NAME?</v>
      </c>
      <c r="AG165" s="1" t="e">
        <f ca="1"/>
        <v>#NAME?</v>
      </c>
      <c r="AH165" s="1" t="e">
        <f t="shared" ca="1" si="45"/>
        <v>#NAME?</v>
      </c>
      <c r="AI165" s="1" t="e">
        <f ca="1"/>
        <v>#NAME?</v>
      </c>
      <c r="AJ165" s="1" t="e">
        <f t="shared" ca="1" si="54"/>
        <v>#NAME?</v>
      </c>
      <c r="AK165" s="1" t="e">
        <f ca="1"/>
        <v>#NAME?</v>
      </c>
      <c r="AL165" s="1" t="e">
        <f t="shared" ca="1" si="46"/>
        <v>#NAME?</v>
      </c>
      <c r="AN165" s="1">
        <f t="shared" si="36"/>
        <v>3.9877207345322292</v>
      </c>
      <c r="AO165" s="1" t="e">
        <f ca="1"/>
        <v>#NAME?</v>
      </c>
      <c r="AP165" s="1" t="e">
        <f t="shared" ca="1" si="37"/>
        <v>#NAME?</v>
      </c>
    </row>
    <row r="166" spans="1:42" x14ac:dyDescent="0.25">
      <c r="A166" s="1" t="s">
        <v>181</v>
      </c>
      <c r="B166" s="1">
        <v>165</v>
      </c>
      <c r="C166" s="1">
        <v>46518.976383771602</v>
      </c>
      <c r="D166" s="1">
        <f t="shared" si="47"/>
        <v>4.667630149827465</v>
      </c>
      <c r="E166" s="1">
        <v>31023.841446463201</v>
      </c>
      <c r="F166" s="1">
        <f t="shared" si="48"/>
        <v>4.4916955721916283</v>
      </c>
      <c r="G166" s="1">
        <v>7967.8008509021001</v>
      </c>
      <c r="H166" s="1">
        <f t="shared" si="49"/>
        <v>3.9013384706923553</v>
      </c>
      <c r="I166" s="1">
        <v>9565.7548852971304</v>
      </c>
      <c r="J166" s="1">
        <f t="shared" si="50"/>
        <v>0.20563124189108761</v>
      </c>
      <c r="K166" s="1">
        <f t="shared" si="51"/>
        <v>3.9807192482350096</v>
      </c>
      <c r="L166" s="1">
        <v>4841.4851725557701</v>
      </c>
      <c r="M166" s="1">
        <f t="shared" si="52"/>
        <v>3.6849786061289533</v>
      </c>
      <c r="N166" s="1">
        <v>6929.7425123782004</v>
      </c>
      <c r="O166" s="1">
        <f t="shared" si="53"/>
        <v>3.8407170978829721</v>
      </c>
      <c r="P166" s="1">
        <v>-2088.2573398224299</v>
      </c>
      <c r="Q166" s="1" t="e">
        <f ca="1"/>
        <v>#NAME?</v>
      </c>
      <c r="R166" s="1" t="e">
        <f t="shared" ca="1" si="38"/>
        <v>#NAME?</v>
      </c>
      <c r="S166" s="4">
        <v>2847701000000</v>
      </c>
      <c r="T166" s="1">
        <v>132745.33333333299</v>
      </c>
      <c r="U166" s="1" t="e">
        <f ca="1"/>
        <v>#NAME?</v>
      </c>
      <c r="V166" s="1" t="e">
        <f t="shared" ca="1" si="39"/>
        <v>#NAME?</v>
      </c>
      <c r="W166" s="1" t="e">
        <f ca="1"/>
        <v>#NAME?</v>
      </c>
      <c r="X166" s="1" t="e">
        <f t="shared" ca="1" si="40"/>
        <v>#NAME?</v>
      </c>
      <c r="Y166" s="1" t="e">
        <f ca="1"/>
        <v>#NAME?</v>
      </c>
      <c r="Z166" s="1" t="e">
        <f t="shared" ca="1" si="41"/>
        <v>#NAME?</v>
      </c>
      <c r="AA166" s="1" t="e">
        <f ca="1"/>
        <v>#NAME?</v>
      </c>
      <c r="AB166" s="1" t="e">
        <f t="shared" ca="1" si="42"/>
        <v>#NAME?</v>
      </c>
      <c r="AC166" s="1" t="e">
        <f ca="1"/>
        <v>#NAME?</v>
      </c>
      <c r="AD166" s="1" t="e">
        <f t="shared" ca="1" si="43"/>
        <v>#NAME?</v>
      </c>
      <c r="AE166" s="1" t="e">
        <f ca="1"/>
        <v>#NAME?</v>
      </c>
      <c r="AF166" s="1" t="e">
        <f t="shared" ca="1" si="44"/>
        <v>#NAME?</v>
      </c>
      <c r="AG166" s="1" t="e">
        <f ca="1"/>
        <v>#NAME?</v>
      </c>
      <c r="AH166" s="1" t="e">
        <f t="shared" ca="1" si="45"/>
        <v>#NAME?</v>
      </c>
      <c r="AI166" s="1" t="e">
        <f ca="1"/>
        <v>#NAME?</v>
      </c>
      <c r="AJ166" s="1" t="e">
        <f t="shared" ca="1" si="54"/>
        <v>#NAME?</v>
      </c>
      <c r="AK166" s="1" t="e">
        <f ca="1"/>
        <v>#NAME?</v>
      </c>
      <c r="AL166" s="1" t="e">
        <f t="shared" ca="1" si="46"/>
        <v>#NAME?</v>
      </c>
      <c r="AN166" s="1">
        <f t="shared" si="36"/>
        <v>3.985279842311142</v>
      </c>
      <c r="AO166" s="1" t="e">
        <f ca="1"/>
        <v>#NAME?</v>
      </c>
      <c r="AP166" s="1" t="e">
        <f t="shared" ca="1" si="37"/>
        <v>#NAME?</v>
      </c>
    </row>
    <row r="167" spans="1:42" x14ac:dyDescent="0.25">
      <c r="A167" s="1" t="s">
        <v>182</v>
      </c>
      <c r="B167" s="1">
        <v>166</v>
      </c>
      <c r="C167" s="1">
        <v>46698.102079076503</v>
      </c>
      <c r="D167" s="1">
        <f t="shared" si="47"/>
        <v>4.6692992301735252</v>
      </c>
      <c r="E167" s="1">
        <v>31013.158356679902</v>
      </c>
      <c r="F167" s="1">
        <f t="shared" si="48"/>
        <v>4.4915459967123779</v>
      </c>
      <c r="G167" s="1">
        <v>7960.4301392370398</v>
      </c>
      <c r="H167" s="1">
        <f t="shared" si="49"/>
        <v>3.900936535331887</v>
      </c>
      <c r="I167" s="1">
        <v>9708.7291723716608</v>
      </c>
      <c r="J167" s="1">
        <f t="shared" si="50"/>
        <v>0.20790414899370702</v>
      </c>
      <c r="K167" s="1">
        <f t="shared" si="51"/>
        <v>3.9871623864943779</v>
      </c>
      <c r="L167" s="1">
        <v>4688.3948068726804</v>
      </c>
      <c r="M167" s="1">
        <f t="shared" si="52"/>
        <v>3.6710241762239093</v>
      </c>
      <c r="N167" s="1">
        <v>6692.1864357985896</v>
      </c>
      <c r="O167" s="1">
        <f t="shared" si="53"/>
        <v>3.8255680313505351</v>
      </c>
      <c r="P167" s="1">
        <v>-2003.7916289259199</v>
      </c>
      <c r="Q167" s="1" t="e">
        <f ca="1"/>
        <v>#NAME?</v>
      </c>
      <c r="R167" s="1" t="e">
        <f t="shared" ca="1" si="38"/>
        <v>#NAME?</v>
      </c>
      <c r="S167" s="4">
        <v>2840427000000</v>
      </c>
      <c r="T167" s="1">
        <v>132388</v>
      </c>
      <c r="U167" s="1" t="e">
        <f ca="1"/>
        <v>#NAME?</v>
      </c>
      <c r="V167" s="1" t="e">
        <f t="shared" ca="1" si="39"/>
        <v>#NAME?</v>
      </c>
      <c r="W167" s="1" t="e">
        <f ca="1"/>
        <v>#NAME?</v>
      </c>
      <c r="X167" s="1" t="e">
        <f t="shared" ca="1" si="40"/>
        <v>#NAME?</v>
      </c>
      <c r="Y167" s="1" t="e">
        <f ca="1"/>
        <v>#NAME?</v>
      </c>
      <c r="Z167" s="1" t="e">
        <f t="shared" ca="1" si="41"/>
        <v>#NAME?</v>
      </c>
      <c r="AA167" s="1" t="e">
        <f ca="1"/>
        <v>#NAME?</v>
      </c>
      <c r="AB167" s="1" t="e">
        <f t="shared" ca="1" si="42"/>
        <v>#NAME?</v>
      </c>
      <c r="AC167" s="1" t="e">
        <f ca="1"/>
        <v>#NAME?</v>
      </c>
      <c r="AD167" s="1" t="e">
        <f t="shared" ca="1" si="43"/>
        <v>#NAME?</v>
      </c>
      <c r="AE167" s="1" t="e">
        <f ca="1"/>
        <v>#NAME?</v>
      </c>
      <c r="AF167" s="1" t="e">
        <f t="shared" ca="1" si="44"/>
        <v>#NAME?</v>
      </c>
      <c r="AG167" s="1" t="e">
        <f ca="1"/>
        <v>#NAME?</v>
      </c>
      <c r="AH167" s="1" t="e">
        <f t="shared" ca="1" si="45"/>
        <v>#NAME?</v>
      </c>
      <c r="AI167" s="1" t="e">
        <f ca="1"/>
        <v>#NAME?</v>
      </c>
      <c r="AJ167" s="1" t="e">
        <f t="shared" ca="1" si="54"/>
        <v>#NAME?</v>
      </c>
      <c r="AK167" s="1" t="e">
        <f ca="1"/>
        <v>#NAME?</v>
      </c>
      <c r="AL167" s="1" t="e">
        <f t="shared" ca="1" si="46"/>
        <v>#NAME?</v>
      </c>
      <c r="AN167" s="1">
        <f t="shared" si="36"/>
        <v>3.9880980049495562</v>
      </c>
      <c r="AO167" s="1" t="e">
        <f ca="1"/>
        <v>#NAME?</v>
      </c>
      <c r="AP167" s="1" t="e">
        <f t="shared" ca="1" si="37"/>
        <v>#NAME?</v>
      </c>
    </row>
    <row r="168" spans="1:42" x14ac:dyDescent="0.25">
      <c r="A168" s="1" t="s">
        <v>183</v>
      </c>
      <c r="B168" s="1">
        <v>167</v>
      </c>
      <c r="C168" s="1">
        <v>46389.650680710402</v>
      </c>
      <c r="D168" s="1">
        <f t="shared" si="47"/>
        <v>4.6664211022447546</v>
      </c>
      <c r="E168" s="1">
        <v>31039.781640427998</v>
      </c>
      <c r="F168" s="1">
        <f t="shared" si="48"/>
        <v>4.4919186574092578</v>
      </c>
      <c r="G168" s="1">
        <v>7767.83713373298</v>
      </c>
      <c r="H168" s="1">
        <f t="shared" si="49"/>
        <v>3.8903001112533779</v>
      </c>
      <c r="I168" s="1">
        <v>9673.7947504061904</v>
      </c>
      <c r="J168" s="1">
        <f t="shared" si="50"/>
        <v>0.20853346831578357</v>
      </c>
      <c r="K168" s="1">
        <f t="shared" si="51"/>
        <v>3.9855968686931611</v>
      </c>
      <c r="L168" s="1">
        <v>4436.5195529161301</v>
      </c>
      <c r="M168" s="1">
        <f t="shared" si="52"/>
        <v>3.6470423999099286</v>
      </c>
      <c r="N168" s="1">
        <v>6523.2996246288303</v>
      </c>
      <c r="O168" s="1">
        <f t="shared" si="53"/>
        <v>3.8144673267571152</v>
      </c>
      <c r="P168" s="1">
        <v>-2086.7800717127002</v>
      </c>
      <c r="Q168" s="1" t="e">
        <f ca="1"/>
        <v>#NAME?</v>
      </c>
      <c r="R168" s="1" t="e">
        <f t="shared" ca="1" si="38"/>
        <v>#NAME?</v>
      </c>
      <c r="S168" s="4">
        <v>2804819000000</v>
      </c>
      <c r="T168" s="1">
        <v>131986.66666666701</v>
      </c>
      <c r="U168" s="1" t="e">
        <f ca="1"/>
        <v>#NAME?</v>
      </c>
      <c r="V168" s="1" t="e">
        <f t="shared" ca="1" si="39"/>
        <v>#NAME?</v>
      </c>
      <c r="W168" s="1" t="e">
        <f ca="1"/>
        <v>#NAME?</v>
      </c>
      <c r="X168" s="1" t="e">
        <f t="shared" ca="1" si="40"/>
        <v>#NAME?</v>
      </c>
      <c r="Y168" s="1" t="e">
        <f ca="1"/>
        <v>#NAME?</v>
      </c>
      <c r="Z168" s="1" t="e">
        <f t="shared" ca="1" si="41"/>
        <v>#NAME?</v>
      </c>
      <c r="AA168" s="1" t="e">
        <f ca="1"/>
        <v>#NAME?</v>
      </c>
      <c r="AB168" s="1" t="e">
        <f t="shared" ca="1" si="42"/>
        <v>#NAME?</v>
      </c>
      <c r="AC168" s="1" t="e">
        <f ca="1"/>
        <v>#NAME?</v>
      </c>
      <c r="AD168" s="1" t="e">
        <f t="shared" ca="1" si="43"/>
        <v>#NAME?</v>
      </c>
      <c r="AE168" s="1" t="e">
        <f ca="1"/>
        <v>#NAME?</v>
      </c>
      <c r="AF168" s="1" t="e">
        <f t="shared" ca="1" si="44"/>
        <v>#NAME?</v>
      </c>
      <c r="AG168" s="1" t="e">
        <f ca="1"/>
        <v>#NAME?</v>
      </c>
      <c r="AH168" s="1" t="e">
        <f t="shared" ca="1" si="45"/>
        <v>#NAME?</v>
      </c>
      <c r="AI168" s="1" t="e">
        <f ca="1"/>
        <v>#NAME?</v>
      </c>
      <c r="AJ168" s="1" t="e">
        <f t="shared" ca="1" si="54"/>
        <v>#NAME?</v>
      </c>
      <c r="AK168" s="1" t="e">
        <f ca="1"/>
        <v>#NAME?</v>
      </c>
      <c r="AL168" s="1" t="e">
        <f t="shared" ca="1" si="46"/>
        <v>#NAME?</v>
      </c>
      <c r="AN168" s="1">
        <f t="shared" si="36"/>
        <v>3.988036120643855</v>
      </c>
      <c r="AO168" s="1" t="e">
        <f ca="1"/>
        <v>#NAME?</v>
      </c>
      <c r="AP168" s="1" t="e">
        <f t="shared" ca="1" si="37"/>
        <v>#NAME?</v>
      </c>
    </row>
    <row r="169" spans="1:42" x14ac:dyDescent="0.25">
      <c r="A169" s="1" t="s">
        <v>184</v>
      </c>
      <c r="B169" s="1">
        <v>168</v>
      </c>
      <c r="C169" s="1">
        <v>46400.176730897503</v>
      </c>
      <c r="D169" s="1">
        <f t="shared" si="47"/>
        <v>4.6665196347166784</v>
      </c>
      <c r="E169" s="1">
        <v>31460.523696260399</v>
      </c>
      <c r="F169" s="1">
        <f t="shared" si="48"/>
        <v>4.4977659476738889</v>
      </c>
      <c r="G169" s="1">
        <v>7364.3695142694496</v>
      </c>
      <c r="H169" s="1">
        <f t="shared" si="49"/>
        <v>3.8671355715188418</v>
      </c>
      <c r="I169" s="1">
        <v>9809.2563680752792</v>
      </c>
      <c r="J169" s="1">
        <f t="shared" si="50"/>
        <v>0.21140558202967738</v>
      </c>
      <c r="K169" s="1">
        <f t="shared" si="51"/>
        <v>3.9916360851085262</v>
      </c>
      <c r="L169" s="1">
        <v>4271.2539860501402</v>
      </c>
      <c r="M169" s="1">
        <f t="shared" si="52"/>
        <v>3.6305553971024054</v>
      </c>
      <c r="N169" s="1">
        <v>6439.3474229072599</v>
      </c>
      <c r="O169" s="1">
        <f t="shared" si="53"/>
        <v>3.8088418572681002</v>
      </c>
      <c r="P169" s="1">
        <v>-2168.0934368571202</v>
      </c>
      <c r="Q169" s="1" t="e">
        <f ca="1"/>
        <v>#NAME?</v>
      </c>
      <c r="R169" s="1" t="e">
        <f t="shared" ca="1" si="38"/>
        <v>#NAME?</v>
      </c>
      <c r="S169" s="4">
        <v>2775367000000</v>
      </c>
      <c r="T169" s="1">
        <v>131193</v>
      </c>
      <c r="U169" s="1" t="e">
        <f ca="1"/>
        <v>#NAME?</v>
      </c>
      <c r="V169" s="1" t="e">
        <f t="shared" ca="1" si="39"/>
        <v>#NAME?</v>
      </c>
      <c r="W169" s="1" t="e">
        <f ca="1"/>
        <v>#NAME?</v>
      </c>
      <c r="X169" s="1" t="e">
        <f t="shared" ca="1" si="40"/>
        <v>#NAME?</v>
      </c>
      <c r="Y169" s="1" t="e">
        <f ca="1"/>
        <v>#NAME?</v>
      </c>
      <c r="Z169" s="1" t="e">
        <f t="shared" ca="1" si="41"/>
        <v>#NAME?</v>
      </c>
      <c r="AA169" s="1" t="e">
        <f ca="1"/>
        <v>#NAME?</v>
      </c>
      <c r="AB169" s="1" t="e">
        <f t="shared" ca="1" si="42"/>
        <v>#NAME?</v>
      </c>
      <c r="AC169" s="1" t="e">
        <f ca="1"/>
        <v>#NAME?</v>
      </c>
      <c r="AD169" s="1" t="e">
        <f t="shared" ca="1" si="43"/>
        <v>#NAME?</v>
      </c>
      <c r="AE169" s="1" t="e">
        <f ca="1"/>
        <v>#NAME?</v>
      </c>
      <c r="AF169" s="1" t="e">
        <f t="shared" ca="1" si="44"/>
        <v>#NAME?</v>
      </c>
      <c r="AG169" s="1" t="e">
        <f ca="1"/>
        <v>#NAME?</v>
      </c>
      <c r="AH169" s="1" t="e">
        <f t="shared" ca="1" si="45"/>
        <v>#NAME?</v>
      </c>
      <c r="AI169" s="1" t="e">
        <f ca="1"/>
        <v>#NAME?</v>
      </c>
      <c r="AJ169" s="1" t="e">
        <f t="shared" ca="1" si="54"/>
        <v>#NAME?</v>
      </c>
      <c r="AK169" s="1" t="e">
        <f ca="1"/>
        <v>#NAME?</v>
      </c>
      <c r="AL169" s="1" t="e">
        <f t="shared" ca="1" si="46"/>
        <v>#NAME?</v>
      </c>
      <c r="AN169" s="1">
        <f t="shared" si="36"/>
        <v>3.9914614590242357</v>
      </c>
      <c r="AO169" s="1" t="e">
        <f ca="1"/>
        <v>#NAME?</v>
      </c>
      <c r="AP169" s="1" t="e">
        <f t="shared" ca="1" si="37"/>
        <v>#NAME?</v>
      </c>
    </row>
    <row r="170" spans="1:42" x14ac:dyDescent="0.25">
      <c r="A170" s="1" t="s">
        <v>185</v>
      </c>
      <c r="B170" s="1">
        <v>169</v>
      </c>
      <c r="C170" s="1">
        <v>46682.733023158602</v>
      </c>
      <c r="D170" s="1">
        <f t="shared" si="47"/>
        <v>4.6691562737257666</v>
      </c>
      <c r="E170" s="1">
        <v>31461.996619443398</v>
      </c>
      <c r="F170" s="1">
        <f t="shared" si="48"/>
        <v>4.497786280057511</v>
      </c>
      <c r="G170" s="1">
        <v>7565.1523864289802</v>
      </c>
      <c r="H170" s="1">
        <f t="shared" si="49"/>
        <v>3.8788176805308741</v>
      </c>
      <c r="I170" s="1">
        <v>9958.12989004478</v>
      </c>
      <c r="J170" s="1">
        <f t="shared" si="50"/>
        <v>0.21331505773461681</v>
      </c>
      <c r="K170" s="1">
        <f t="shared" si="51"/>
        <v>3.9981777867478159</v>
      </c>
      <c r="L170" s="1">
        <v>4355.0629933608698</v>
      </c>
      <c r="M170" s="1">
        <f t="shared" si="52"/>
        <v>3.6389944411969921</v>
      </c>
      <c r="N170" s="1">
        <v>6607.9077142906899</v>
      </c>
      <c r="O170" s="1">
        <f t="shared" si="53"/>
        <v>3.8200639690196225</v>
      </c>
      <c r="P170" s="1">
        <v>-2252.8447209298301</v>
      </c>
      <c r="Q170" s="1" t="e">
        <f ca="1"/>
        <v>#NAME?</v>
      </c>
      <c r="R170" s="1" t="e">
        <f t="shared" ca="1" si="38"/>
        <v>#NAME?</v>
      </c>
      <c r="S170" s="4">
        <v>2766594000000</v>
      </c>
      <c r="T170" s="1">
        <v>130768.33333333299</v>
      </c>
      <c r="U170" s="1" t="e">
        <f ca="1"/>
        <v>#NAME?</v>
      </c>
      <c r="V170" s="1" t="e">
        <f t="shared" ca="1" si="39"/>
        <v>#NAME?</v>
      </c>
      <c r="W170" s="1" t="e">
        <f ca="1"/>
        <v>#NAME?</v>
      </c>
      <c r="X170" s="1" t="e">
        <f t="shared" ca="1" si="40"/>
        <v>#NAME?</v>
      </c>
      <c r="Y170" s="1" t="e">
        <f ca="1"/>
        <v>#NAME?</v>
      </c>
      <c r="Z170" s="1" t="e">
        <f t="shared" ca="1" si="41"/>
        <v>#NAME?</v>
      </c>
      <c r="AA170" s="1" t="e">
        <f ca="1"/>
        <v>#NAME?</v>
      </c>
      <c r="AB170" s="1" t="e">
        <f t="shared" ca="1" si="42"/>
        <v>#NAME?</v>
      </c>
      <c r="AC170" s="1" t="e">
        <f ca="1"/>
        <v>#NAME?</v>
      </c>
      <c r="AD170" s="1" t="e">
        <f t="shared" ca="1" si="43"/>
        <v>#NAME?</v>
      </c>
      <c r="AE170" s="1" t="e">
        <f ca="1"/>
        <v>#NAME?</v>
      </c>
      <c r="AF170" s="1" t="e">
        <f t="shared" ca="1" si="44"/>
        <v>#NAME?</v>
      </c>
      <c r="AG170" s="1" t="e">
        <f ca="1"/>
        <v>#NAME?</v>
      </c>
      <c r="AH170" s="1" t="e">
        <f t="shared" ca="1" si="45"/>
        <v>#NAME?</v>
      </c>
      <c r="AI170" s="1" t="e">
        <f ca="1"/>
        <v>#NAME?</v>
      </c>
      <c r="AJ170" s="1" t="e">
        <f t="shared" ca="1" si="54"/>
        <v>#NAME?</v>
      </c>
      <c r="AK170" s="1" t="e">
        <f ca="1"/>
        <v>#NAME?</v>
      </c>
      <c r="AL170" s="1" t="e">
        <f t="shared" ca="1" si="46"/>
        <v>#NAME?</v>
      </c>
      <c r="AN170" s="1">
        <f t="shared" si="36"/>
        <v>3.9954942619511655</v>
      </c>
      <c r="AO170" s="1" t="e">
        <f ca="1"/>
        <v>#NAME?</v>
      </c>
      <c r="AP170" s="1" t="e">
        <f t="shared" ca="1" si="37"/>
        <v>#NAME?</v>
      </c>
    </row>
    <row r="171" spans="1:42" x14ac:dyDescent="0.25">
      <c r="A171" s="1" t="s">
        <v>186</v>
      </c>
      <c r="B171" s="1">
        <v>170</v>
      </c>
      <c r="C171" s="1">
        <v>46865.697177074398</v>
      </c>
      <c r="D171" s="1">
        <f t="shared" si="47"/>
        <v>4.670855082002511</v>
      </c>
      <c r="E171" s="1">
        <v>31550.877339397899</v>
      </c>
      <c r="F171" s="1">
        <f t="shared" si="48"/>
        <v>4.4990114402318691</v>
      </c>
      <c r="G171" s="1">
        <v>7672.3730239868701</v>
      </c>
      <c r="H171" s="1">
        <f t="shared" si="49"/>
        <v>3.8849297096893078</v>
      </c>
      <c r="I171" s="1">
        <v>10012.3168297551</v>
      </c>
      <c r="J171" s="1">
        <f t="shared" si="50"/>
        <v>0.21363849111057054</v>
      </c>
      <c r="K171" s="1">
        <f t="shared" si="51"/>
        <v>4.0005345839682729</v>
      </c>
      <c r="L171" s="1">
        <v>4474.7334599094502</v>
      </c>
      <c r="M171" s="1">
        <f t="shared" si="52"/>
        <v>3.6507671714199694</v>
      </c>
      <c r="N171" s="1">
        <v>6814.1695702671304</v>
      </c>
      <c r="O171" s="1">
        <f t="shared" si="53"/>
        <v>3.8334129367626768</v>
      </c>
      <c r="P171" s="1">
        <v>-2339.4361103576798</v>
      </c>
      <c r="Q171" s="1" t="e">
        <f ca="1"/>
        <v>#NAME?</v>
      </c>
      <c r="R171" s="1" t="e">
        <f t="shared" ca="1" si="38"/>
        <v>#NAME?</v>
      </c>
      <c r="S171" s="4">
        <v>2767098000000</v>
      </c>
      <c r="T171" s="1">
        <v>130644.33333333299</v>
      </c>
      <c r="U171" s="1" t="e">
        <f ca="1"/>
        <v>#NAME?</v>
      </c>
      <c r="V171" s="1" t="e">
        <f t="shared" ca="1" si="39"/>
        <v>#NAME?</v>
      </c>
      <c r="W171" s="1" t="e">
        <f ca="1"/>
        <v>#NAME?</v>
      </c>
      <c r="X171" s="1" t="e">
        <f t="shared" ca="1" si="40"/>
        <v>#NAME?</v>
      </c>
      <c r="Y171" s="1" t="e">
        <f ca="1"/>
        <v>#NAME?</v>
      </c>
      <c r="Z171" s="1" t="e">
        <f t="shared" ca="1" si="41"/>
        <v>#NAME?</v>
      </c>
      <c r="AA171" s="1" t="e">
        <f ca="1"/>
        <v>#NAME?</v>
      </c>
      <c r="AB171" s="1" t="e">
        <f t="shared" ca="1" si="42"/>
        <v>#NAME?</v>
      </c>
      <c r="AC171" s="1" t="e">
        <f ca="1"/>
        <v>#NAME?</v>
      </c>
      <c r="AD171" s="1" t="e">
        <f t="shared" ca="1" si="43"/>
        <v>#NAME?</v>
      </c>
      <c r="AE171" s="1" t="e">
        <f ca="1"/>
        <v>#NAME?</v>
      </c>
      <c r="AF171" s="1" t="e">
        <f t="shared" ca="1" si="44"/>
        <v>#NAME?</v>
      </c>
      <c r="AG171" s="1" t="e">
        <f ca="1"/>
        <v>#NAME?</v>
      </c>
      <c r="AH171" s="1" t="e">
        <f t="shared" ca="1" si="45"/>
        <v>#NAME?</v>
      </c>
      <c r="AI171" s="1" t="e">
        <f ca="1"/>
        <v>#NAME?</v>
      </c>
      <c r="AJ171" s="1" t="e">
        <f t="shared" ca="1" si="54"/>
        <v>#NAME?</v>
      </c>
      <c r="AK171" s="1" t="e">
        <f ca="1"/>
        <v>#NAME?</v>
      </c>
      <c r="AL171" s="1" t="e">
        <f t="shared" ca="1" si="46"/>
        <v>#NAME?</v>
      </c>
      <c r="AN171" s="1">
        <f t="shared" si="36"/>
        <v>3.9974282781237154</v>
      </c>
      <c r="AO171" s="1" t="e">
        <f ca="1"/>
        <v>#NAME?</v>
      </c>
      <c r="AP171" s="1" t="e">
        <f t="shared" ca="1" si="37"/>
        <v>#NAME?</v>
      </c>
    </row>
    <row r="172" spans="1:42" x14ac:dyDescent="0.25">
      <c r="A172" s="1" t="s">
        <v>187</v>
      </c>
      <c r="B172" s="1">
        <v>171</v>
      </c>
      <c r="C172" s="1">
        <v>46935.8313996039</v>
      </c>
      <c r="D172" s="1">
        <f t="shared" si="47"/>
        <v>4.6715045151615477</v>
      </c>
      <c r="E172" s="1">
        <v>31691.342094948701</v>
      </c>
      <c r="F172" s="1">
        <f t="shared" si="48"/>
        <v>4.5009406314935001</v>
      </c>
      <c r="G172" s="1">
        <v>7641.6443810851797</v>
      </c>
      <c r="H172" s="1">
        <f t="shared" si="49"/>
        <v>3.8831868230768114</v>
      </c>
      <c r="I172" s="1">
        <v>10038.674588887399</v>
      </c>
      <c r="J172" s="1">
        <f t="shared" si="50"/>
        <v>0.21388083026419166</v>
      </c>
      <c r="K172" s="1">
        <f t="shared" si="51"/>
        <v>4.0016763764812717</v>
      </c>
      <c r="L172" s="1">
        <v>4477.4698841149802</v>
      </c>
      <c r="M172" s="1">
        <f t="shared" si="52"/>
        <v>3.6510326734252194</v>
      </c>
      <c r="N172" s="1">
        <v>6883.3553587718498</v>
      </c>
      <c r="O172" s="1">
        <f t="shared" si="53"/>
        <v>3.8378001909353876</v>
      </c>
      <c r="P172" s="1">
        <v>-2405.88547465687</v>
      </c>
      <c r="Q172" s="1" t="e">
        <f ca="1"/>
        <v>#NAME?</v>
      </c>
      <c r="R172" s="1" t="e">
        <f t="shared" ca="1" si="38"/>
        <v>#NAME?</v>
      </c>
      <c r="S172" s="4">
        <v>2772502000000</v>
      </c>
      <c r="T172" s="1">
        <v>130556</v>
      </c>
      <c r="U172" s="1" t="e">
        <f ca="1"/>
        <v>#NAME?</v>
      </c>
      <c r="V172" s="1" t="e">
        <f t="shared" ca="1" si="39"/>
        <v>#NAME?</v>
      </c>
      <c r="W172" s="1" t="e">
        <f ca="1"/>
        <v>#NAME?</v>
      </c>
      <c r="X172" s="1" t="e">
        <f t="shared" ca="1" si="40"/>
        <v>#NAME?</v>
      </c>
      <c r="Y172" s="1" t="e">
        <f ca="1"/>
        <v>#NAME?</v>
      </c>
      <c r="Z172" s="1" t="e">
        <f t="shared" ca="1" si="41"/>
        <v>#NAME?</v>
      </c>
      <c r="AA172" s="1" t="e">
        <f ca="1"/>
        <v>#NAME?</v>
      </c>
      <c r="AB172" s="1" t="e">
        <f t="shared" ca="1" si="42"/>
        <v>#NAME?</v>
      </c>
      <c r="AC172" s="1" t="e">
        <f ca="1"/>
        <v>#NAME?</v>
      </c>
      <c r="AD172" s="1" t="e">
        <f t="shared" ca="1" si="43"/>
        <v>#NAME?</v>
      </c>
      <c r="AE172" s="1" t="e">
        <f ca="1"/>
        <v>#NAME?</v>
      </c>
      <c r="AF172" s="1" t="e">
        <f t="shared" ca="1" si="44"/>
        <v>#NAME?</v>
      </c>
      <c r="AG172" s="1" t="e">
        <f ca="1"/>
        <v>#NAME?</v>
      </c>
      <c r="AH172" s="1" t="e">
        <f t="shared" ca="1" si="45"/>
        <v>#NAME?</v>
      </c>
      <c r="AI172" s="1" t="e">
        <f ca="1"/>
        <v>#NAME?</v>
      </c>
      <c r="AJ172" s="1" t="e">
        <f t="shared" ca="1" si="54"/>
        <v>#NAME?</v>
      </c>
      <c r="AK172" s="1" t="e">
        <f ca="1"/>
        <v>#NAME?</v>
      </c>
      <c r="AL172" s="1" t="e">
        <f t="shared" ca="1" si="46"/>
        <v>#NAME?</v>
      </c>
      <c r="AN172" s="1">
        <f t="shared" si="36"/>
        <v>3.997960667848802</v>
      </c>
      <c r="AO172" s="1" t="e">
        <f ca="1"/>
        <v>#NAME?</v>
      </c>
      <c r="AP172" s="1" t="e">
        <f t="shared" ca="1" si="37"/>
        <v>#NAME?</v>
      </c>
    </row>
    <row r="173" spans="1:42" x14ac:dyDescent="0.25">
      <c r="A173" s="1" t="s">
        <v>188</v>
      </c>
      <c r="B173" s="1">
        <v>172</v>
      </c>
      <c r="C173" s="1">
        <v>46882.674122080098</v>
      </c>
      <c r="D173" s="1">
        <f t="shared" si="47"/>
        <v>4.6710123752656152</v>
      </c>
      <c r="E173" s="1">
        <v>31789.980865515401</v>
      </c>
      <c r="F173" s="1">
        <f t="shared" si="48"/>
        <v>4.5022902665117037</v>
      </c>
      <c r="G173" s="1">
        <v>7618.3241236371396</v>
      </c>
      <c r="H173" s="1">
        <f t="shared" si="49"/>
        <v>3.8818594458928688</v>
      </c>
      <c r="I173" s="1">
        <v>10088.4061631725</v>
      </c>
      <c r="J173" s="1">
        <f t="shared" si="50"/>
        <v>0.21518410270077179</v>
      </c>
      <c r="K173" s="1">
        <f t="shared" si="51"/>
        <v>4.0038225587824785</v>
      </c>
      <c r="L173" s="1">
        <v>4400.5716124522896</v>
      </c>
      <c r="M173" s="1">
        <f t="shared" si="52"/>
        <v>3.6435090928521006</v>
      </c>
      <c r="N173" s="1">
        <v>6989.8791378755504</v>
      </c>
      <c r="O173" s="1">
        <f t="shared" si="53"/>
        <v>3.8444696664169951</v>
      </c>
      <c r="P173" s="1">
        <v>-2589.3075254232599</v>
      </c>
      <c r="Q173" s="1" t="e">
        <f ca="1"/>
        <v>#NAME?</v>
      </c>
      <c r="R173" s="1" t="e">
        <f t="shared" ca="1" si="38"/>
        <v>#NAME?</v>
      </c>
      <c r="S173" s="4">
        <v>2771043000000</v>
      </c>
      <c r="T173" s="1">
        <v>130569.66666666701</v>
      </c>
      <c r="U173" s="1" t="e">
        <f ca="1"/>
        <v>#NAME?</v>
      </c>
      <c r="V173" s="1" t="e">
        <f t="shared" ca="1" si="39"/>
        <v>#NAME?</v>
      </c>
      <c r="W173" s="1" t="e">
        <f ca="1"/>
        <v>#NAME?</v>
      </c>
      <c r="X173" s="1" t="e">
        <f t="shared" ca="1" si="40"/>
        <v>#NAME?</v>
      </c>
      <c r="Y173" s="1" t="e">
        <f ca="1"/>
        <v>#NAME?</v>
      </c>
      <c r="Z173" s="1" t="e">
        <f t="shared" ca="1" si="41"/>
        <v>#NAME?</v>
      </c>
      <c r="AA173" s="1" t="e">
        <f ca="1"/>
        <v>#NAME?</v>
      </c>
      <c r="AB173" s="1" t="e">
        <f t="shared" ca="1" si="42"/>
        <v>#NAME?</v>
      </c>
      <c r="AC173" s="1" t="e">
        <f ca="1"/>
        <v>#NAME?</v>
      </c>
      <c r="AD173" s="1" t="e">
        <f t="shared" ca="1" si="43"/>
        <v>#NAME?</v>
      </c>
      <c r="AE173" s="1" t="e">
        <f ca="1"/>
        <v>#NAME?</v>
      </c>
      <c r="AF173" s="1" t="e">
        <f t="shared" ca="1" si="44"/>
        <v>#NAME?</v>
      </c>
      <c r="AG173" s="1" t="e">
        <f ca="1"/>
        <v>#NAME?</v>
      </c>
      <c r="AH173" s="1" t="e">
        <f t="shared" ca="1" si="45"/>
        <v>#NAME?</v>
      </c>
      <c r="AI173" s="1" t="e">
        <f ca="1"/>
        <v>#NAME?</v>
      </c>
      <c r="AJ173" s="1" t="e">
        <f t="shared" ca="1" si="54"/>
        <v>#NAME?</v>
      </c>
      <c r="AK173" s="1" t="e">
        <f ca="1"/>
        <v>#NAME?</v>
      </c>
      <c r="AL173" s="1" t="e">
        <f t="shared" ca="1" si="46"/>
        <v>#NAME?</v>
      </c>
      <c r="AN173" s="1">
        <f t="shared" si="36"/>
        <v>3.9975217307925863</v>
      </c>
      <c r="AO173" s="1" t="e">
        <f ca="1"/>
        <v>#NAME?</v>
      </c>
      <c r="AP173" s="1" t="e">
        <f t="shared" ca="1" si="37"/>
        <v>#NAME?</v>
      </c>
    </row>
    <row r="174" spans="1:42" x14ac:dyDescent="0.25">
      <c r="A174" s="1" t="s">
        <v>189</v>
      </c>
      <c r="B174" s="1">
        <v>173</v>
      </c>
      <c r="C174" s="1">
        <v>47026.970846900498</v>
      </c>
      <c r="D174" s="1">
        <f t="shared" si="47"/>
        <v>4.6723470053919609</v>
      </c>
      <c r="E174" s="1">
        <v>31880.1625640087</v>
      </c>
      <c r="F174" s="1">
        <f t="shared" si="48"/>
        <v>4.5035205272934578</v>
      </c>
      <c r="G174" s="1">
        <v>7660.9670279583897</v>
      </c>
      <c r="H174" s="1">
        <f t="shared" si="49"/>
        <v>3.8842835931833584</v>
      </c>
      <c r="I174" s="1">
        <v>10075.1944863592</v>
      </c>
      <c r="J174" s="1">
        <f t="shared" si="50"/>
        <v>0.21424289731864041</v>
      </c>
      <c r="K174" s="1">
        <f t="shared" si="51"/>
        <v>4.0032534382908018</v>
      </c>
      <c r="L174" s="1">
        <v>4377.9233380178102</v>
      </c>
      <c r="M174" s="1">
        <f t="shared" si="52"/>
        <v>3.6412681523512962</v>
      </c>
      <c r="N174" s="1">
        <v>6944.9878974755602</v>
      </c>
      <c r="O174" s="1">
        <f t="shared" si="53"/>
        <v>3.8416714932609404</v>
      </c>
      <c r="P174" s="1">
        <v>-2567.06455945775</v>
      </c>
      <c r="Q174" s="1" t="e">
        <f ca="1"/>
        <v>#NAME?</v>
      </c>
      <c r="R174" s="1" t="e">
        <f t="shared" ca="1" si="38"/>
        <v>#NAME?</v>
      </c>
      <c r="S174" s="4">
        <v>2791343000000</v>
      </c>
      <c r="T174" s="1">
        <v>130418.33333333299</v>
      </c>
      <c r="U174" s="1" t="e">
        <f ca="1"/>
        <v>#NAME?</v>
      </c>
      <c r="V174" s="1" t="e">
        <f t="shared" ca="1" si="39"/>
        <v>#NAME?</v>
      </c>
      <c r="W174" s="1" t="e">
        <f ca="1"/>
        <v>#NAME?</v>
      </c>
      <c r="X174" s="1" t="e">
        <f t="shared" ca="1" si="40"/>
        <v>#NAME?</v>
      </c>
      <c r="Y174" s="1" t="e">
        <f ca="1"/>
        <v>#NAME?</v>
      </c>
      <c r="Z174" s="1" t="e">
        <f t="shared" ca="1" si="41"/>
        <v>#NAME?</v>
      </c>
      <c r="AA174" s="1" t="e">
        <f ca="1"/>
        <v>#NAME?</v>
      </c>
      <c r="AB174" s="1" t="e">
        <f t="shared" ca="1" si="42"/>
        <v>#NAME?</v>
      </c>
      <c r="AC174" s="1" t="e">
        <f ca="1"/>
        <v>#NAME?</v>
      </c>
      <c r="AD174" s="1" t="e">
        <f t="shared" ca="1" si="43"/>
        <v>#NAME?</v>
      </c>
      <c r="AE174" s="1" t="e">
        <f ca="1"/>
        <v>#NAME?</v>
      </c>
      <c r="AF174" s="1" t="e">
        <f t="shared" ca="1" si="44"/>
        <v>#NAME?</v>
      </c>
      <c r="AG174" s="1" t="e">
        <f ca="1"/>
        <v>#NAME?</v>
      </c>
      <c r="AH174" s="1" t="e">
        <f t="shared" ca="1" si="45"/>
        <v>#NAME?</v>
      </c>
      <c r="AI174" s="1" t="e">
        <f ca="1"/>
        <v>#NAME?</v>
      </c>
      <c r="AJ174" s="1" t="e">
        <f t="shared" ca="1" si="54"/>
        <v>#NAME?</v>
      </c>
      <c r="AK174" s="1" t="e">
        <f ca="1"/>
        <v>#NAME?</v>
      </c>
      <c r="AL174" s="1" t="e">
        <f t="shared" ca="1" si="46"/>
        <v>#NAME?</v>
      </c>
      <c r="AN174" s="1">
        <f t="shared" si="36"/>
        <v>3.9980375179215057</v>
      </c>
      <c r="AO174" s="1" t="e">
        <f ca="1"/>
        <v>#NAME?</v>
      </c>
      <c r="AP174" s="1" t="e">
        <f t="shared" ca="1" si="37"/>
        <v>#NAME?</v>
      </c>
    </row>
    <row r="175" spans="1:42" x14ac:dyDescent="0.25">
      <c r="A175" s="1" t="s">
        <v>190</v>
      </c>
      <c r="B175" s="1">
        <v>174</v>
      </c>
      <c r="C175" s="1">
        <v>47341.825924279903</v>
      </c>
      <c r="D175" s="1">
        <f t="shared" si="47"/>
        <v>4.6752450041960758</v>
      </c>
      <c r="E175" s="1">
        <v>32173.638170837199</v>
      </c>
      <c r="F175" s="1">
        <f t="shared" si="48"/>
        <v>4.507500173372617</v>
      </c>
      <c r="G175" s="1">
        <v>7696.7232035500101</v>
      </c>
      <c r="H175" s="1">
        <f t="shared" si="49"/>
        <v>3.8863058683533751</v>
      </c>
      <c r="I175" s="1">
        <v>10145.3525028165</v>
      </c>
      <c r="J175" s="1">
        <f t="shared" si="50"/>
        <v>0.21429998325462385</v>
      </c>
      <c r="K175" s="1">
        <f t="shared" si="51"/>
        <v>4.0062671413021844</v>
      </c>
      <c r="L175" s="1">
        <v>4375.95132522317</v>
      </c>
      <c r="M175" s="1">
        <f t="shared" si="52"/>
        <v>3.6410724825885019</v>
      </c>
      <c r="N175" s="1">
        <v>7030.5939990284296</v>
      </c>
      <c r="O175" s="1">
        <f t="shared" si="53"/>
        <v>3.8469920191311076</v>
      </c>
      <c r="P175" s="1">
        <v>-2654.6426738052701</v>
      </c>
      <c r="Q175" s="1" t="e">
        <f ca="1"/>
        <v>#NAME?</v>
      </c>
      <c r="R175" s="1" t="e">
        <f t="shared" ca="1" si="38"/>
        <v>#NAME?</v>
      </c>
      <c r="S175" s="4">
        <v>2845772000000</v>
      </c>
      <c r="T175" s="1">
        <v>130188.33333333299</v>
      </c>
      <c r="U175" s="1" t="e">
        <f ca="1"/>
        <v>#NAME?</v>
      </c>
      <c r="V175" s="1" t="e">
        <f t="shared" ca="1" si="39"/>
        <v>#NAME?</v>
      </c>
      <c r="W175" s="1" t="e">
        <f ca="1"/>
        <v>#NAME?</v>
      </c>
      <c r="X175" s="1" t="e">
        <f t="shared" ca="1" si="40"/>
        <v>#NAME?</v>
      </c>
      <c r="Y175" s="1" t="e">
        <f ca="1"/>
        <v>#NAME?</v>
      </c>
      <c r="Z175" s="1" t="e">
        <f t="shared" ca="1" si="41"/>
        <v>#NAME?</v>
      </c>
      <c r="AA175" s="1" t="e">
        <f ca="1"/>
        <v>#NAME?</v>
      </c>
      <c r="AB175" s="1" t="e">
        <f t="shared" ca="1" si="42"/>
        <v>#NAME?</v>
      </c>
      <c r="AC175" s="1" t="e">
        <f ca="1"/>
        <v>#NAME?</v>
      </c>
      <c r="AD175" s="1" t="e">
        <f t="shared" ca="1" si="43"/>
        <v>#NAME?</v>
      </c>
      <c r="AE175" s="1" t="e">
        <f ca="1"/>
        <v>#NAME?</v>
      </c>
      <c r="AF175" s="1" t="e">
        <f t="shared" ca="1" si="44"/>
        <v>#NAME?</v>
      </c>
      <c r="AG175" s="1" t="e">
        <f ca="1"/>
        <v>#NAME?</v>
      </c>
      <c r="AH175" s="1" t="e">
        <f t="shared" ca="1" si="45"/>
        <v>#NAME?</v>
      </c>
      <c r="AI175" s="1" t="e">
        <f ca="1"/>
        <v>#NAME?</v>
      </c>
      <c r="AJ175" s="1" t="e">
        <f t="shared" ca="1" si="54"/>
        <v>#NAME?</v>
      </c>
      <c r="AK175" s="1" t="e">
        <f ca="1"/>
        <v>#NAME?</v>
      </c>
      <c r="AL175" s="1" t="e">
        <f t="shared" ca="1" si="46"/>
        <v>#NAME?</v>
      </c>
      <c r="AN175" s="1">
        <f t="shared" si="36"/>
        <v>3.998406844472898</v>
      </c>
      <c r="AO175" s="1" t="e">
        <f ca="1"/>
        <v>#NAME?</v>
      </c>
      <c r="AP175" s="1" t="e">
        <f t="shared" ca="1" si="37"/>
        <v>#NAME?</v>
      </c>
    </row>
    <row r="176" spans="1:42" x14ac:dyDescent="0.25">
      <c r="A176" s="1" t="s">
        <v>191</v>
      </c>
      <c r="B176" s="1">
        <v>175</v>
      </c>
      <c r="C176" s="1">
        <v>48011.702076474197</v>
      </c>
      <c r="D176" s="1">
        <f t="shared" si="47"/>
        <v>4.6813471025389957</v>
      </c>
      <c r="E176" s="1">
        <v>32547.722476922299</v>
      </c>
      <c r="F176" s="1">
        <f t="shared" si="48"/>
        <v>4.5125206042617876</v>
      </c>
      <c r="G176" s="1">
        <v>7957.4085657137803</v>
      </c>
      <c r="H176" s="1">
        <f t="shared" si="49"/>
        <v>3.9007716570782622</v>
      </c>
      <c r="I176" s="1">
        <v>10142.5591289943</v>
      </c>
      <c r="J176" s="1">
        <f t="shared" si="50"/>
        <v>0.21125181341913243</v>
      </c>
      <c r="K176" s="1">
        <f t="shared" si="51"/>
        <v>4.0061475482295652</v>
      </c>
      <c r="L176" s="1">
        <v>4484.3044395719198</v>
      </c>
      <c r="M176" s="1">
        <f t="shared" si="52"/>
        <v>3.6516950891901003</v>
      </c>
      <c r="N176" s="1">
        <v>7123.0041172063502</v>
      </c>
      <c r="O176" s="1">
        <f t="shared" si="53"/>
        <v>3.8526631953735575</v>
      </c>
      <c r="P176" s="1">
        <v>-2638.6996776344299</v>
      </c>
      <c r="Q176" s="1" t="e">
        <f ca="1"/>
        <v>#NAME?</v>
      </c>
      <c r="R176" s="1" t="e">
        <f t="shared" ca="1" si="38"/>
        <v>#NAME?</v>
      </c>
      <c r="S176" s="4">
        <v>2931913000000</v>
      </c>
      <c r="T176" s="1">
        <v>130196</v>
      </c>
      <c r="U176" s="1" t="e">
        <f ca="1"/>
        <v>#NAME?</v>
      </c>
      <c r="V176" s="1" t="e">
        <f t="shared" ca="1" si="39"/>
        <v>#NAME?</v>
      </c>
      <c r="W176" s="1" t="e">
        <f ca="1"/>
        <v>#NAME?</v>
      </c>
      <c r="X176" s="1" t="e">
        <f t="shared" ca="1" si="40"/>
        <v>#NAME?</v>
      </c>
      <c r="Y176" s="1" t="e">
        <f ca="1"/>
        <v>#NAME?</v>
      </c>
      <c r="Z176" s="1" t="e">
        <f t="shared" ca="1" si="41"/>
        <v>#NAME?</v>
      </c>
      <c r="AA176" s="1" t="e">
        <f ca="1"/>
        <v>#NAME?</v>
      </c>
      <c r="AB176" s="1" t="e">
        <f t="shared" ca="1" si="42"/>
        <v>#NAME?</v>
      </c>
      <c r="AC176" s="1" t="e">
        <f ca="1"/>
        <v>#NAME?</v>
      </c>
      <c r="AD176" s="1" t="e">
        <f t="shared" ca="1" si="43"/>
        <v>#NAME?</v>
      </c>
      <c r="AE176" s="1" t="e">
        <f ca="1"/>
        <v>#NAME?</v>
      </c>
      <c r="AF176" s="1" t="e">
        <f t="shared" ca="1" si="44"/>
        <v>#NAME?</v>
      </c>
      <c r="AG176" s="1" t="e">
        <f ca="1"/>
        <v>#NAME?</v>
      </c>
      <c r="AH176" s="1" t="e">
        <f t="shared" ca="1" si="45"/>
        <v>#NAME?</v>
      </c>
      <c r="AI176" s="1" t="e">
        <f ca="1"/>
        <v>#NAME?</v>
      </c>
      <c r="AJ176" s="1" t="e">
        <f t="shared" ca="1" si="54"/>
        <v>#NAME?</v>
      </c>
      <c r="AK176" s="1" t="e">
        <f ca="1"/>
        <v>#NAME?</v>
      </c>
      <c r="AL176" s="1" t="e">
        <f t="shared" ca="1" si="46"/>
        <v>#NAME?</v>
      </c>
      <c r="AN176" s="1">
        <f t="shared" si="36"/>
        <v>3.9998302233943361</v>
      </c>
      <c r="AO176" s="1" t="e">
        <f ca="1"/>
        <v>#NAME?</v>
      </c>
      <c r="AP176" s="1" t="e">
        <f t="shared" ca="1" si="37"/>
        <v>#NAME?</v>
      </c>
    </row>
    <row r="177" spans="1:42" x14ac:dyDescent="0.25">
      <c r="A177" s="1" t="s">
        <v>192</v>
      </c>
      <c r="B177" s="1">
        <v>176</v>
      </c>
      <c r="C177" s="1">
        <v>48450.054685276802</v>
      </c>
      <c r="D177" s="1">
        <f t="shared" si="47"/>
        <v>4.6852942715725545</v>
      </c>
      <c r="E177" s="1">
        <v>32693.707593196399</v>
      </c>
      <c r="F177" s="1">
        <f t="shared" si="48"/>
        <v>4.5144641740512208</v>
      </c>
      <c r="G177" s="1">
        <v>8205.8840672131792</v>
      </c>
      <c r="H177" s="1">
        <f t="shared" si="49"/>
        <v>3.9141253769587938</v>
      </c>
      <c r="I177" s="1">
        <v>10179.820275723499</v>
      </c>
      <c r="J177" s="1">
        <f t="shared" si="50"/>
        <v>0.21010957246281467</v>
      </c>
      <c r="K177" s="1">
        <f t="shared" si="51"/>
        <v>4.0077401106185633</v>
      </c>
      <c r="L177" s="1">
        <v>4674.8163157551899</v>
      </c>
      <c r="M177" s="1">
        <f t="shared" si="52"/>
        <v>3.669764551118452</v>
      </c>
      <c r="N177" s="1">
        <v>7331.7356318292304</v>
      </c>
      <c r="O177" s="1">
        <f t="shared" si="53"/>
        <v>3.8652067967555759</v>
      </c>
      <c r="P177" s="1">
        <v>-2656.9193160740401</v>
      </c>
      <c r="Q177" s="1" t="e">
        <f ca="1"/>
        <v>#NAME?</v>
      </c>
      <c r="R177" s="1" t="e">
        <f t="shared" ca="1" si="38"/>
        <v>#NAME?</v>
      </c>
      <c r="S177" s="4">
        <v>2977539000000</v>
      </c>
      <c r="T177" s="1">
        <v>130505.33333333299</v>
      </c>
      <c r="U177" s="1" t="e">
        <f ca="1"/>
        <v>#NAME?</v>
      </c>
      <c r="V177" s="1" t="e">
        <f t="shared" ca="1" si="39"/>
        <v>#NAME?</v>
      </c>
      <c r="W177" s="1" t="e">
        <f ca="1"/>
        <v>#NAME?</v>
      </c>
      <c r="X177" s="1" t="e">
        <f t="shared" ca="1" si="40"/>
        <v>#NAME?</v>
      </c>
      <c r="Y177" s="1" t="e">
        <f ca="1"/>
        <v>#NAME?</v>
      </c>
      <c r="Z177" s="1" t="e">
        <f t="shared" ca="1" si="41"/>
        <v>#NAME?</v>
      </c>
      <c r="AA177" s="1" t="e">
        <f ca="1"/>
        <v>#NAME?</v>
      </c>
      <c r="AB177" s="1" t="e">
        <f t="shared" ca="1" si="42"/>
        <v>#NAME?</v>
      </c>
      <c r="AC177" s="1" t="e">
        <f ca="1"/>
        <v>#NAME?</v>
      </c>
      <c r="AD177" s="1" t="e">
        <f t="shared" ca="1" si="43"/>
        <v>#NAME?</v>
      </c>
      <c r="AE177" s="1" t="e">
        <f ca="1"/>
        <v>#NAME?</v>
      </c>
      <c r="AF177" s="1" t="e">
        <f t="shared" ca="1" si="44"/>
        <v>#NAME?</v>
      </c>
      <c r="AG177" s="1" t="e">
        <f ca="1"/>
        <v>#NAME?</v>
      </c>
      <c r="AH177" s="1" t="e">
        <f t="shared" ca="1" si="45"/>
        <v>#NAME?</v>
      </c>
      <c r="AI177" s="1" t="e">
        <f ca="1"/>
        <v>#NAME?</v>
      </c>
      <c r="AJ177" s="1" t="e">
        <f t="shared" ca="1" si="54"/>
        <v>#NAME?</v>
      </c>
      <c r="AK177" s="1" t="e">
        <f ca="1"/>
        <v>#NAME?</v>
      </c>
      <c r="AL177" s="1" t="e">
        <f t="shared" ca="1" si="46"/>
        <v>#NAME?</v>
      </c>
      <c r="AN177" s="1">
        <f t="shared" si="36"/>
        <v>4.000703499909311</v>
      </c>
      <c r="AO177" s="1" t="e">
        <f ca="1"/>
        <v>#NAME?</v>
      </c>
      <c r="AP177" s="1" t="e">
        <f t="shared" ca="1" si="37"/>
        <v>#NAME?</v>
      </c>
    </row>
    <row r="178" spans="1:42" x14ac:dyDescent="0.25">
      <c r="A178" s="1" t="s">
        <v>193</v>
      </c>
      <c r="B178" s="1">
        <v>177</v>
      </c>
      <c r="C178" s="1">
        <v>48632.924646776402</v>
      </c>
      <c r="D178" s="1">
        <f t="shared" si="47"/>
        <v>4.6869303875974575</v>
      </c>
      <c r="E178" s="1">
        <v>32934.395713068501</v>
      </c>
      <c r="F178" s="1">
        <f t="shared" si="48"/>
        <v>4.5176496993279365</v>
      </c>
      <c r="G178" s="1">
        <v>8206.1853906247306</v>
      </c>
      <c r="H178" s="1">
        <f t="shared" si="49"/>
        <v>3.9141413241366019</v>
      </c>
      <c r="I178" s="1">
        <v>10206.5617974452</v>
      </c>
      <c r="J178" s="1">
        <f t="shared" si="50"/>
        <v>0.20986938111528389</v>
      </c>
      <c r="K178" s="1">
        <f t="shared" si="51"/>
        <v>4.0088794694259064</v>
      </c>
      <c r="L178" s="1">
        <v>4771.1651844222297</v>
      </c>
      <c r="M178" s="1">
        <f t="shared" si="52"/>
        <v>3.6786244527025458</v>
      </c>
      <c r="N178" s="1">
        <v>7522.4321355612101</v>
      </c>
      <c r="O178" s="1">
        <f t="shared" si="53"/>
        <v>3.8763582783949388</v>
      </c>
      <c r="P178" s="1">
        <v>-2751.2669511389699</v>
      </c>
      <c r="Q178" s="1" t="e">
        <f ca="1"/>
        <v>#NAME?</v>
      </c>
      <c r="R178" s="1" t="e">
        <f t="shared" ca="1" si="38"/>
        <v>#NAME?</v>
      </c>
      <c r="S178" s="4">
        <v>2970264000000</v>
      </c>
      <c r="T178" s="1">
        <v>130908.66666666701</v>
      </c>
      <c r="U178" s="1" t="e">
        <f ca="1"/>
        <v>#NAME?</v>
      </c>
      <c r="V178" s="1" t="e">
        <f t="shared" ca="1" si="39"/>
        <v>#NAME?</v>
      </c>
      <c r="W178" s="1" t="e">
        <f ca="1"/>
        <v>#NAME?</v>
      </c>
      <c r="X178" s="1" t="e">
        <f t="shared" ca="1" si="40"/>
        <v>#NAME?</v>
      </c>
      <c r="Y178" s="1" t="e">
        <f ca="1"/>
        <v>#NAME?</v>
      </c>
      <c r="Z178" s="1" t="e">
        <f t="shared" ca="1" si="41"/>
        <v>#NAME?</v>
      </c>
      <c r="AA178" s="1" t="e">
        <f ca="1"/>
        <v>#NAME?</v>
      </c>
      <c r="AB178" s="1" t="e">
        <f t="shared" ca="1" si="42"/>
        <v>#NAME?</v>
      </c>
      <c r="AC178" s="1" t="e">
        <f ca="1"/>
        <v>#NAME?</v>
      </c>
      <c r="AD178" s="1" t="e">
        <f t="shared" ca="1" si="43"/>
        <v>#NAME?</v>
      </c>
      <c r="AE178" s="1" t="e">
        <f ca="1"/>
        <v>#NAME?</v>
      </c>
      <c r="AF178" s="1" t="e">
        <f t="shared" ca="1" si="44"/>
        <v>#NAME?</v>
      </c>
      <c r="AG178" s="1" t="e">
        <f ca="1"/>
        <v>#NAME?</v>
      </c>
      <c r="AH178" s="1" t="e">
        <f t="shared" ca="1" si="45"/>
        <v>#NAME?</v>
      </c>
      <c r="AI178" s="1" t="e">
        <f ca="1"/>
        <v>#NAME?</v>
      </c>
      <c r="AJ178" s="1" t="e">
        <f t="shared" ca="1" si="54"/>
        <v>#NAME?</v>
      </c>
      <c r="AK178" s="1" t="e">
        <f ca="1"/>
        <v>#NAME?</v>
      </c>
      <c r="AL178" s="1" t="e">
        <f t="shared" ca="1" si="46"/>
        <v>#NAME?</v>
      </c>
      <c r="AN178" s="1">
        <f t="shared" ref="AN178:AN241" si="55">LOG(C178*10^9)-0.36*LOG(S178)-0.64*LOG(T178*10^3)</f>
        <v>4.0018643933581544</v>
      </c>
      <c r="AO178" s="1" t="e">
        <f ca="1"/>
        <v>#NAME?</v>
      </c>
      <c r="AP178" s="1" t="e">
        <f t="shared" ref="AP178:AP241" ca="1" si="56">100*(AN178-AO178)/AO178</f>
        <v>#NAME?</v>
      </c>
    </row>
    <row r="179" spans="1:42" x14ac:dyDescent="0.25">
      <c r="A179" s="1" t="s">
        <v>194</v>
      </c>
      <c r="B179" s="1">
        <v>178</v>
      </c>
      <c r="C179" s="1">
        <v>48904.880921894997</v>
      </c>
      <c r="D179" s="1">
        <f t="shared" si="47"/>
        <v>4.689352205783365</v>
      </c>
      <c r="E179" s="1">
        <v>33041.966709346998</v>
      </c>
      <c r="F179" s="1">
        <f t="shared" si="48"/>
        <v>4.5190658893020004</v>
      </c>
      <c r="G179" s="1">
        <v>8515.3905249679901</v>
      </c>
      <c r="H179" s="1">
        <f t="shared" si="49"/>
        <v>3.9302045699673807</v>
      </c>
      <c r="I179" s="1">
        <v>10211.947076397801</v>
      </c>
      <c r="J179" s="1">
        <f t="shared" si="50"/>
        <v>0.2088124310681197</v>
      </c>
      <c r="K179" s="1">
        <f t="shared" si="51"/>
        <v>4.0091085553989618</v>
      </c>
      <c r="L179" s="1">
        <v>4860.4694835680802</v>
      </c>
      <c r="M179" s="1">
        <f t="shared" si="52"/>
        <v>3.686678220759279</v>
      </c>
      <c r="N179" s="1">
        <v>7801.7345283824197</v>
      </c>
      <c r="O179" s="1">
        <f t="shared" si="53"/>
        <v>3.8921911683777024</v>
      </c>
      <c r="P179" s="1">
        <v>-2941.2650448143399</v>
      </c>
      <c r="Q179" s="1" t="e">
        <f ca="1"/>
        <v>#NAME?</v>
      </c>
      <c r="R179" s="1" t="e">
        <f t="shared" ca="1" si="38"/>
        <v>#NAME?</v>
      </c>
      <c r="S179" s="4">
        <v>3039986000000</v>
      </c>
      <c r="T179" s="1">
        <v>131631</v>
      </c>
      <c r="U179" s="1" t="e">
        <f ca="1"/>
        <v>#NAME?</v>
      </c>
      <c r="V179" s="1" t="e">
        <f t="shared" ca="1" si="39"/>
        <v>#NAME?</v>
      </c>
      <c r="W179" s="1" t="e">
        <f ca="1"/>
        <v>#NAME?</v>
      </c>
      <c r="X179" s="1" t="e">
        <f t="shared" ca="1" si="40"/>
        <v>#NAME?</v>
      </c>
      <c r="Y179" s="1" t="e">
        <f ca="1"/>
        <v>#NAME?</v>
      </c>
      <c r="Z179" s="1" t="e">
        <f t="shared" ca="1" si="41"/>
        <v>#NAME?</v>
      </c>
      <c r="AA179" s="1" t="e">
        <f ca="1"/>
        <v>#NAME?</v>
      </c>
      <c r="AB179" s="1" t="e">
        <f t="shared" ca="1" si="42"/>
        <v>#NAME?</v>
      </c>
      <c r="AC179" s="1" t="e">
        <f ca="1"/>
        <v>#NAME?</v>
      </c>
      <c r="AD179" s="1" t="e">
        <f t="shared" ca="1" si="43"/>
        <v>#NAME?</v>
      </c>
      <c r="AE179" s="1" t="e">
        <f ca="1"/>
        <v>#NAME?</v>
      </c>
      <c r="AF179" s="1" t="e">
        <f t="shared" ca="1" si="44"/>
        <v>#NAME?</v>
      </c>
      <c r="AG179" s="1" t="e">
        <f ca="1"/>
        <v>#NAME?</v>
      </c>
      <c r="AH179" s="1" t="e">
        <f t="shared" ca="1" si="45"/>
        <v>#NAME?</v>
      </c>
      <c r="AI179" s="1" t="e">
        <f ca="1"/>
        <v>#NAME?</v>
      </c>
      <c r="AJ179" s="1" t="e">
        <f t="shared" ca="1" si="54"/>
        <v>#NAME?</v>
      </c>
      <c r="AK179" s="1" t="e">
        <f ca="1"/>
        <v>#NAME?</v>
      </c>
      <c r="AL179" s="1" t="e">
        <f t="shared" ca="1" si="46"/>
        <v>#NAME?</v>
      </c>
      <c r="AN179" s="1">
        <f t="shared" si="55"/>
        <v>3.9991292000896514</v>
      </c>
      <c r="AO179" s="1" t="e">
        <f ca="1"/>
        <v>#NAME?</v>
      </c>
      <c r="AP179" s="1" t="e">
        <f t="shared" ca="1" si="56"/>
        <v>#NAME?</v>
      </c>
    </row>
    <row r="180" spans="1:42" x14ac:dyDescent="0.25">
      <c r="A180" s="1" t="s">
        <v>195</v>
      </c>
      <c r="B180" s="1">
        <v>179</v>
      </c>
      <c r="C180" s="1">
        <v>49242.793840662402</v>
      </c>
      <c r="D180" s="1">
        <f t="shared" si="47"/>
        <v>4.6923426851033492</v>
      </c>
      <c r="E180" s="1">
        <v>33347.193318869402</v>
      </c>
      <c r="F180" s="1">
        <f t="shared" si="48"/>
        <v>4.523059287205438</v>
      </c>
      <c r="G180" s="1">
        <v>8626.0528673072204</v>
      </c>
      <c r="H180" s="1">
        <f t="shared" si="49"/>
        <v>3.9358121155198145</v>
      </c>
      <c r="I180" s="1">
        <v>10205.3929966656</v>
      </c>
      <c r="J180" s="1">
        <f t="shared" si="50"/>
        <v>0.20724642532850079</v>
      </c>
      <c r="K180" s="1">
        <f t="shared" si="51"/>
        <v>4.0088297335005922</v>
      </c>
      <c r="L180" s="1">
        <v>4864.3201874640199</v>
      </c>
      <c r="M180" s="1">
        <f t="shared" si="52"/>
        <v>3.6870221540673347</v>
      </c>
      <c r="N180" s="1">
        <v>7890.2599769075896</v>
      </c>
      <c r="O180" s="1">
        <f t="shared" si="53"/>
        <v>3.8970913130543234</v>
      </c>
      <c r="P180" s="1">
        <v>-3025.9397894435701</v>
      </c>
      <c r="Q180" s="1" t="e">
        <f ca="1"/>
        <v>#NAME?</v>
      </c>
      <c r="R180" s="1" t="e">
        <f t="shared" ca="1" si="38"/>
        <v>#NAME?</v>
      </c>
      <c r="S180" s="4">
        <v>3091579000000</v>
      </c>
      <c r="T180" s="1">
        <v>131955.66666666701</v>
      </c>
      <c r="U180" s="1" t="e">
        <f ca="1"/>
        <v>#NAME?</v>
      </c>
      <c r="V180" s="1" t="e">
        <f t="shared" ca="1" si="39"/>
        <v>#NAME?</v>
      </c>
      <c r="W180" s="1" t="e">
        <f ca="1"/>
        <v>#NAME?</v>
      </c>
      <c r="X180" s="1" t="e">
        <f t="shared" ca="1" si="40"/>
        <v>#NAME?</v>
      </c>
      <c r="Y180" s="1" t="e">
        <f ca="1"/>
        <v>#NAME?</v>
      </c>
      <c r="Z180" s="1" t="e">
        <f t="shared" ca="1" si="41"/>
        <v>#NAME?</v>
      </c>
      <c r="AA180" s="1" t="e">
        <f ca="1"/>
        <v>#NAME?</v>
      </c>
      <c r="AB180" s="1" t="e">
        <f t="shared" ca="1" si="42"/>
        <v>#NAME?</v>
      </c>
      <c r="AC180" s="1" t="e">
        <f ca="1"/>
        <v>#NAME?</v>
      </c>
      <c r="AD180" s="1" t="e">
        <f t="shared" ca="1" si="43"/>
        <v>#NAME?</v>
      </c>
      <c r="AE180" s="1" t="e">
        <f ca="1"/>
        <v>#NAME?</v>
      </c>
      <c r="AF180" s="1" t="e">
        <f t="shared" ca="1" si="44"/>
        <v>#NAME?</v>
      </c>
      <c r="AG180" s="1" t="e">
        <f ca="1"/>
        <v>#NAME?</v>
      </c>
      <c r="AH180" s="1" t="e">
        <f t="shared" ca="1" si="45"/>
        <v>#NAME?</v>
      </c>
      <c r="AI180" s="1" t="e">
        <f ca="1"/>
        <v>#NAME?</v>
      </c>
      <c r="AJ180" s="1" t="e">
        <f t="shared" ca="1" si="54"/>
        <v>#NAME?</v>
      </c>
      <c r="AK180" s="1" t="e">
        <f ca="1"/>
        <v>#NAME?</v>
      </c>
      <c r="AL180" s="1" t="e">
        <f t="shared" ca="1" si="46"/>
        <v>#NAME?</v>
      </c>
      <c r="AN180" s="1">
        <f t="shared" si="55"/>
        <v>3.9988038106852049</v>
      </c>
      <c r="AO180" s="1" t="e">
        <f ca="1"/>
        <v>#NAME?</v>
      </c>
      <c r="AP180" s="1" t="e">
        <f t="shared" ca="1" si="56"/>
        <v>#NAME?</v>
      </c>
    </row>
    <row r="181" spans="1:42" x14ac:dyDescent="0.25">
      <c r="A181" s="1" t="s">
        <v>196</v>
      </c>
      <c r="B181" s="1">
        <v>180</v>
      </c>
      <c r="C181" s="1">
        <v>49622.520673792402</v>
      </c>
      <c r="D181" s="1">
        <f t="shared" si="47"/>
        <v>4.6956788213411507</v>
      </c>
      <c r="E181" s="1">
        <v>33640.625955547097</v>
      </c>
      <c r="F181" s="1">
        <f t="shared" si="48"/>
        <v>4.5268640681755432</v>
      </c>
      <c r="G181" s="1">
        <v>8784.1601717776393</v>
      </c>
      <c r="H181" s="1">
        <f t="shared" si="49"/>
        <v>3.9437002461730684</v>
      </c>
      <c r="I181" s="1">
        <v>10174.2476234482</v>
      </c>
      <c r="J181" s="1">
        <f t="shared" si="50"/>
        <v>0.20503286582984123</v>
      </c>
      <c r="K181" s="1">
        <f t="shared" si="51"/>
        <v>4.0075023033944559</v>
      </c>
      <c r="L181" s="1">
        <v>4967.42136484402</v>
      </c>
      <c r="M181" s="1">
        <f t="shared" si="52"/>
        <v>3.6961310008780517</v>
      </c>
      <c r="N181" s="1">
        <v>8053.9896851875801</v>
      </c>
      <c r="O181" s="1">
        <f t="shared" si="53"/>
        <v>3.9060110690671683</v>
      </c>
      <c r="P181" s="1">
        <v>-3086.5683203435601</v>
      </c>
      <c r="Q181" s="1" t="e">
        <f ca="1"/>
        <v>#NAME?</v>
      </c>
      <c r="R181" s="1" t="e">
        <f t="shared" ca="1" si="38"/>
        <v>#NAME?</v>
      </c>
      <c r="S181" s="4">
        <v>3136705000000</v>
      </c>
      <c r="T181" s="1">
        <v>132525</v>
      </c>
      <c r="U181" s="1" t="e">
        <f ca="1"/>
        <v>#NAME?</v>
      </c>
      <c r="V181" s="1" t="e">
        <f t="shared" ca="1" si="39"/>
        <v>#NAME?</v>
      </c>
      <c r="W181" s="1" t="e">
        <f ca="1"/>
        <v>#NAME?</v>
      </c>
      <c r="X181" s="1" t="e">
        <f t="shared" ca="1" si="40"/>
        <v>#NAME?</v>
      </c>
      <c r="Y181" s="1" t="e">
        <f ca="1"/>
        <v>#NAME?</v>
      </c>
      <c r="Z181" s="1" t="e">
        <f t="shared" ca="1" si="41"/>
        <v>#NAME?</v>
      </c>
      <c r="AA181" s="1" t="e">
        <f ca="1"/>
        <v>#NAME?</v>
      </c>
      <c r="AB181" s="1" t="e">
        <f t="shared" ca="1" si="42"/>
        <v>#NAME?</v>
      </c>
      <c r="AC181" s="1" t="e">
        <f ca="1"/>
        <v>#NAME?</v>
      </c>
      <c r="AD181" s="1" t="e">
        <f t="shared" ca="1" si="43"/>
        <v>#NAME?</v>
      </c>
      <c r="AE181" s="1" t="e">
        <f ca="1"/>
        <v>#NAME?</v>
      </c>
      <c r="AF181" s="1" t="e">
        <f t="shared" ca="1" si="44"/>
        <v>#NAME?</v>
      </c>
      <c r="AG181" s="1" t="e">
        <f ca="1"/>
        <v>#NAME?</v>
      </c>
      <c r="AH181" s="1" t="e">
        <f t="shared" ca="1" si="45"/>
        <v>#NAME?</v>
      </c>
      <c r="AI181" s="1" t="e">
        <f ca="1"/>
        <v>#NAME?</v>
      </c>
      <c r="AJ181" s="1" t="e">
        <f t="shared" ca="1" si="54"/>
        <v>#NAME?</v>
      </c>
      <c r="AK181" s="1" t="e">
        <f ca="1"/>
        <v>#NAME?</v>
      </c>
      <c r="AL181" s="1" t="e">
        <f t="shared" ca="1" si="46"/>
        <v>#NAME?</v>
      </c>
      <c r="AN181" s="1">
        <f t="shared" si="55"/>
        <v>3.9986776976519645</v>
      </c>
      <c r="AO181" s="1" t="e">
        <f ca="1"/>
        <v>#NAME?</v>
      </c>
      <c r="AP181" s="1" t="e">
        <f t="shared" ca="1" si="56"/>
        <v>#NAME?</v>
      </c>
    </row>
    <row r="182" spans="1:42" x14ac:dyDescent="0.25">
      <c r="A182" s="1" t="s">
        <v>197</v>
      </c>
      <c r="B182" s="1">
        <v>181</v>
      </c>
      <c r="C182" s="1">
        <v>50067.792932529199</v>
      </c>
      <c r="D182" s="1">
        <f t="shared" si="47"/>
        <v>4.6995584474334624</v>
      </c>
      <c r="E182" s="1">
        <v>33782.876826113599</v>
      </c>
      <c r="F182" s="1">
        <f t="shared" si="48"/>
        <v>4.5286966297379001</v>
      </c>
      <c r="G182" s="1">
        <v>9012.0356526544601</v>
      </c>
      <c r="H182" s="1">
        <f t="shared" si="49"/>
        <v>3.9548229011743485</v>
      </c>
      <c r="I182" s="1">
        <v>10203.416091159101</v>
      </c>
      <c r="J182" s="1">
        <f t="shared" si="50"/>
        <v>0.20379200866531327</v>
      </c>
      <c r="K182" s="1">
        <f t="shared" si="51"/>
        <v>4.0087455973658761</v>
      </c>
      <c r="L182" s="1">
        <v>5049.9598246524101</v>
      </c>
      <c r="M182" s="1">
        <f t="shared" si="52"/>
        <v>3.7032879230689244</v>
      </c>
      <c r="N182" s="1">
        <v>8106.21548225674</v>
      </c>
      <c r="O182" s="1">
        <f t="shared" si="53"/>
        <v>3.908818144127018</v>
      </c>
      <c r="P182" s="1">
        <v>-3056.2556576043298</v>
      </c>
      <c r="Q182" s="1" t="e">
        <f ca="1"/>
        <v>#NAME?</v>
      </c>
      <c r="R182" s="1" t="e">
        <f t="shared" ca="1" si="38"/>
        <v>#NAME?</v>
      </c>
      <c r="S182" s="4">
        <v>3182889000000</v>
      </c>
      <c r="T182" s="1">
        <v>132988</v>
      </c>
      <c r="U182" s="1" t="e">
        <f ca="1"/>
        <v>#NAME?</v>
      </c>
      <c r="V182" s="1" t="e">
        <f t="shared" ca="1" si="39"/>
        <v>#NAME?</v>
      </c>
      <c r="W182" s="1" t="e">
        <f ca="1"/>
        <v>#NAME?</v>
      </c>
      <c r="X182" s="1" t="e">
        <f t="shared" ca="1" si="40"/>
        <v>#NAME?</v>
      </c>
      <c r="Y182" s="1" t="e">
        <f ca="1"/>
        <v>#NAME?</v>
      </c>
      <c r="Z182" s="1" t="e">
        <f t="shared" ca="1" si="41"/>
        <v>#NAME?</v>
      </c>
      <c r="AA182" s="1" t="e">
        <f ca="1"/>
        <v>#NAME?</v>
      </c>
      <c r="AB182" s="1" t="e">
        <f t="shared" ca="1" si="42"/>
        <v>#NAME?</v>
      </c>
      <c r="AC182" s="1" t="e">
        <f ca="1"/>
        <v>#NAME?</v>
      </c>
      <c r="AD182" s="1" t="e">
        <f t="shared" ca="1" si="43"/>
        <v>#NAME?</v>
      </c>
      <c r="AE182" s="1" t="e">
        <f ca="1"/>
        <v>#NAME?</v>
      </c>
      <c r="AF182" s="1" t="e">
        <f t="shared" ca="1" si="44"/>
        <v>#NAME?</v>
      </c>
      <c r="AG182" s="1" t="e">
        <f ca="1"/>
        <v>#NAME?</v>
      </c>
      <c r="AH182" s="1" t="e">
        <f t="shared" ca="1" si="45"/>
        <v>#NAME?</v>
      </c>
      <c r="AI182" s="1" t="e">
        <f ca="1"/>
        <v>#NAME?</v>
      </c>
      <c r="AJ182" s="1" t="e">
        <f t="shared" ca="1" si="54"/>
        <v>#NAME?</v>
      </c>
      <c r="AK182" s="1" t="e">
        <f ca="1"/>
        <v>#NAME?</v>
      </c>
      <c r="AL182" s="1" t="e">
        <f t="shared" ca="1" si="46"/>
        <v>#NAME?</v>
      </c>
      <c r="AN182" s="1">
        <f t="shared" si="55"/>
        <v>3.9993027388119931</v>
      </c>
      <c r="AO182" s="1" t="e">
        <f ca="1"/>
        <v>#NAME?</v>
      </c>
      <c r="AP182" s="1" t="e">
        <f t="shared" ca="1" si="56"/>
        <v>#NAME?</v>
      </c>
    </row>
    <row r="183" spans="1:42" x14ac:dyDescent="0.25">
      <c r="A183" s="1" t="s">
        <v>198</v>
      </c>
      <c r="B183" s="1">
        <v>182</v>
      </c>
      <c r="C183" s="1">
        <v>50204.023843999101</v>
      </c>
      <c r="D183" s="1">
        <f t="shared" si="47"/>
        <v>4.7007385271691371</v>
      </c>
      <c r="E183" s="1">
        <v>34084.340365644101</v>
      </c>
      <c r="F183" s="1">
        <f t="shared" si="48"/>
        <v>4.5325548935132076</v>
      </c>
      <c r="G183" s="1">
        <v>8873.1376104577994</v>
      </c>
      <c r="H183" s="1">
        <f t="shared" si="49"/>
        <v>3.94807721689582</v>
      </c>
      <c r="I183" s="1">
        <v>10175.75476677</v>
      </c>
      <c r="J183" s="1">
        <f t="shared" si="50"/>
        <v>0.20268803150897854</v>
      </c>
      <c r="K183" s="1">
        <f t="shared" si="51"/>
        <v>4.0075666320384276</v>
      </c>
      <c r="L183" s="1">
        <v>5151.5826082249596</v>
      </c>
      <c r="M183" s="1">
        <f t="shared" si="52"/>
        <v>3.7119406683486567</v>
      </c>
      <c r="N183" s="1">
        <v>8197.2035400625191</v>
      </c>
      <c r="O183" s="1">
        <f t="shared" si="53"/>
        <v>3.9136657189378496</v>
      </c>
      <c r="P183" s="1">
        <v>-3045.62093183756</v>
      </c>
      <c r="Q183" s="1" t="e">
        <f ca="1"/>
        <v>#NAME?</v>
      </c>
      <c r="R183" s="1" t="e">
        <f t="shared" ca="1" si="38"/>
        <v>#NAME?</v>
      </c>
      <c r="S183" s="4">
        <v>3230079000000</v>
      </c>
      <c r="T183" s="1">
        <v>133714.33333333299</v>
      </c>
      <c r="U183" s="1" t="e">
        <f ca="1"/>
        <v>#NAME?</v>
      </c>
      <c r="V183" s="1" t="e">
        <f t="shared" ca="1" si="39"/>
        <v>#NAME?</v>
      </c>
      <c r="W183" s="1" t="e">
        <f ca="1"/>
        <v>#NAME?</v>
      </c>
      <c r="X183" s="1" t="e">
        <f t="shared" ca="1" si="40"/>
        <v>#NAME?</v>
      </c>
      <c r="Y183" s="1" t="e">
        <f ca="1"/>
        <v>#NAME?</v>
      </c>
      <c r="Z183" s="1" t="e">
        <f t="shared" ca="1" si="41"/>
        <v>#NAME?</v>
      </c>
      <c r="AA183" s="1" t="e">
        <f ca="1"/>
        <v>#NAME?</v>
      </c>
      <c r="AB183" s="1" t="e">
        <f t="shared" ca="1" si="42"/>
        <v>#NAME?</v>
      </c>
      <c r="AC183" s="1" t="e">
        <f ca="1"/>
        <v>#NAME?</v>
      </c>
      <c r="AD183" s="1" t="e">
        <f t="shared" ca="1" si="43"/>
        <v>#NAME?</v>
      </c>
      <c r="AE183" s="1" t="e">
        <f ca="1"/>
        <v>#NAME?</v>
      </c>
      <c r="AF183" s="1" t="e">
        <f t="shared" ca="1" si="44"/>
        <v>#NAME?</v>
      </c>
      <c r="AG183" s="1" t="e">
        <f ca="1"/>
        <v>#NAME?</v>
      </c>
      <c r="AH183" s="1" t="e">
        <f t="shared" ca="1" si="45"/>
        <v>#NAME?</v>
      </c>
      <c r="AI183" s="1" t="e">
        <f ca="1"/>
        <v>#NAME?</v>
      </c>
      <c r="AJ183" s="1" t="e">
        <f t="shared" ca="1" si="54"/>
        <v>#NAME?</v>
      </c>
      <c r="AK183" s="1" t="e">
        <f ca="1"/>
        <v>#NAME?</v>
      </c>
      <c r="AL183" s="1" t="e">
        <f t="shared" ca="1" si="46"/>
        <v>#NAME?</v>
      </c>
      <c r="AN183" s="1">
        <f t="shared" si="55"/>
        <v>3.9966678986662174</v>
      </c>
      <c r="AO183" s="1" t="e">
        <f ca="1"/>
        <v>#NAME?</v>
      </c>
      <c r="AP183" s="1" t="e">
        <f t="shared" ca="1" si="56"/>
        <v>#NAME?</v>
      </c>
    </row>
    <row r="184" spans="1:42" x14ac:dyDescent="0.25">
      <c r="A184" s="1" t="s">
        <v>199</v>
      </c>
      <c r="B184" s="1">
        <v>183</v>
      </c>
      <c r="C184" s="1">
        <v>50470.037794425298</v>
      </c>
      <c r="D184" s="1">
        <f t="shared" si="47"/>
        <v>4.7030336299546924</v>
      </c>
      <c r="E184" s="1">
        <v>34279.9250860498</v>
      </c>
      <c r="F184" s="1">
        <f t="shared" si="48"/>
        <v>4.5350398641627496</v>
      </c>
      <c r="G184" s="1">
        <v>8967.5980292906806</v>
      </c>
      <c r="H184" s="1">
        <f t="shared" si="49"/>
        <v>3.9526761328637345</v>
      </c>
      <c r="I184" s="1">
        <v>10183.481811432801</v>
      </c>
      <c r="J184" s="1">
        <f t="shared" si="50"/>
        <v>0.20177281921032411</v>
      </c>
      <c r="K184" s="1">
        <f t="shared" si="51"/>
        <v>4.0078962920437737</v>
      </c>
      <c r="L184" s="1">
        <v>5137.4536005939099</v>
      </c>
      <c r="M184" s="1">
        <f t="shared" si="52"/>
        <v>3.7107479125294733</v>
      </c>
      <c r="N184" s="1">
        <v>8222.31558345144</v>
      </c>
      <c r="O184" s="1">
        <f t="shared" si="53"/>
        <v>3.9149941415663583</v>
      </c>
      <c r="P184" s="1">
        <v>-3084.8619828575302</v>
      </c>
      <c r="Q184" s="1" t="e">
        <f ca="1"/>
        <v>#NAME?</v>
      </c>
      <c r="R184" s="1" t="e">
        <f t="shared" ca="1" si="38"/>
        <v>#NAME?</v>
      </c>
      <c r="S184" s="4">
        <v>3276734000000</v>
      </c>
      <c r="T184" s="1">
        <v>134447.66666666701</v>
      </c>
      <c r="U184" s="1" t="e">
        <f ca="1"/>
        <v>#NAME?</v>
      </c>
      <c r="V184" s="1" t="e">
        <f t="shared" ca="1" si="39"/>
        <v>#NAME?</v>
      </c>
      <c r="W184" s="1" t="e">
        <f ca="1"/>
        <v>#NAME?</v>
      </c>
      <c r="X184" s="1" t="e">
        <f t="shared" ca="1" si="40"/>
        <v>#NAME?</v>
      </c>
      <c r="Y184" s="1" t="e">
        <f ca="1"/>
        <v>#NAME?</v>
      </c>
      <c r="Z184" s="1" t="e">
        <f t="shared" ca="1" si="41"/>
        <v>#NAME?</v>
      </c>
      <c r="AA184" s="1" t="e">
        <f ca="1"/>
        <v>#NAME?</v>
      </c>
      <c r="AB184" s="1" t="e">
        <f t="shared" ca="1" si="42"/>
        <v>#NAME?</v>
      </c>
      <c r="AC184" s="1" t="e">
        <f ca="1"/>
        <v>#NAME?</v>
      </c>
      <c r="AD184" s="1" t="e">
        <f t="shared" ca="1" si="43"/>
        <v>#NAME?</v>
      </c>
      <c r="AE184" s="1" t="e">
        <f ca="1"/>
        <v>#NAME?</v>
      </c>
      <c r="AF184" s="1" t="e">
        <f t="shared" ca="1" si="44"/>
        <v>#NAME?</v>
      </c>
      <c r="AG184" s="1" t="e">
        <f ca="1"/>
        <v>#NAME?</v>
      </c>
      <c r="AH184" s="1" t="e">
        <f t="shared" ca="1" si="45"/>
        <v>#NAME?</v>
      </c>
      <c r="AI184" s="1" t="e">
        <f ca="1"/>
        <v>#NAME?</v>
      </c>
      <c r="AJ184" s="1" t="e">
        <f t="shared" ca="1" si="54"/>
        <v>#NAME?</v>
      </c>
      <c r="AK184" s="1" t="e">
        <f ca="1"/>
        <v>#NAME?</v>
      </c>
      <c r="AL184" s="1" t="e">
        <f t="shared" ca="1" si="46"/>
        <v>#NAME?</v>
      </c>
      <c r="AN184" s="1">
        <f t="shared" si="55"/>
        <v>3.9952007100036218</v>
      </c>
      <c r="AO184" s="1" t="e">
        <f ca="1"/>
        <v>#NAME?</v>
      </c>
      <c r="AP184" s="1" t="e">
        <f t="shared" ca="1" si="56"/>
        <v>#NAME?</v>
      </c>
    </row>
    <row r="185" spans="1:42" x14ac:dyDescent="0.25">
      <c r="A185" s="1" t="s">
        <v>200</v>
      </c>
      <c r="B185" s="1">
        <v>184</v>
      </c>
      <c r="C185" s="1">
        <v>50629.2184754583</v>
      </c>
      <c r="D185" s="1">
        <f t="shared" si="47"/>
        <v>4.7044012235666646</v>
      </c>
      <c r="E185" s="1">
        <v>34256.875113603499</v>
      </c>
      <c r="F185" s="1">
        <f t="shared" si="48"/>
        <v>4.5347477444200797</v>
      </c>
      <c r="G185" s="1">
        <v>9235.8643625078294</v>
      </c>
      <c r="H185" s="1">
        <f t="shared" si="49"/>
        <v>3.9654775462625773</v>
      </c>
      <c r="I185" s="1">
        <v>10165.854331742299</v>
      </c>
      <c r="J185" s="1">
        <f t="shared" si="50"/>
        <v>0.20079026771211239</v>
      </c>
      <c r="K185" s="1">
        <f t="shared" si="51"/>
        <v>4.0071438823316896</v>
      </c>
      <c r="L185" s="1">
        <v>5283.3623933810404</v>
      </c>
      <c r="M185" s="1">
        <f t="shared" si="52"/>
        <v>3.7229104005881117</v>
      </c>
      <c r="N185" s="1">
        <v>8466.0064762391994</v>
      </c>
      <c r="O185" s="1">
        <f t="shared" si="53"/>
        <v>3.9276785963602774</v>
      </c>
      <c r="P185" s="1">
        <v>-3182.6440828581599</v>
      </c>
      <c r="Q185" s="1" t="e">
        <f ca="1"/>
        <v>#NAME?</v>
      </c>
      <c r="R185" s="1" t="e">
        <f t="shared" ca="1" si="38"/>
        <v>#NAME?</v>
      </c>
      <c r="S185" s="4">
        <v>3290410000000</v>
      </c>
      <c r="T185" s="1">
        <v>134935.33333333299</v>
      </c>
      <c r="U185" s="1" t="e">
        <f ca="1"/>
        <v>#NAME?</v>
      </c>
      <c r="V185" s="1" t="e">
        <f t="shared" ca="1" si="39"/>
        <v>#NAME?</v>
      </c>
      <c r="W185" s="1" t="e">
        <f ca="1"/>
        <v>#NAME?</v>
      </c>
      <c r="X185" s="1" t="e">
        <f t="shared" ca="1" si="40"/>
        <v>#NAME?</v>
      </c>
      <c r="Y185" s="1" t="e">
        <f ca="1"/>
        <v>#NAME?</v>
      </c>
      <c r="Z185" s="1" t="e">
        <f t="shared" ca="1" si="41"/>
        <v>#NAME?</v>
      </c>
      <c r="AA185" s="1" t="e">
        <f ca="1"/>
        <v>#NAME?</v>
      </c>
      <c r="AB185" s="1" t="e">
        <f t="shared" ca="1" si="42"/>
        <v>#NAME?</v>
      </c>
      <c r="AC185" s="1" t="e">
        <f ca="1"/>
        <v>#NAME?</v>
      </c>
      <c r="AD185" s="1" t="e">
        <f t="shared" ca="1" si="43"/>
        <v>#NAME?</v>
      </c>
      <c r="AE185" s="1" t="e">
        <f ca="1"/>
        <v>#NAME?</v>
      </c>
      <c r="AF185" s="1" t="e">
        <f t="shared" ca="1" si="44"/>
        <v>#NAME?</v>
      </c>
      <c r="AG185" s="1" t="e">
        <f ca="1"/>
        <v>#NAME?</v>
      </c>
      <c r="AH185" s="1" t="e">
        <f t="shared" ca="1" si="45"/>
        <v>#NAME?</v>
      </c>
      <c r="AI185" s="1" t="e">
        <f ca="1"/>
        <v>#NAME?</v>
      </c>
      <c r="AJ185" s="1" t="e">
        <f t="shared" ca="1" si="54"/>
        <v>#NAME?</v>
      </c>
      <c r="AK185" s="1" t="e">
        <f ca="1"/>
        <v>#NAME?</v>
      </c>
      <c r="AL185" s="1" t="e">
        <f t="shared" ca="1" si="46"/>
        <v>#NAME?</v>
      </c>
      <c r="AN185" s="1">
        <f t="shared" si="55"/>
        <v>3.9949107784781557</v>
      </c>
      <c r="AO185" s="1" t="e">
        <f ca="1"/>
        <v>#NAME?</v>
      </c>
      <c r="AP185" s="1" t="e">
        <f t="shared" ca="1" si="56"/>
        <v>#NAME?</v>
      </c>
    </row>
    <row r="186" spans="1:42" x14ac:dyDescent="0.25">
      <c r="A186" s="1" t="s">
        <v>201</v>
      </c>
      <c r="B186" s="1">
        <v>185</v>
      </c>
      <c r="C186" s="1">
        <v>51200.016121664798</v>
      </c>
      <c r="D186" s="1">
        <f t="shared" si="47"/>
        <v>4.7092700977248336</v>
      </c>
      <c r="E186" s="1">
        <v>34554.830453824899</v>
      </c>
      <c r="F186" s="1">
        <f t="shared" si="48"/>
        <v>4.5385087664078982</v>
      </c>
      <c r="G186" s="1">
        <v>9352.5237122820199</v>
      </c>
      <c r="H186" s="1">
        <f t="shared" si="49"/>
        <v>3.970928817976918</v>
      </c>
      <c r="I186" s="1">
        <v>10272.4662116775</v>
      </c>
      <c r="J186" s="1">
        <f t="shared" si="50"/>
        <v>0.20063404252192812</v>
      </c>
      <c r="K186" s="1">
        <f t="shared" si="51"/>
        <v>4.0116747214494941</v>
      </c>
      <c r="L186" s="1">
        <v>5485.3763065265903</v>
      </c>
      <c r="M186" s="1">
        <f t="shared" si="52"/>
        <v>3.7392064263031006</v>
      </c>
      <c r="N186" s="1">
        <v>8621.3726254131197</v>
      </c>
      <c r="O186" s="1">
        <f t="shared" si="53"/>
        <v>3.9355764161942162</v>
      </c>
      <c r="P186" s="1">
        <v>-3135.9963188865299</v>
      </c>
      <c r="Q186" s="1" t="e">
        <f ca="1"/>
        <v>#NAME?</v>
      </c>
      <c r="R186" s="1" t="e">
        <f t="shared" ca="1" si="38"/>
        <v>#NAME?</v>
      </c>
      <c r="S186" s="4">
        <v>3355542000000</v>
      </c>
      <c r="T186" s="1">
        <v>135732</v>
      </c>
      <c r="U186" s="1" t="e">
        <f ca="1"/>
        <v>#NAME?</v>
      </c>
      <c r="V186" s="1" t="e">
        <f t="shared" ca="1" si="39"/>
        <v>#NAME?</v>
      </c>
      <c r="W186" s="1" t="e">
        <f ca="1"/>
        <v>#NAME?</v>
      </c>
      <c r="X186" s="1" t="e">
        <f t="shared" ca="1" si="40"/>
        <v>#NAME?</v>
      </c>
      <c r="Y186" s="1" t="e">
        <f ca="1"/>
        <v>#NAME?</v>
      </c>
      <c r="Z186" s="1" t="e">
        <f t="shared" ca="1" si="41"/>
        <v>#NAME?</v>
      </c>
      <c r="AA186" s="1" t="e">
        <f ca="1"/>
        <v>#NAME?</v>
      </c>
      <c r="AB186" s="1" t="e">
        <f t="shared" ca="1" si="42"/>
        <v>#NAME?</v>
      </c>
      <c r="AC186" s="1" t="e">
        <f ca="1"/>
        <v>#NAME?</v>
      </c>
      <c r="AD186" s="1" t="e">
        <f t="shared" ca="1" si="43"/>
        <v>#NAME?</v>
      </c>
      <c r="AE186" s="1" t="e">
        <f ca="1"/>
        <v>#NAME?</v>
      </c>
      <c r="AF186" s="1" t="e">
        <f t="shared" ca="1" si="44"/>
        <v>#NAME?</v>
      </c>
      <c r="AG186" s="1" t="e">
        <f ca="1"/>
        <v>#NAME?</v>
      </c>
      <c r="AH186" s="1" t="e">
        <f t="shared" ca="1" si="45"/>
        <v>#NAME?</v>
      </c>
      <c r="AI186" s="1" t="e">
        <f ca="1"/>
        <v>#NAME?</v>
      </c>
      <c r="AJ186" s="1" t="e">
        <f t="shared" ca="1" si="54"/>
        <v>#NAME?</v>
      </c>
      <c r="AK186" s="1" t="e">
        <f ca="1"/>
        <v>#NAME?</v>
      </c>
      <c r="AL186" s="1" t="e">
        <f t="shared" ca="1" si="46"/>
        <v>#NAME?</v>
      </c>
      <c r="AN186" s="1">
        <f t="shared" si="55"/>
        <v>3.995078894258385</v>
      </c>
      <c r="AO186" s="1" t="e">
        <f ca="1"/>
        <v>#NAME?</v>
      </c>
      <c r="AP186" s="1" t="e">
        <f t="shared" ca="1" si="56"/>
        <v>#NAME?</v>
      </c>
    </row>
    <row r="187" spans="1:42" x14ac:dyDescent="0.25">
      <c r="A187" s="1" t="s">
        <v>202</v>
      </c>
      <c r="B187" s="1">
        <v>186</v>
      </c>
      <c r="C187" s="1">
        <v>51210.171979303501</v>
      </c>
      <c r="D187" s="1">
        <f t="shared" si="47"/>
        <v>4.7093562343295554</v>
      </c>
      <c r="E187" s="1">
        <v>34655.759899198398</v>
      </c>
      <c r="F187" s="1">
        <f t="shared" si="48"/>
        <v>4.5397754260920857</v>
      </c>
      <c r="G187" s="1">
        <v>9271.2929948258807</v>
      </c>
      <c r="H187" s="1">
        <f t="shared" si="49"/>
        <v>3.9671403060279227</v>
      </c>
      <c r="I187" s="1">
        <v>10246.209887134401</v>
      </c>
      <c r="J187" s="1">
        <f t="shared" si="50"/>
        <v>0.2000815363649899</v>
      </c>
      <c r="K187" s="1">
        <f t="shared" si="51"/>
        <v>4.010563247879448</v>
      </c>
      <c r="L187" s="1">
        <v>5574.3512238277799</v>
      </c>
      <c r="M187" s="1">
        <f t="shared" si="52"/>
        <v>3.7461943288847905</v>
      </c>
      <c r="N187" s="1">
        <v>8687.6189646390194</v>
      </c>
      <c r="O187" s="1">
        <f t="shared" si="53"/>
        <v>3.9389007646868057</v>
      </c>
      <c r="P187" s="1">
        <v>-3113.2677408112399</v>
      </c>
      <c r="Q187" s="1" t="e">
        <f ca="1"/>
        <v>#NAME?</v>
      </c>
      <c r="R187" s="1" t="e">
        <f t="shared" ca="1" si="38"/>
        <v>#NAME?</v>
      </c>
      <c r="S187" s="4">
        <v>3345675000000</v>
      </c>
      <c r="T187" s="1">
        <v>136262</v>
      </c>
      <c r="U187" s="1" t="e">
        <f ca="1"/>
        <v>#NAME?</v>
      </c>
      <c r="V187" s="1" t="e">
        <f t="shared" ca="1" si="39"/>
        <v>#NAME?</v>
      </c>
      <c r="W187" s="1" t="e">
        <f ca="1"/>
        <v>#NAME?</v>
      </c>
      <c r="X187" s="1" t="e">
        <f t="shared" ca="1" si="40"/>
        <v>#NAME?</v>
      </c>
      <c r="Y187" s="1" t="e">
        <f ca="1"/>
        <v>#NAME?</v>
      </c>
      <c r="Z187" s="1" t="e">
        <f t="shared" ca="1" si="41"/>
        <v>#NAME?</v>
      </c>
      <c r="AA187" s="1" t="e">
        <f ca="1"/>
        <v>#NAME?</v>
      </c>
      <c r="AB187" s="1" t="e">
        <f t="shared" ca="1" si="42"/>
        <v>#NAME?</v>
      </c>
      <c r="AC187" s="1" t="e">
        <f ca="1"/>
        <v>#NAME?</v>
      </c>
      <c r="AD187" s="1" t="e">
        <f t="shared" ca="1" si="43"/>
        <v>#NAME?</v>
      </c>
      <c r="AE187" s="1" t="e">
        <f ca="1"/>
        <v>#NAME?</v>
      </c>
      <c r="AF187" s="1" t="e">
        <f t="shared" ca="1" si="44"/>
        <v>#NAME?</v>
      </c>
      <c r="AG187" s="1" t="e">
        <f ca="1"/>
        <v>#NAME?</v>
      </c>
      <c r="AH187" s="1" t="e">
        <f t="shared" ca="1" si="45"/>
        <v>#NAME?</v>
      </c>
      <c r="AI187" s="1" t="e">
        <f ca="1"/>
        <v>#NAME?</v>
      </c>
      <c r="AJ187" s="1" t="e">
        <f t="shared" ca="1" si="54"/>
        <v>#NAME?</v>
      </c>
      <c r="AK187" s="1" t="e">
        <f ca="1"/>
        <v>#NAME?</v>
      </c>
      <c r="AL187" s="1" t="e">
        <f t="shared" ca="1" si="46"/>
        <v>#NAME?</v>
      </c>
      <c r="AN187" s="1">
        <f t="shared" si="55"/>
        <v>3.9945422381167139</v>
      </c>
      <c r="AO187" s="1" t="e">
        <f ca="1"/>
        <v>#NAME?</v>
      </c>
      <c r="AP187" s="1" t="e">
        <f t="shared" ca="1" si="56"/>
        <v>#NAME?</v>
      </c>
    </row>
    <row r="188" spans="1:42" x14ac:dyDescent="0.25">
      <c r="A188" s="1" t="s">
        <v>203</v>
      </c>
      <c r="B188" s="1">
        <v>187</v>
      </c>
      <c r="C188" s="1">
        <v>51154.880005348001</v>
      </c>
      <c r="D188" s="1">
        <f t="shared" si="47"/>
        <v>4.7088870702730308</v>
      </c>
      <c r="E188" s="1">
        <v>34788.3080419814</v>
      </c>
      <c r="F188" s="1">
        <f t="shared" si="48"/>
        <v>4.5414333069913431</v>
      </c>
      <c r="G188" s="1">
        <v>9211.6919580185804</v>
      </c>
      <c r="H188" s="1">
        <f t="shared" si="49"/>
        <v>3.9643394065859909</v>
      </c>
      <c r="I188" s="1">
        <v>10204.9267999198</v>
      </c>
      <c r="J188" s="1">
        <f t="shared" si="50"/>
        <v>0.19949077778802185</v>
      </c>
      <c r="K188" s="1">
        <f t="shared" si="51"/>
        <v>4.0088098938629741</v>
      </c>
      <c r="L188" s="1">
        <v>5552.5870713283002</v>
      </c>
      <c r="M188" s="1">
        <f t="shared" si="52"/>
        <v>3.7444953775403533</v>
      </c>
      <c r="N188" s="1">
        <v>8751.7781937295294</v>
      </c>
      <c r="O188" s="1">
        <f t="shared" si="53"/>
        <v>3.9420963023097397</v>
      </c>
      <c r="P188" s="1">
        <v>-3199.1911224012301</v>
      </c>
      <c r="Q188" s="1" t="e">
        <f ca="1"/>
        <v>#NAME?</v>
      </c>
      <c r="R188" s="1" t="e">
        <f t="shared" ca="1" si="38"/>
        <v>#NAME?</v>
      </c>
      <c r="S188" s="4">
        <v>3320642000000</v>
      </c>
      <c r="T188" s="1">
        <v>136678</v>
      </c>
      <c r="U188" s="1" t="e">
        <f ca="1"/>
        <v>#NAME?</v>
      </c>
      <c r="V188" s="1" t="e">
        <f t="shared" ca="1" si="39"/>
        <v>#NAME?</v>
      </c>
      <c r="W188" s="1" t="e">
        <f ca="1"/>
        <v>#NAME?</v>
      </c>
      <c r="X188" s="1" t="e">
        <f t="shared" ca="1" si="40"/>
        <v>#NAME?</v>
      </c>
      <c r="Y188" s="1" t="e">
        <f ca="1"/>
        <v>#NAME?</v>
      </c>
      <c r="Z188" s="1" t="e">
        <f t="shared" ca="1" si="41"/>
        <v>#NAME?</v>
      </c>
      <c r="AA188" s="1" t="e">
        <f ca="1"/>
        <v>#NAME?</v>
      </c>
      <c r="AB188" s="1" t="e">
        <f t="shared" ca="1" si="42"/>
        <v>#NAME?</v>
      </c>
      <c r="AC188" s="1" t="e">
        <f ca="1"/>
        <v>#NAME?</v>
      </c>
      <c r="AD188" s="1" t="e">
        <f t="shared" ca="1" si="43"/>
        <v>#NAME?</v>
      </c>
      <c r="AE188" s="1" t="e">
        <f ca="1"/>
        <v>#NAME?</v>
      </c>
      <c r="AF188" s="1" t="e">
        <f t="shared" ca="1" si="44"/>
        <v>#NAME?</v>
      </c>
      <c r="AG188" s="1" t="e">
        <f ca="1"/>
        <v>#NAME?</v>
      </c>
      <c r="AH188" s="1" t="e">
        <f t="shared" ca="1" si="45"/>
        <v>#NAME?</v>
      </c>
      <c r="AI188" s="1" t="e">
        <f ca="1"/>
        <v>#NAME?</v>
      </c>
      <c r="AJ188" s="1" t="e">
        <f t="shared" ca="1" si="54"/>
        <v>#NAME?</v>
      </c>
      <c r="AK188" s="1" t="e">
        <f ca="1"/>
        <v>#NAME?</v>
      </c>
      <c r="AL188" s="1" t="e">
        <f t="shared" ca="1" si="46"/>
        <v>#NAME?</v>
      </c>
      <c r="AN188" s="1">
        <f t="shared" si="55"/>
        <v>3.9944000161778739</v>
      </c>
      <c r="AO188" s="1" t="e">
        <f ca="1"/>
        <v>#NAME?</v>
      </c>
      <c r="AP188" s="1" t="e">
        <f t="shared" ca="1" si="56"/>
        <v>#NAME?</v>
      </c>
    </row>
    <row r="189" spans="1:42" x14ac:dyDescent="0.25">
      <c r="A189" s="1" t="s">
        <v>204</v>
      </c>
      <c r="B189" s="1">
        <v>188</v>
      </c>
      <c r="C189" s="1">
        <v>51454.7385196002</v>
      </c>
      <c r="D189" s="1">
        <f t="shared" si="47"/>
        <v>4.7114253755640334</v>
      </c>
      <c r="E189" s="1">
        <v>35030.465483787098</v>
      </c>
      <c r="F189" s="1">
        <f t="shared" si="48"/>
        <v>4.544445908248238</v>
      </c>
      <c r="G189" s="1">
        <v>9009.9117841211391</v>
      </c>
      <c r="H189" s="1">
        <f t="shared" si="49"/>
        <v>3.954720538830677</v>
      </c>
      <c r="I189" s="1">
        <v>10262.5639281737</v>
      </c>
      <c r="J189" s="1">
        <f t="shared" si="50"/>
        <v>0.19944837391923531</v>
      </c>
      <c r="K189" s="1">
        <f t="shared" si="51"/>
        <v>4.0112558754689447</v>
      </c>
      <c r="L189" s="1">
        <v>5748.5780773872602</v>
      </c>
      <c r="M189" s="1">
        <f t="shared" si="52"/>
        <v>3.75956043433969</v>
      </c>
      <c r="N189" s="1">
        <v>8718.2092776699792</v>
      </c>
      <c r="O189" s="1">
        <f t="shared" si="53"/>
        <v>3.9404272898991897</v>
      </c>
      <c r="P189" s="1">
        <v>-2969.6312002827199</v>
      </c>
      <c r="Q189" s="1" t="e">
        <f ca="1"/>
        <v>#NAME?</v>
      </c>
      <c r="R189" s="1" t="e">
        <f t="shared" ca="1" si="38"/>
        <v>#NAME?</v>
      </c>
      <c r="S189" s="4">
        <v>3305382000000</v>
      </c>
      <c r="T189" s="1">
        <v>137056.66666666701</v>
      </c>
      <c r="U189" s="1" t="e">
        <f ca="1"/>
        <v>#NAME?</v>
      </c>
      <c r="V189" s="1" t="e">
        <f t="shared" ca="1" si="39"/>
        <v>#NAME?</v>
      </c>
      <c r="W189" s="1" t="e">
        <f ca="1"/>
        <v>#NAME?</v>
      </c>
      <c r="X189" s="1" t="e">
        <f t="shared" ca="1" si="40"/>
        <v>#NAME?</v>
      </c>
      <c r="Y189" s="1" t="e">
        <f ca="1"/>
        <v>#NAME?</v>
      </c>
      <c r="Z189" s="1" t="e">
        <f t="shared" ca="1" si="41"/>
        <v>#NAME?</v>
      </c>
      <c r="AA189" s="1" t="e">
        <f ca="1"/>
        <v>#NAME?</v>
      </c>
      <c r="AB189" s="1" t="e">
        <f t="shared" ca="1" si="42"/>
        <v>#NAME?</v>
      </c>
      <c r="AC189" s="1" t="e">
        <f ca="1"/>
        <v>#NAME?</v>
      </c>
      <c r="AD189" s="1" t="e">
        <f t="shared" ca="1" si="43"/>
        <v>#NAME?</v>
      </c>
      <c r="AE189" s="1" t="e">
        <f ca="1"/>
        <v>#NAME?</v>
      </c>
      <c r="AF189" s="1" t="e">
        <f t="shared" ca="1" si="44"/>
        <v>#NAME?</v>
      </c>
      <c r="AG189" s="1" t="e">
        <f ca="1"/>
        <v>#NAME?</v>
      </c>
      <c r="AH189" s="1" t="e">
        <f t="shared" ca="1" si="45"/>
        <v>#NAME?</v>
      </c>
      <c r="AI189" s="1" t="e">
        <f ca="1"/>
        <v>#NAME?</v>
      </c>
      <c r="AJ189" s="1" t="e">
        <f t="shared" ca="1" si="54"/>
        <v>#NAME?</v>
      </c>
      <c r="AK189" s="1" t="e">
        <f ca="1"/>
        <v>#NAME?</v>
      </c>
      <c r="AL189" s="1" t="e">
        <f t="shared" ca="1" si="46"/>
        <v>#NAME?</v>
      </c>
      <c r="AN189" s="1">
        <f t="shared" si="55"/>
        <v>3.9968894730471689</v>
      </c>
      <c r="AO189" s="1" t="e">
        <f ca="1"/>
        <v>#NAME?</v>
      </c>
      <c r="AP189" s="1" t="e">
        <f t="shared" ca="1" si="56"/>
        <v>#NAME?</v>
      </c>
    </row>
    <row r="190" spans="1:42" x14ac:dyDescent="0.25">
      <c r="A190" s="1" t="s">
        <v>205</v>
      </c>
      <c r="B190" s="1">
        <v>189</v>
      </c>
      <c r="C190" s="1">
        <v>51491.991257746799</v>
      </c>
      <c r="D190" s="1">
        <f t="shared" si="47"/>
        <v>4.7117396868462675</v>
      </c>
      <c r="E190" s="1">
        <v>35168.7840350755</v>
      </c>
      <c r="F190" s="1">
        <f t="shared" si="48"/>
        <v>4.5461573527927426</v>
      </c>
      <c r="G190" s="1">
        <v>8928.1857828607899</v>
      </c>
      <c r="H190" s="1">
        <f t="shared" si="49"/>
        <v>3.9507632187386426</v>
      </c>
      <c r="I190" s="1">
        <v>10254.124128020099</v>
      </c>
      <c r="J190" s="1">
        <f t="shared" si="50"/>
        <v>0.19914017456991237</v>
      </c>
      <c r="K190" s="1">
        <f t="shared" si="51"/>
        <v>4.0108985703491529</v>
      </c>
      <c r="L190" s="1">
        <v>5849.6219341403603</v>
      </c>
      <c r="M190" s="1">
        <f t="shared" si="52"/>
        <v>3.7671277981809066</v>
      </c>
      <c r="N190" s="1">
        <v>8825.6106769923699</v>
      </c>
      <c r="O190" s="1">
        <f t="shared" si="53"/>
        <v>3.9457447655581306</v>
      </c>
      <c r="P190" s="1">
        <v>-2975.9887428520101</v>
      </c>
      <c r="Q190" s="1" t="e">
        <f ca="1"/>
        <v>#NAME?</v>
      </c>
      <c r="R190" s="1" t="e">
        <f t="shared" ca="1" si="38"/>
        <v>#NAME?</v>
      </c>
      <c r="S190" s="4">
        <v>3306037000000</v>
      </c>
      <c r="T190" s="1">
        <v>137603.66666666701</v>
      </c>
      <c r="U190" s="1" t="e">
        <f ca="1"/>
        <v>#NAME?</v>
      </c>
      <c r="V190" s="1" t="e">
        <f t="shared" ca="1" si="39"/>
        <v>#NAME?</v>
      </c>
      <c r="W190" s="1" t="e">
        <f ca="1"/>
        <v>#NAME?</v>
      </c>
      <c r="X190" s="1" t="e">
        <f t="shared" ca="1" si="40"/>
        <v>#NAME?</v>
      </c>
      <c r="Y190" s="1" t="e">
        <f ca="1"/>
        <v>#NAME?</v>
      </c>
      <c r="Z190" s="1" t="e">
        <f t="shared" ca="1" si="41"/>
        <v>#NAME?</v>
      </c>
      <c r="AA190" s="1" t="e">
        <f ca="1"/>
        <v>#NAME?</v>
      </c>
      <c r="AB190" s="1" t="e">
        <f t="shared" ca="1" si="42"/>
        <v>#NAME?</v>
      </c>
      <c r="AC190" s="1" t="e">
        <f ca="1"/>
        <v>#NAME?</v>
      </c>
      <c r="AD190" s="1" t="e">
        <f t="shared" ca="1" si="43"/>
        <v>#NAME?</v>
      </c>
      <c r="AE190" s="1" t="e">
        <f ca="1"/>
        <v>#NAME?</v>
      </c>
      <c r="AF190" s="1" t="e">
        <f t="shared" ca="1" si="44"/>
        <v>#NAME?</v>
      </c>
      <c r="AG190" s="1" t="e">
        <f ca="1"/>
        <v>#NAME?</v>
      </c>
      <c r="AH190" s="1" t="e">
        <f t="shared" ca="1" si="45"/>
        <v>#NAME?</v>
      </c>
      <c r="AI190" s="1" t="e">
        <f ca="1"/>
        <v>#NAME?</v>
      </c>
      <c r="AJ190" s="1" t="e">
        <f t="shared" ca="1" si="54"/>
        <v>#NAME?</v>
      </c>
      <c r="AK190" s="1" t="e">
        <f ca="1"/>
        <v>#NAME?</v>
      </c>
      <c r="AL190" s="1" t="e">
        <f t="shared" ca="1" si="46"/>
        <v>#NAME?</v>
      </c>
      <c r="AN190" s="1">
        <f t="shared" si="55"/>
        <v>3.996065707172729</v>
      </c>
      <c r="AO190" s="1" t="e">
        <f ca="1"/>
        <v>#NAME?</v>
      </c>
      <c r="AP190" s="1" t="e">
        <f t="shared" ca="1" si="56"/>
        <v>#NAME?</v>
      </c>
    </row>
    <row r="191" spans="1:42" x14ac:dyDescent="0.25">
      <c r="A191" s="1" t="s">
        <v>206</v>
      </c>
      <c r="B191" s="1">
        <v>190</v>
      </c>
      <c r="C191" s="1">
        <v>51704.634165770498</v>
      </c>
      <c r="D191" s="1">
        <f t="shared" si="47"/>
        <v>4.7135294696399326</v>
      </c>
      <c r="E191" s="1">
        <v>35182.070737244598</v>
      </c>
      <c r="F191" s="1">
        <f t="shared" si="48"/>
        <v>4.5463213974663148</v>
      </c>
      <c r="G191" s="1">
        <v>9006.4357881600099</v>
      </c>
      <c r="H191" s="1">
        <f t="shared" si="49"/>
        <v>3.9545529570411149</v>
      </c>
      <c r="I191" s="1">
        <v>10324.6803680249</v>
      </c>
      <c r="J191" s="1">
        <f t="shared" si="50"/>
        <v>0.19968578319155858</v>
      </c>
      <c r="K191" s="1">
        <f t="shared" si="51"/>
        <v>4.013876615626093</v>
      </c>
      <c r="L191" s="1">
        <v>5924.8549541296597</v>
      </c>
      <c r="M191" s="1">
        <f t="shared" si="52"/>
        <v>3.7726777228859958</v>
      </c>
      <c r="N191" s="1">
        <v>8852.6539743232297</v>
      </c>
      <c r="O191" s="1">
        <f t="shared" si="53"/>
        <v>3.9470734891852906</v>
      </c>
      <c r="P191" s="1">
        <v>-2927.79902019357</v>
      </c>
      <c r="Q191" s="1" t="e">
        <f ca="1"/>
        <v>#NAME?</v>
      </c>
      <c r="R191" s="1" t="e">
        <f t="shared" ca="1" si="38"/>
        <v>#NAME?</v>
      </c>
      <c r="S191" s="4">
        <v>3330168000000</v>
      </c>
      <c r="T191" s="1">
        <v>137969.33333333299</v>
      </c>
      <c r="U191" s="1" t="e">
        <f ca="1"/>
        <v>#NAME?</v>
      </c>
      <c r="V191" s="1" t="e">
        <f t="shared" ca="1" si="39"/>
        <v>#NAME?</v>
      </c>
      <c r="W191" s="1" t="e">
        <f ca="1"/>
        <v>#NAME?</v>
      </c>
      <c r="X191" s="1" t="e">
        <f t="shared" ca="1" si="40"/>
        <v>#NAME?</v>
      </c>
      <c r="Y191" s="1" t="e">
        <f ca="1"/>
        <v>#NAME?</v>
      </c>
      <c r="Z191" s="1" t="e">
        <f t="shared" ca="1" si="41"/>
        <v>#NAME?</v>
      </c>
      <c r="AA191" s="1" t="e">
        <f ca="1"/>
        <v>#NAME?</v>
      </c>
      <c r="AB191" s="1" t="e">
        <f t="shared" ca="1" si="42"/>
        <v>#NAME?</v>
      </c>
      <c r="AC191" s="1" t="e">
        <f ca="1"/>
        <v>#NAME?</v>
      </c>
      <c r="AD191" s="1" t="e">
        <f t="shared" ca="1" si="43"/>
        <v>#NAME?</v>
      </c>
      <c r="AE191" s="1" t="e">
        <f ca="1"/>
        <v>#NAME?</v>
      </c>
      <c r="AF191" s="1" t="e">
        <f t="shared" ca="1" si="44"/>
        <v>#NAME?</v>
      </c>
      <c r="AG191" s="1" t="e">
        <f ca="1"/>
        <v>#NAME?</v>
      </c>
      <c r="AH191" s="1" t="e">
        <f t="shared" ca="1" si="45"/>
        <v>#NAME?</v>
      </c>
      <c r="AI191" s="1" t="e">
        <f ca="1"/>
        <v>#NAME?</v>
      </c>
      <c r="AJ191" s="1" t="e">
        <f t="shared" ca="1" si="54"/>
        <v>#NAME?</v>
      </c>
      <c r="AK191" s="1" t="e">
        <f ca="1"/>
        <v>#NAME?</v>
      </c>
      <c r="AL191" s="1" t="e">
        <f t="shared" ca="1" si="46"/>
        <v>#NAME?</v>
      </c>
      <c r="AN191" s="1">
        <f t="shared" si="55"/>
        <v>3.9959808159432804</v>
      </c>
      <c r="AO191" s="1" t="e">
        <f ca="1"/>
        <v>#NAME?</v>
      </c>
      <c r="AP191" s="1" t="e">
        <f t="shared" ca="1" si="56"/>
        <v>#NAME?</v>
      </c>
    </row>
    <row r="192" spans="1:42" x14ac:dyDescent="0.25">
      <c r="A192" s="1" t="s">
        <v>207</v>
      </c>
      <c r="B192" s="1">
        <v>191</v>
      </c>
      <c r="C192" s="1">
        <v>51882.080500029799</v>
      </c>
      <c r="D192" s="1">
        <f t="shared" si="47"/>
        <v>4.7150173832093802</v>
      </c>
      <c r="E192" s="1">
        <v>35325.549059464603</v>
      </c>
      <c r="F192" s="1">
        <f t="shared" si="48"/>
        <v>4.548088920744024</v>
      </c>
      <c r="G192" s="1">
        <v>8892.5651025286206</v>
      </c>
      <c r="H192" s="1">
        <f t="shared" si="49"/>
        <v>3.9490270533422644</v>
      </c>
      <c r="I192" s="1">
        <v>10345.1708589627</v>
      </c>
      <c r="J192" s="1">
        <f t="shared" si="50"/>
        <v>0.19939776430046513</v>
      </c>
      <c r="K192" s="1">
        <f t="shared" si="51"/>
        <v>4.0147376677897588</v>
      </c>
      <c r="L192" s="1">
        <v>6094.2389310803801</v>
      </c>
      <c r="M192" s="1">
        <f t="shared" si="52"/>
        <v>3.7849194771947614</v>
      </c>
      <c r="N192" s="1">
        <v>8879.2996139865299</v>
      </c>
      <c r="O192" s="1">
        <f t="shared" si="53"/>
        <v>3.9483787106235417</v>
      </c>
      <c r="P192" s="1">
        <v>-2785.0606829061599</v>
      </c>
      <c r="Q192" s="1" t="e">
        <f ca="1"/>
        <v>#NAME?</v>
      </c>
      <c r="R192" s="1" t="e">
        <f t="shared" ca="1" si="38"/>
        <v>#NAME?</v>
      </c>
      <c r="S192" s="4">
        <v>3316244000000</v>
      </c>
      <c r="T192" s="1">
        <v>138054</v>
      </c>
      <c r="U192" s="1" t="e">
        <f ca="1"/>
        <v>#NAME?</v>
      </c>
      <c r="V192" s="1" t="e">
        <f t="shared" ca="1" si="39"/>
        <v>#NAME?</v>
      </c>
      <c r="W192" s="1" t="e">
        <f ca="1"/>
        <v>#NAME?</v>
      </c>
      <c r="X192" s="1" t="e">
        <f t="shared" ca="1" si="40"/>
        <v>#NAME?</v>
      </c>
      <c r="Y192" s="1" t="e">
        <f ca="1"/>
        <v>#NAME?</v>
      </c>
      <c r="Z192" s="1" t="e">
        <f t="shared" ca="1" si="41"/>
        <v>#NAME?</v>
      </c>
      <c r="AA192" s="1" t="e">
        <f ca="1"/>
        <v>#NAME?</v>
      </c>
      <c r="AB192" s="1" t="e">
        <f t="shared" ca="1" si="42"/>
        <v>#NAME?</v>
      </c>
      <c r="AC192" s="1" t="e">
        <f ca="1"/>
        <v>#NAME?</v>
      </c>
      <c r="AD192" s="1" t="e">
        <f t="shared" ca="1" si="43"/>
        <v>#NAME?</v>
      </c>
      <c r="AE192" s="1" t="e">
        <f ca="1"/>
        <v>#NAME?</v>
      </c>
      <c r="AF192" s="1" t="e">
        <f t="shared" ca="1" si="44"/>
        <v>#NAME?</v>
      </c>
      <c r="AG192" s="1" t="e">
        <f ca="1"/>
        <v>#NAME?</v>
      </c>
      <c r="AH192" s="1" t="e">
        <f t="shared" ca="1" si="45"/>
        <v>#NAME?</v>
      </c>
      <c r="AI192" s="1" t="e">
        <f ca="1"/>
        <v>#NAME?</v>
      </c>
      <c r="AJ192" s="1" t="e">
        <f t="shared" ca="1" si="54"/>
        <v>#NAME?</v>
      </c>
      <c r="AK192" s="1" t="e">
        <f ca="1"/>
        <v>#NAME?</v>
      </c>
      <c r="AL192" s="1" t="e">
        <f t="shared" ca="1" si="46"/>
        <v>#NAME?</v>
      </c>
      <c r="AN192" s="1">
        <f t="shared" si="55"/>
        <v>3.9979532949387471</v>
      </c>
      <c r="AO192" s="1" t="e">
        <f ca="1"/>
        <v>#NAME?</v>
      </c>
      <c r="AP192" s="1" t="e">
        <f t="shared" ca="1" si="56"/>
        <v>#NAME?</v>
      </c>
    </row>
    <row r="193" spans="1:42" x14ac:dyDescent="0.25">
      <c r="A193" s="1" t="s">
        <v>208</v>
      </c>
      <c r="B193" s="1">
        <v>192</v>
      </c>
      <c r="C193" s="1">
        <v>52066.169356303399</v>
      </c>
      <c r="D193" s="1">
        <f t="shared" si="47"/>
        <v>4.7165556266747943</v>
      </c>
      <c r="E193" s="1">
        <v>35374.934368901297</v>
      </c>
      <c r="F193" s="1">
        <f t="shared" si="48"/>
        <v>4.5486956427867513</v>
      </c>
      <c r="G193" s="1">
        <v>8760.9046689715997</v>
      </c>
      <c r="H193" s="1">
        <f t="shared" si="49"/>
        <v>3.9425489546219805</v>
      </c>
      <c r="I193" s="1">
        <v>10400.3975841151</v>
      </c>
      <c r="J193" s="1">
        <f t="shared" si="50"/>
        <v>0.19975346204062494</v>
      </c>
      <c r="K193" s="1">
        <f t="shared" si="51"/>
        <v>4.0170499417302103</v>
      </c>
      <c r="L193" s="1">
        <v>6218.23537375879</v>
      </c>
      <c r="M193" s="1">
        <f t="shared" si="52"/>
        <v>3.7936671570107996</v>
      </c>
      <c r="N193" s="1">
        <v>8773.1591095965105</v>
      </c>
      <c r="O193" s="1">
        <f t="shared" si="53"/>
        <v>3.9431560057740627</v>
      </c>
      <c r="P193" s="1">
        <v>-2554.92373583772</v>
      </c>
      <c r="Q193" s="1" t="e">
        <f ca="1"/>
        <v>#NAME?</v>
      </c>
      <c r="R193" s="1" t="e">
        <f t="shared" ca="1" si="38"/>
        <v>#NAME?</v>
      </c>
      <c r="S193" s="4">
        <v>3297634000000</v>
      </c>
      <c r="T193" s="1">
        <v>138288</v>
      </c>
      <c r="U193" s="1" t="e">
        <f ca="1"/>
        <v>#NAME?</v>
      </c>
      <c r="V193" s="1" t="e">
        <f t="shared" ca="1" si="39"/>
        <v>#NAME?</v>
      </c>
      <c r="W193" s="1" t="e">
        <f ca="1"/>
        <v>#NAME?</v>
      </c>
      <c r="X193" s="1" t="e">
        <f t="shared" ca="1" si="40"/>
        <v>#NAME?</v>
      </c>
      <c r="Y193" s="1" t="e">
        <f ca="1"/>
        <v>#NAME?</v>
      </c>
      <c r="Z193" s="1" t="e">
        <f t="shared" ca="1" si="41"/>
        <v>#NAME?</v>
      </c>
      <c r="AA193" s="1" t="e">
        <f ca="1"/>
        <v>#NAME?</v>
      </c>
      <c r="AB193" s="1" t="e">
        <f t="shared" ca="1" si="42"/>
        <v>#NAME?</v>
      </c>
      <c r="AC193" s="1" t="e">
        <f ca="1"/>
        <v>#NAME?</v>
      </c>
      <c r="AD193" s="1" t="e">
        <f t="shared" ca="1" si="43"/>
        <v>#NAME?</v>
      </c>
      <c r="AE193" s="1" t="e">
        <f ca="1"/>
        <v>#NAME?</v>
      </c>
      <c r="AF193" s="1" t="e">
        <f t="shared" ca="1" si="44"/>
        <v>#NAME?</v>
      </c>
      <c r="AG193" s="1" t="e">
        <f ca="1"/>
        <v>#NAME?</v>
      </c>
      <c r="AH193" s="1" t="e">
        <f t="shared" ca="1" si="45"/>
        <v>#NAME?</v>
      </c>
      <c r="AI193" s="1" t="e">
        <f ca="1"/>
        <v>#NAME?</v>
      </c>
      <c r="AJ193" s="1" t="e">
        <f t="shared" ca="1" si="54"/>
        <v>#NAME?</v>
      </c>
      <c r="AK193" s="1" t="e">
        <f ca="1"/>
        <v>#NAME?</v>
      </c>
      <c r="AL193" s="1" t="e">
        <f t="shared" ca="1" si="46"/>
        <v>#NAME?</v>
      </c>
      <c r="AN193" s="1">
        <f t="shared" si="55"/>
        <v>3.9999006666565293</v>
      </c>
      <c r="AO193" s="1" t="e">
        <f ca="1"/>
        <v>#NAME?</v>
      </c>
      <c r="AP193" s="1" t="e">
        <f t="shared" ca="1" si="56"/>
        <v>#NAME?</v>
      </c>
    </row>
    <row r="194" spans="1:42" x14ac:dyDescent="0.25">
      <c r="A194" s="1" t="s">
        <v>209</v>
      </c>
      <c r="B194" s="1">
        <v>193</v>
      </c>
      <c r="C194" s="1">
        <v>51740.416614496498</v>
      </c>
      <c r="D194" s="1">
        <f t="shared" si="47"/>
        <v>4.713829921339328</v>
      </c>
      <c r="E194" s="1">
        <v>35249.023044936599</v>
      </c>
      <c r="F194" s="1">
        <f t="shared" si="48"/>
        <v>4.5471470846728712</v>
      </c>
      <c r="G194" s="1">
        <v>8511.7102809281205</v>
      </c>
      <c r="H194" s="1">
        <f t="shared" si="49"/>
        <v>3.9300168328156859</v>
      </c>
      <c r="I194" s="1">
        <v>10401.9453432358</v>
      </c>
      <c r="J194" s="1">
        <f t="shared" si="50"/>
        <v>0.20104100476688874</v>
      </c>
      <c r="K194" s="1">
        <f t="shared" si="51"/>
        <v>4.0171145674552085</v>
      </c>
      <c r="L194" s="1">
        <v>6303.40632763745</v>
      </c>
      <c r="M194" s="1">
        <f t="shared" si="52"/>
        <v>3.79957530334377</v>
      </c>
      <c r="N194" s="1">
        <v>8786.7634945007194</v>
      </c>
      <c r="O194" s="1">
        <f t="shared" si="53"/>
        <v>3.9438289370402071</v>
      </c>
      <c r="P194" s="1">
        <v>-2483.3571668632699</v>
      </c>
      <c r="Q194" s="1" t="e">
        <f ca="1"/>
        <v>#NAME?</v>
      </c>
      <c r="R194" s="1" t="e">
        <f t="shared" ref="R194:R254" ca="1" si="57">P194/Q194</f>
        <v>#NAME?</v>
      </c>
      <c r="S194" s="4">
        <v>3254287000000</v>
      </c>
      <c r="T194" s="1">
        <v>138325.66666666701</v>
      </c>
      <c r="U194" s="1" t="e">
        <f ca="1"/>
        <v>#NAME?</v>
      </c>
      <c r="V194" s="1" t="e">
        <f t="shared" ref="V194:V254" ca="1" si="58">100*(D194-U194)/U194</f>
        <v>#NAME?</v>
      </c>
      <c r="W194" s="1" t="e">
        <f ca="1"/>
        <v>#NAME?</v>
      </c>
      <c r="X194" s="1" t="e">
        <f t="shared" ref="X194:X254" ca="1" si="59">100*(F194-W194)/W194</f>
        <v>#NAME?</v>
      </c>
      <c r="Y194" s="1" t="e">
        <f ca="1"/>
        <v>#NAME?</v>
      </c>
      <c r="Z194" s="1" t="e">
        <f t="shared" ref="Z194:Z254" ca="1" si="60">100*(H194-Y194)/Y194</f>
        <v>#NAME?</v>
      </c>
      <c r="AA194" s="1" t="e">
        <f ca="1"/>
        <v>#NAME?</v>
      </c>
      <c r="AB194" s="1" t="e">
        <f t="shared" ref="AB194:AB254" ca="1" si="61">100*(K194-AA194)/AA194</f>
        <v>#NAME?</v>
      </c>
      <c r="AC194" s="1" t="e">
        <f ca="1"/>
        <v>#NAME?</v>
      </c>
      <c r="AD194" s="1" t="e">
        <f t="shared" ref="AD194:AD254" ca="1" si="62">100*(M194-AC194)/AC194</f>
        <v>#NAME?</v>
      </c>
      <c r="AE194" s="1" t="e">
        <f ca="1"/>
        <v>#NAME?</v>
      </c>
      <c r="AF194" s="1" t="e">
        <f t="shared" ref="AF194:AF254" ca="1" si="63">100*(O194-AE194)/AE194</f>
        <v>#NAME?</v>
      </c>
      <c r="AG194" s="1" t="e">
        <f ca="1"/>
        <v>#NAME?</v>
      </c>
      <c r="AH194" s="1" t="e">
        <f t="shared" ref="AH194:AH254" ca="1" si="64">100*(R194-AG194)</f>
        <v>#NAME?</v>
      </c>
      <c r="AI194" s="1" t="e">
        <f ca="1"/>
        <v>#NAME?</v>
      </c>
      <c r="AJ194" s="1" t="e">
        <f t="shared" ca="1" si="54"/>
        <v>#NAME?</v>
      </c>
      <c r="AK194" s="1" t="e">
        <f ca="1"/>
        <v>#NAME?</v>
      </c>
      <c r="AL194" s="1" t="e">
        <f t="shared" ref="AL194:AL254" ca="1" si="65">100*(J194-AK194)</f>
        <v>#NAME?</v>
      </c>
      <c r="AN194" s="1">
        <f t="shared" si="55"/>
        <v>3.9991680407919246</v>
      </c>
      <c r="AO194" s="1" t="e">
        <f ca="1"/>
        <v>#NAME?</v>
      </c>
      <c r="AP194" s="1" t="e">
        <f t="shared" ca="1" si="56"/>
        <v>#NAME?</v>
      </c>
    </row>
    <row r="195" spans="1:42" x14ac:dyDescent="0.25">
      <c r="A195" s="1" t="s">
        <v>210</v>
      </c>
      <c r="B195" s="1">
        <v>194</v>
      </c>
      <c r="C195" s="1">
        <v>51922.5835086796</v>
      </c>
      <c r="D195" s="1">
        <f t="shared" ref="D195:D254" si="66">LOG(C195)</f>
        <v>4.7153562934928006</v>
      </c>
      <c r="E195" s="1">
        <v>35268.763150973202</v>
      </c>
      <c r="F195" s="1">
        <f t="shared" ref="F195:F254" si="67">LOG(E195)</f>
        <v>4.5473902295533408</v>
      </c>
      <c r="G195" s="1">
        <v>8339.0419516044203</v>
      </c>
      <c r="H195" s="1">
        <f t="shared" ref="H195:H254" si="68">LOG(G195)</f>
        <v>3.9211161586675329</v>
      </c>
      <c r="I195" s="1">
        <v>10469.0228826933</v>
      </c>
      <c r="J195" s="1">
        <f t="shared" ref="J195:J254" si="69">I195/C195</f>
        <v>0.20162754191426652</v>
      </c>
      <c r="K195" s="1">
        <f t="shared" ref="K195:K254" si="70">LOG(I195)</f>
        <v>4.0199061490659158</v>
      </c>
      <c r="L195" s="1">
        <v>6474.2372435560201</v>
      </c>
      <c r="M195" s="1">
        <f t="shared" ref="M195:M254" si="71">LOG(L195)</f>
        <v>3.8111886097529042</v>
      </c>
      <c r="N195" s="1">
        <v>8684.5673329826404</v>
      </c>
      <c r="O195" s="1">
        <f t="shared" ref="O195:O254" si="72">LOG(N195)</f>
        <v>3.9387481866773264</v>
      </c>
      <c r="P195" s="1">
        <v>-2210.3300894266199</v>
      </c>
      <c r="Q195" s="1" t="e">
        <f ca="1"/>
        <v>#NAME?</v>
      </c>
      <c r="R195" s="1" t="e">
        <f t="shared" ca="1" si="57"/>
        <v>#NAME?</v>
      </c>
      <c r="S195" s="4">
        <v>3244464000000</v>
      </c>
      <c r="T195" s="1">
        <v>137858</v>
      </c>
      <c r="U195" s="1" t="e">
        <f ca="1"/>
        <v>#NAME?</v>
      </c>
      <c r="V195" s="1" t="e">
        <f t="shared" ca="1" si="58"/>
        <v>#NAME?</v>
      </c>
      <c r="W195" s="1" t="e">
        <f ca="1"/>
        <v>#NAME?</v>
      </c>
      <c r="X195" s="1" t="e">
        <f t="shared" ca="1" si="59"/>
        <v>#NAME?</v>
      </c>
      <c r="Y195" s="1" t="e">
        <f ca="1"/>
        <v>#NAME?</v>
      </c>
      <c r="Z195" s="1" t="e">
        <f t="shared" ca="1" si="60"/>
        <v>#NAME?</v>
      </c>
      <c r="AA195" s="1" t="e">
        <f ca="1"/>
        <v>#NAME?</v>
      </c>
      <c r="AB195" s="1" t="e">
        <f t="shared" ca="1" si="61"/>
        <v>#NAME?</v>
      </c>
      <c r="AC195" s="1" t="e">
        <f ca="1"/>
        <v>#NAME?</v>
      </c>
      <c r="AD195" s="1" t="e">
        <f t="shared" ca="1" si="62"/>
        <v>#NAME?</v>
      </c>
      <c r="AE195" s="1" t="e">
        <f ca="1"/>
        <v>#NAME?</v>
      </c>
      <c r="AF195" s="1" t="e">
        <f t="shared" ca="1" si="63"/>
        <v>#NAME?</v>
      </c>
      <c r="AG195" s="1" t="e">
        <f ca="1"/>
        <v>#NAME?</v>
      </c>
      <c r="AH195" s="1" t="e">
        <f t="shared" ca="1" si="64"/>
        <v>#NAME?</v>
      </c>
      <c r="AI195" s="1" t="e">
        <f ca="1"/>
        <v>#NAME?</v>
      </c>
      <c r="AJ195" s="1" t="e">
        <f t="shared" ref="AJ195:AJ254" ca="1" si="73">-100*(P195-AI195)/AI195</f>
        <v>#NAME?</v>
      </c>
      <c r="AK195" s="1" t="e">
        <f ca="1"/>
        <v>#NAME?</v>
      </c>
      <c r="AL195" s="1" t="e">
        <f t="shared" ca="1" si="65"/>
        <v>#NAME?</v>
      </c>
      <c r="AN195" s="1">
        <f t="shared" si="55"/>
        <v>4.0021083649102973</v>
      </c>
      <c r="AO195" s="1" t="e">
        <f ca="1"/>
        <v>#NAME?</v>
      </c>
      <c r="AP195" s="1" t="e">
        <f t="shared" ca="1" si="56"/>
        <v>#NAME?</v>
      </c>
    </row>
    <row r="196" spans="1:42" x14ac:dyDescent="0.25">
      <c r="A196" s="1" t="s">
        <v>211</v>
      </c>
      <c r="B196" s="1">
        <v>195</v>
      </c>
      <c r="C196" s="1">
        <v>51523.315688319497</v>
      </c>
      <c r="D196" s="1">
        <f t="shared" si="66"/>
        <v>4.7120038034745448</v>
      </c>
      <c r="E196" s="1">
        <v>34911.768371476697</v>
      </c>
      <c r="F196" s="1">
        <f t="shared" si="67"/>
        <v>4.5429718475115006</v>
      </c>
      <c r="G196" s="1">
        <v>8151.9603019986798</v>
      </c>
      <c r="H196" s="1">
        <f t="shared" si="68"/>
        <v>3.9112620560983582</v>
      </c>
      <c r="I196" s="1">
        <v>10528.038517294101</v>
      </c>
      <c r="J196" s="1">
        <f t="shared" si="69"/>
        <v>0.2043354232282229</v>
      </c>
      <c r="K196" s="1">
        <f t="shared" si="70"/>
        <v>4.0223474651583384</v>
      </c>
      <c r="L196" s="1">
        <v>6429.48225987367</v>
      </c>
      <c r="M196" s="1">
        <f t="shared" si="71"/>
        <v>3.8081760023592333</v>
      </c>
      <c r="N196" s="1">
        <v>8554.0960702127304</v>
      </c>
      <c r="O196" s="1">
        <f t="shared" si="72"/>
        <v>3.932174123466849</v>
      </c>
      <c r="P196" s="1">
        <v>-2124.6138103390599</v>
      </c>
      <c r="Q196" s="1" t="e">
        <f ca="1"/>
        <v>#NAME?</v>
      </c>
      <c r="R196" s="1" t="e">
        <f t="shared" ca="1" si="57"/>
        <v>#NAME?</v>
      </c>
      <c r="S196" s="4">
        <v>3182549000000</v>
      </c>
      <c r="T196" s="1">
        <v>137153</v>
      </c>
      <c r="U196" s="1" t="e">
        <f ca="1"/>
        <v>#NAME?</v>
      </c>
      <c r="V196" s="1" t="e">
        <f t="shared" ca="1" si="58"/>
        <v>#NAME?</v>
      </c>
      <c r="W196" s="1" t="e">
        <f ca="1"/>
        <v>#NAME?</v>
      </c>
      <c r="X196" s="1" t="e">
        <f t="shared" ca="1" si="59"/>
        <v>#NAME?</v>
      </c>
      <c r="Y196" s="1" t="e">
        <f ca="1"/>
        <v>#NAME?</v>
      </c>
      <c r="Z196" s="1" t="e">
        <f t="shared" ca="1" si="60"/>
        <v>#NAME?</v>
      </c>
      <c r="AA196" s="1" t="e">
        <f ca="1"/>
        <v>#NAME?</v>
      </c>
      <c r="AB196" s="1" t="e">
        <f t="shared" ca="1" si="61"/>
        <v>#NAME?</v>
      </c>
      <c r="AC196" s="1" t="e">
        <f ca="1"/>
        <v>#NAME?</v>
      </c>
      <c r="AD196" s="1" t="e">
        <f t="shared" ca="1" si="62"/>
        <v>#NAME?</v>
      </c>
      <c r="AE196" s="1" t="e">
        <f ca="1"/>
        <v>#NAME?</v>
      </c>
      <c r="AF196" s="1" t="e">
        <f t="shared" ca="1" si="63"/>
        <v>#NAME?</v>
      </c>
      <c r="AG196" s="1" t="e">
        <f ca="1"/>
        <v>#NAME?</v>
      </c>
      <c r="AH196" s="1" t="e">
        <f t="shared" ca="1" si="64"/>
        <v>#NAME?</v>
      </c>
      <c r="AI196" s="1" t="e">
        <f ca="1"/>
        <v>#NAME?</v>
      </c>
      <c r="AJ196" s="1" t="e">
        <f t="shared" ca="1" si="73"/>
        <v>#NAME?</v>
      </c>
      <c r="AK196" s="1" t="e">
        <f ca="1"/>
        <v>#NAME?</v>
      </c>
      <c r="AL196" s="1" t="e">
        <f t="shared" ca="1" si="65"/>
        <v>#NAME?</v>
      </c>
      <c r="AN196" s="1">
        <f t="shared" si="55"/>
        <v>4.0031933684615026</v>
      </c>
      <c r="AO196" s="1" t="e">
        <f ca="1"/>
        <v>#NAME?</v>
      </c>
      <c r="AP196" s="1" t="e">
        <f t="shared" ca="1" si="56"/>
        <v>#NAME?</v>
      </c>
    </row>
    <row r="197" spans="1:42" x14ac:dyDescent="0.25">
      <c r="A197" s="1" t="s">
        <v>212</v>
      </c>
      <c r="B197" s="1">
        <v>196</v>
      </c>
      <c r="C197" s="1">
        <v>50280.767368200599</v>
      </c>
      <c r="D197" s="1">
        <f t="shared" si="66"/>
        <v>4.7014018971211602</v>
      </c>
      <c r="E197" s="1">
        <v>34516.753049578598</v>
      </c>
      <c r="F197" s="1">
        <f t="shared" si="67"/>
        <v>4.5380299353927169</v>
      </c>
      <c r="G197" s="1">
        <v>7350.5346578713197</v>
      </c>
      <c r="H197" s="1">
        <f t="shared" si="68"/>
        <v>3.8663189296308964</v>
      </c>
      <c r="I197" s="1">
        <v>10575.1793099838</v>
      </c>
      <c r="J197" s="1">
        <f t="shared" si="69"/>
        <v>0.21032255201164513</v>
      </c>
      <c r="K197" s="1">
        <f t="shared" si="70"/>
        <v>4.0242877398935395</v>
      </c>
      <c r="L197" s="1">
        <v>6036.9254227527399</v>
      </c>
      <c r="M197" s="1">
        <f t="shared" si="71"/>
        <v>3.7808158108233227</v>
      </c>
      <c r="N197" s="1">
        <v>8225.4986649913608</v>
      </c>
      <c r="O197" s="1">
        <f t="shared" si="72"/>
        <v>3.9151622362134173</v>
      </c>
      <c r="P197" s="1">
        <v>-2188.57324223863</v>
      </c>
      <c r="Q197" s="1" t="e">
        <f ca="1"/>
        <v>#NAME?</v>
      </c>
      <c r="R197" s="1" t="e">
        <f t="shared" ca="1" si="57"/>
        <v>#NAME?</v>
      </c>
      <c r="S197" s="4">
        <v>3011539000000</v>
      </c>
      <c r="T197" s="1">
        <v>135563</v>
      </c>
      <c r="U197" s="1" t="e">
        <f ca="1"/>
        <v>#NAME?</v>
      </c>
      <c r="V197" s="1" t="e">
        <f t="shared" ca="1" si="58"/>
        <v>#NAME?</v>
      </c>
      <c r="W197" s="1" t="e">
        <f ca="1"/>
        <v>#NAME?</v>
      </c>
      <c r="X197" s="1" t="e">
        <f t="shared" ca="1" si="59"/>
        <v>#NAME?</v>
      </c>
      <c r="Y197" s="1" t="e">
        <f ca="1"/>
        <v>#NAME?</v>
      </c>
      <c r="Z197" s="1" t="e">
        <f t="shared" ca="1" si="60"/>
        <v>#NAME?</v>
      </c>
      <c r="AA197" s="1" t="e">
        <f ca="1"/>
        <v>#NAME?</v>
      </c>
      <c r="AB197" s="1" t="e">
        <f t="shared" ca="1" si="61"/>
        <v>#NAME?</v>
      </c>
      <c r="AC197" s="1" t="e">
        <f ca="1"/>
        <v>#NAME?</v>
      </c>
      <c r="AD197" s="1" t="e">
        <f t="shared" ca="1" si="62"/>
        <v>#NAME?</v>
      </c>
      <c r="AE197" s="1" t="e">
        <f ca="1"/>
        <v>#NAME?</v>
      </c>
      <c r="AF197" s="1" t="e">
        <f t="shared" ca="1" si="63"/>
        <v>#NAME?</v>
      </c>
      <c r="AG197" s="1" t="e">
        <f ca="1"/>
        <v>#NAME?</v>
      </c>
      <c r="AH197" s="1" t="e">
        <f t="shared" ca="1" si="64"/>
        <v>#NAME?</v>
      </c>
      <c r="AI197" s="1" t="e">
        <f ca="1"/>
        <v>#NAME?</v>
      </c>
      <c r="AJ197" s="1" t="e">
        <f t="shared" ca="1" si="73"/>
        <v>#NAME?</v>
      </c>
      <c r="AK197" s="1" t="e">
        <f ca="1"/>
        <v>#NAME?</v>
      </c>
      <c r="AL197" s="1" t="e">
        <f t="shared" ca="1" si="65"/>
        <v>#NAME?</v>
      </c>
      <c r="AN197" s="1">
        <f t="shared" si="55"/>
        <v>4.0044676905405669</v>
      </c>
      <c r="AO197" s="1" t="e">
        <f ca="1"/>
        <v>#NAME?</v>
      </c>
      <c r="AP197" s="1" t="e">
        <f t="shared" ca="1" si="56"/>
        <v>#NAME?</v>
      </c>
    </row>
    <row r="198" spans="1:42" x14ac:dyDescent="0.25">
      <c r="A198" s="1" t="s">
        <v>213</v>
      </c>
      <c r="B198" s="1">
        <v>197</v>
      </c>
      <c r="C198" s="1">
        <v>49593.860310805001</v>
      </c>
      <c r="D198" s="1">
        <f t="shared" si="66"/>
        <v>4.6954279144300655</v>
      </c>
      <c r="E198" s="1">
        <v>34359.280557215498</v>
      </c>
      <c r="F198" s="1">
        <f t="shared" si="67"/>
        <v>4.5360440616405056</v>
      </c>
      <c r="G198" s="1">
        <v>6487.9325489735102</v>
      </c>
      <c r="H198" s="1">
        <f t="shared" si="68"/>
        <v>3.8121063261351469</v>
      </c>
      <c r="I198" s="1">
        <v>10674.144535115</v>
      </c>
      <c r="J198" s="1">
        <f t="shared" si="69"/>
        <v>0.21523116910480602</v>
      </c>
      <c r="K198" s="1">
        <f t="shared" si="70"/>
        <v>4.0283330791475294</v>
      </c>
      <c r="L198" s="1">
        <v>5543.5398074040704</v>
      </c>
      <c r="M198" s="1">
        <f t="shared" si="71"/>
        <v>3.7437871704853576</v>
      </c>
      <c r="N198" s="1">
        <v>7428.5439055372099</v>
      </c>
      <c r="O198" s="1">
        <f t="shared" si="72"/>
        <v>3.8709036945461537</v>
      </c>
      <c r="P198" s="1">
        <v>-1885.0040981331499</v>
      </c>
      <c r="Q198" s="1" t="e">
        <f ca="1"/>
        <v>#NAME?</v>
      </c>
      <c r="R198" s="1" t="e">
        <f t="shared" ca="1" si="57"/>
        <v>#NAME?</v>
      </c>
      <c r="S198" s="4">
        <v>2820754000000</v>
      </c>
      <c r="T198" s="1">
        <v>133291</v>
      </c>
      <c r="U198" s="1" t="e">
        <f ca="1"/>
        <v>#NAME?</v>
      </c>
      <c r="V198" s="1" t="e">
        <f t="shared" ca="1" si="58"/>
        <v>#NAME?</v>
      </c>
      <c r="W198" s="1" t="e">
        <f ca="1"/>
        <v>#NAME?</v>
      </c>
      <c r="X198" s="1" t="e">
        <f t="shared" ca="1" si="59"/>
        <v>#NAME?</v>
      </c>
      <c r="Y198" s="1" t="e">
        <f ca="1"/>
        <v>#NAME?</v>
      </c>
      <c r="Z198" s="1" t="e">
        <f t="shared" ca="1" si="60"/>
        <v>#NAME?</v>
      </c>
      <c r="AA198" s="1" t="e">
        <f ca="1"/>
        <v>#NAME?</v>
      </c>
      <c r="AB198" s="1" t="e">
        <f t="shared" ca="1" si="61"/>
        <v>#NAME?</v>
      </c>
      <c r="AC198" s="1" t="e">
        <f ca="1"/>
        <v>#NAME?</v>
      </c>
      <c r="AD198" s="1" t="e">
        <f t="shared" ca="1" si="62"/>
        <v>#NAME?</v>
      </c>
      <c r="AE198" s="1" t="e">
        <f ca="1"/>
        <v>#NAME?</v>
      </c>
      <c r="AF198" s="1" t="e">
        <f t="shared" ca="1" si="63"/>
        <v>#NAME?</v>
      </c>
      <c r="AG198" s="1" t="e">
        <f ca="1"/>
        <v>#NAME?</v>
      </c>
      <c r="AH198" s="1" t="e">
        <f t="shared" ca="1" si="64"/>
        <v>#NAME?</v>
      </c>
      <c r="AI198" s="1" t="e">
        <f ca="1"/>
        <v>#NAME?</v>
      </c>
      <c r="AJ198" s="1" t="e">
        <f t="shared" ca="1" si="73"/>
        <v>#NAME?</v>
      </c>
      <c r="AK198" s="1" t="e">
        <f ca="1"/>
        <v>#NAME?</v>
      </c>
      <c r="AL198" s="1" t="e">
        <f t="shared" ca="1" si="65"/>
        <v>#NAME?</v>
      </c>
      <c r="AN198" s="1">
        <f t="shared" si="55"/>
        <v>4.013423909090565</v>
      </c>
      <c r="AO198" s="1" t="e">
        <f ca="1"/>
        <v>#NAME?</v>
      </c>
      <c r="AP198" s="1" t="e">
        <f t="shared" ca="1" si="56"/>
        <v>#NAME?</v>
      </c>
    </row>
    <row r="199" spans="1:42" x14ac:dyDescent="0.25">
      <c r="A199" s="1" t="s">
        <v>214</v>
      </c>
      <c r="B199" s="1">
        <v>198</v>
      </c>
      <c r="C199" s="1">
        <v>49408.445380068202</v>
      </c>
      <c r="D199" s="1">
        <f t="shared" si="66"/>
        <v>4.6938011891762086</v>
      </c>
      <c r="E199" s="1">
        <v>34120.293548324</v>
      </c>
      <c r="F199" s="1">
        <f t="shared" si="67"/>
        <v>4.5330127588925802</v>
      </c>
      <c r="G199" s="1">
        <v>6101.31783905679</v>
      </c>
      <c r="H199" s="1">
        <f t="shared" si="68"/>
        <v>3.7854236495052627</v>
      </c>
      <c r="I199" s="1">
        <v>10808.039991396899</v>
      </c>
      <c r="J199" s="1">
        <f t="shared" si="69"/>
        <v>0.21874883753693164</v>
      </c>
      <c r="K199" s="1">
        <f t="shared" si="70"/>
        <v>4.0337469429727886</v>
      </c>
      <c r="L199" s="1">
        <v>5568.65863275827</v>
      </c>
      <c r="M199" s="1">
        <f t="shared" si="71"/>
        <v>3.7457505957936217</v>
      </c>
      <c r="N199" s="1">
        <v>7112.2281386663899</v>
      </c>
      <c r="O199" s="1">
        <f t="shared" si="72"/>
        <v>3.8520056790328581</v>
      </c>
      <c r="P199" s="1">
        <v>-1543.5695059081199</v>
      </c>
      <c r="Q199" s="1" t="e">
        <f ca="1"/>
        <v>#NAME?</v>
      </c>
      <c r="R199" s="1" t="e">
        <f t="shared" ca="1" si="57"/>
        <v>#NAME?</v>
      </c>
      <c r="S199" s="4">
        <v>2752566000000</v>
      </c>
      <c r="T199" s="1">
        <v>131432.33333333299</v>
      </c>
      <c r="U199" s="1" t="e">
        <f ca="1"/>
        <v>#NAME?</v>
      </c>
      <c r="V199" s="1" t="e">
        <f t="shared" ca="1" si="58"/>
        <v>#NAME?</v>
      </c>
      <c r="W199" s="1" t="e">
        <f ca="1"/>
        <v>#NAME?</v>
      </c>
      <c r="X199" s="1" t="e">
        <f t="shared" ca="1" si="59"/>
        <v>#NAME?</v>
      </c>
      <c r="Y199" s="1" t="e">
        <f ca="1"/>
        <v>#NAME?</v>
      </c>
      <c r="Z199" s="1" t="e">
        <f t="shared" ca="1" si="60"/>
        <v>#NAME?</v>
      </c>
      <c r="AA199" s="1" t="e">
        <f ca="1"/>
        <v>#NAME?</v>
      </c>
      <c r="AB199" s="1" t="e">
        <f t="shared" ca="1" si="61"/>
        <v>#NAME?</v>
      </c>
      <c r="AC199" s="1" t="e">
        <f ca="1"/>
        <v>#NAME?</v>
      </c>
      <c r="AD199" s="1" t="e">
        <f t="shared" ca="1" si="62"/>
        <v>#NAME?</v>
      </c>
      <c r="AE199" s="1" t="e">
        <f ca="1"/>
        <v>#NAME?</v>
      </c>
      <c r="AF199" s="1" t="e">
        <f t="shared" ca="1" si="63"/>
        <v>#NAME?</v>
      </c>
      <c r="AG199" s="1" t="e">
        <f ca="1"/>
        <v>#NAME?</v>
      </c>
      <c r="AH199" s="1" t="e">
        <f t="shared" ca="1" si="64"/>
        <v>#NAME?</v>
      </c>
      <c r="AI199" s="1" t="e">
        <f ca="1"/>
        <v>#NAME?</v>
      </c>
      <c r="AJ199" s="1" t="e">
        <f t="shared" ca="1" si="73"/>
        <v>#NAME?</v>
      </c>
      <c r="AK199" s="1" t="e">
        <f ca="1"/>
        <v>#NAME?</v>
      </c>
      <c r="AL199" s="1" t="e">
        <f t="shared" ca="1" si="65"/>
        <v>#NAME?</v>
      </c>
      <c r="AN199" s="1">
        <f t="shared" si="55"/>
        <v>4.0195261828236033</v>
      </c>
      <c r="AO199" s="1" t="e">
        <f ca="1"/>
        <v>#NAME?</v>
      </c>
      <c r="AP199" s="1" t="e">
        <f t="shared" ca="1" si="56"/>
        <v>#NAME?</v>
      </c>
    </row>
    <row r="200" spans="1:42" x14ac:dyDescent="0.25">
      <c r="A200" s="1" t="s">
        <v>215</v>
      </c>
      <c r="B200" s="1">
        <v>199</v>
      </c>
      <c r="C200" s="1">
        <v>49473.286016653001</v>
      </c>
      <c r="D200" s="1">
        <f t="shared" si="66"/>
        <v>4.6943707571704234</v>
      </c>
      <c r="E200" s="1">
        <v>34270.787747949304</v>
      </c>
      <c r="F200" s="1">
        <f t="shared" si="67"/>
        <v>4.5349240872327723</v>
      </c>
      <c r="G200" s="1">
        <v>6073.3972097680899</v>
      </c>
      <c r="H200" s="1">
        <f t="shared" si="68"/>
        <v>3.7834316855963381</v>
      </c>
      <c r="I200" s="1">
        <v>10812.6591085693</v>
      </c>
      <c r="J200" s="1">
        <f t="shared" si="69"/>
        <v>0.21855550700492574</v>
      </c>
      <c r="K200" s="1">
        <f t="shared" si="70"/>
        <v>4.0339325111748607</v>
      </c>
      <c r="L200" s="1">
        <v>5761.2469234945902</v>
      </c>
      <c r="M200" s="1">
        <f t="shared" si="71"/>
        <v>3.7605164892194192</v>
      </c>
      <c r="N200" s="1">
        <v>7388.6036810773403</v>
      </c>
      <c r="O200" s="1">
        <f t="shared" si="72"/>
        <v>3.8685623719671742</v>
      </c>
      <c r="P200" s="1">
        <v>-1627.3567575827501</v>
      </c>
      <c r="Q200" s="1" t="e">
        <f ca="1"/>
        <v>#NAME?</v>
      </c>
      <c r="R200" s="1" t="e">
        <f t="shared" ca="1" si="57"/>
        <v>#NAME?</v>
      </c>
      <c r="S200" s="4">
        <v>2762704000000</v>
      </c>
      <c r="T200" s="1">
        <v>130460.33333333299</v>
      </c>
      <c r="U200" s="1" t="e">
        <f ca="1"/>
        <v>#NAME?</v>
      </c>
      <c r="V200" s="1" t="e">
        <f t="shared" ca="1" si="58"/>
        <v>#NAME?</v>
      </c>
      <c r="W200" s="1" t="e">
        <f ca="1"/>
        <v>#NAME?</v>
      </c>
      <c r="X200" s="1" t="e">
        <f t="shared" ca="1" si="59"/>
        <v>#NAME?</v>
      </c>
      <c r="Y200" s="1" t="e">
        <f ca="1"/>
        <v>#NAME?</v>
      </c>
      <c r="Z200" s="1" t="e">
        <f t="shared" ca="1" si="60"/>
        <v>#NAME?</v>
      </c>
      <c r="AA200" s="1" t="e">
        <f ca="1"/>
        <v>#NAME?</v>
      </c>
      <c r="AB200" s="1" t="e">
        <f t="shared" ca="1" si="61"/>
        <v>#NAME?</v>
      </c>
      <c r="AC200" s="1" t="e">
        <f ca="1"/>
        <v>#NAME?</v>
      </c>
      <c r="AD200" s="1" t="e">
        <f t="shared" ca="1" si="62"/>
        <v>#NAME?</v>
      </c>
      <c r="AE200" s="1" t="e">
        <f ca="1"/>
        <v>#NAME?</v>
      </c>
      <c r="AF200" s="1" t="e">
        <f t="shared" ca="1" si="63"/>
        <v>#NAME?</v>
      </c>
      <c r="AG200" s="1" t="e">
        <f ca="1"/>
        <v>#NAME?</v>
      </c>
      <c r="AH200" s="1" t="e">
        <f t="shared" ca="1" si="64"/>
        <v>#NAME?</v>
      </c>
      <c r="AI200" s="1" t="e">
        <f ca="1"/>
        <v>#NAME?</v>
      </c>
      <c r="AJ200" s="1" t="e">
        <f t="shared" ca="1" si="73"/>
        <v>#NAME?</v>
      </c>
      <c r="AK200" s="1" t="e">
        <f ca="1"/>
        <v>#NAME?</v>
      </c>
      <c r="AL200" s="1" t="e">
        <f t="shared" ca="1" si="65"/>
        <v>#NAME?</v>
      </c>
      <c r="AN200" s="1">
        <f t="shared" si="55"/>
        <v>4.0215841591815114</v>
      </c>
      <c r="AO200" s="1" t="e">
        <f ca="1"/>
        <v>#NAME?</v>
      </c>
      <c r="AP200" s="1" t="e">
        <f t="shared" ca="1" si="56"/>
        <v>#NAME?</v>
      </c>
    </row>
    <row r="201" spans="1:42" x14ac:dyDescent="0.25">
      <c r="A201" s="1" t="s">
        <v>216</v>
      </c>
      <c r="B201" s="1">
        <v>200</v>
      </c>
      <c r="C201" s="1">
        <v>49886.1605332728</v>
      </c>
      <c r="D201" s="1">
        <f t="shared" si="66"/>
        <v>4.6979800799387998</v>
      </c>
      <c r="E201" s="1">
        <v>34153.967919295501</v>
      </c>
      <c r="F201" s="1">
        <f t="shared" si="67"/>
        <v>4.5334411661537066</v>
      </c>
      <c r="G201" s="1">
        <v>6619.6409166842404</v>
      </c>
      <c r="H201" s="1">
        <f t="shared" si="68"/>
        <v>3.8208344317158014</v>
      </c>
      <c r="I201" s="1">
        <v>10807.029209984301</v>
      </c>
      <c r="J201" s="1">
        <f t="shared" si="69"/>
        <v>0.21663381375634808</v>
      </c>
      <c r="K201" s="1">
        <f t="shared" si="70"/>
        <v>4.0337063253105336</v>
      </c>
      <c r="L201" s="1">
        <v>6070.6326937736203</v>
      </c>
      <c r="M201" s="1">
        <f t="shared" si="71"/>
        <v>3.7832339564945809</v>
      </c>
      <c r="N201" s="1">
        <v>7736.58789756232</v>
      </c>
      <c r="O201" s="1">
        <f t="shared" si="72"/>
        <v>3.8885494640436864</v>
      </c>
      <c r="P201" s="1">
        <v>-1665.9552037886999</v>
      </c>
      <c r="Q201" s="1" t="e">
        <f ca="1"/>
        <v>#NAME?</v>
      </c>
      <c r="R201" s="1" t="e">
        <f t="shared" ca="1" si="57"/>
        <v>#NAME?</v>
      </c>
      <c r="S201" s="4">
        <v>2767407000000</v>
      </c>
      <c r="T201" s="1">
        <v>129976.33333333299</v>
      </c>
      <c r="U201" s="1" t="e">
        <f ca="1"/>
        <v>#NAME?</v>
      </c>
      <c r="V201" s="1" t="e">
        <f t="shared" ca="1" si="58"/>
        <v>#NAME?</v>
      </c>
      <c r="W201" s="1" t="e">
        <f ca="1"/>
        <v>#NAME?</v>
      </c>
      <c r="X201" s="1" t="e">
        <f t="shared" ca="1" si="59"/>
        <v>#NAME?</v>
      </c>
      <c r="Y201" s="1" t="e">
        <f ca="1"/>
        <v>#NAME?</v>
      </c>
      <c r="Z201" s="1" t="e">
        <f t="shared" ca="1" si="60"/>
        <v>#NAME?</v>
      </c>
      <c r="AA201" s="1" t="e">
        <f ca="1"/>
        <v>#NAME?</v>
      </c>
      <c r="AB201" s="1" t="e">
        <f t="shared" ca="1" si="61"/>
        <v>#NAME?</v>
      </c>
      <c r="AC201" s="1" t="e">
        <f ca="1"/>
        <v>#NAME?</v>
      </c>
      <c r="AD201" s="1" t="e">
        <f t="shared" ca="1" si="62"/>
        <v>#NAME?</v>
      </c>
      <c r="AE201" s="1" t="e">
        <f ca="1"/>
        <v>#NAME?</v>
      </c>
      <c r="AF201" s="1" t="e">
        <f t="shared" ca="1" si="63"/>
        <v>#NAME?</v>
      </c>
      <c r="AG201" s="1" t="e">
        <f ca="1"/>
        <v>#NAME?</v>
      </c>
      <c r="AH201" s="1" t="e">
        <f t="shared" ca="1" si="64"/>
        <v>#NAME?</v>
      </c>
      <c r="AI201" s="1" t="e">
        <f ca="1"/>
        <v>#NAME?</v>
      </c>
      <c r="AJ201" s="1" t="e">
        <f t="shared" ca="1" si="73"/>
        <v>#NAME?</v>
      </c>
      <c r="AK201" s="1" t="e">
        <f ca="1"/>
        <v>#NAME?</v>
      </c>
      <c r="AL201" s="1" t="e">
        <f t="shared" ca="1" si="65"/>
        <v>#NAME?</v>
      </c>
      <c r="AN201" s="1">
        <f t="shared" si="55"/>
        <v>4.0259606472979614</v>
      </c>
      <c r="AO201" s="1" t="e">
        <f ca="1"/>
        <v>#NAME?</v>
      </c>
      <c r="AP201" s="1" t="e">
        <f t="shared" ca="1" si="56"/>
        <v>#NAME?</v>
      </c>
    </row>
    <row r="202" spans="1:42" x14ac:dyDescent="0.25">
      <c r="A202" s="1" t="s">
        <v>217</v>
      </c>
      <c r="B202" s="1">
        <v>201</v>
      </c>
      <c r="C202" s="1">
        <v>50035.639250115702</v>
      </c>
      <c r="D202" s="1">
        <f t="shared" si="66"/>
        <v>4.6992794526573425</v>
      </c>
      <c r="E202" s="1">
        <v>34283.401478143503</v>
      </c>
      <c r="F202" s="1">
        <f t="shared" si="67"/>
        <v>4.5350839045551918</v>
      </c>
      <c r="G202" s="1">
        <v>6756.7634938054598</v>
      </c>
      <c r="H202" s="1">
        <f t="shared" si="68"/>
        <v>3.8297387176325621</v>
      </c>
      <c r="I202" s="1">
        <v>10739.191520908</v>
      </c>
      <c r="J202" s="1">
        <f t="shared" si="69"/>
        <v>0.21463084477097324</v>
      </c>
      <c r="K202" s="1">
        <f t="shared" si="70"/>
        <v>4.0309715875809786</v>
      </c>
      <c r="L202" s="1">
        <v>6203.4082116924201</v>
      </c>
      <c r="M202" s="1">
        <f t="shared" si="71"/>
        <v>3.7926303606027063</v>
      </c>
      <c r="N202" s="1">
        <v>7925.01157328724</v>
      </c>
      <c r="O202" s="1">
        <f t="shared" si="72"/>
        <v>3.8989999051120119</v>
      </c>
      <c r="P202" s="1">
        <v>-1721.6033615948099</v>
      </c>
      <c r="Q202" s="1" t="e">
        <f ca="1"/>
        <v>#NAME?</v>
      </c>
      <c r="R202" s="1" t="e">
        <f t="shared" ca="1" si="57"/>
        <v>#NAME?</v>
      </c>
      <c r="S202" s="4">
        <v>2757249000000</v>
      </c>
      <c r="T202" s="1">
        <v>129787.33333333299</v>
      </c>
      <c r="U202" s="1" t="e">
        <f ca="1"/>
        <v>#NAME?</v>
      </c>
      <c r="V202" s="1" t="e">
        <f t="shared" ca="1" si="58"/>
        <v>#NAME?</v>
      </c>
      <c r="W202" s="1" t="e">
        <f ca="1"/>
        <v>#NAME?</v>
      </c>
      <c r="X202" s="1" t="e">
        <f t="shared" ca="1" si="59"/>
        <v>#NAME?</v>
      </c>
      <c r="Y202" s="1" t="e">
        <f ca="1"/>
        <v>#NAME?</v>
      </c>
      <c r="Z202" s="1" t="e">
        <f t="shared" ca="1" si="60"/>
        <v>#NAME?</v>
      </c>
      <c r="AA202" s="1" t="e">
        <f ca="1"/>
        <v>#NAME?</v>
      </c>
      <c r="AB202" s="1" t="e">
        <f t="shared" ca="1" si="61"/>
        <v>#NAME?</v>
      </c>
      <c r="AC202" s="1" t="e">
        <f ca="1"/>
        <v>#NAME?</v>
      </c>
      <c r="AD202" s="1" t="e">
        <f t="shared" ca="1" si="62"/>
        <v>#NAME?</v>
      </c>
      <c r="AE202" s="1" t="e">
        <f ca="1"/>
        <v>#NAME?</v>
      </c>
      <c r="AF202" s="1" t="e">
        <f t="shared" ca="1" si="63"/>
        <v>#NAME?</v>
      </c>
      <c r="AG202" s="1" t="e">
        <f ca="1"/>
        <v>#NAME?</v>
      </c>
      <c r="AH202" s="1" t="e">
        <f t="shared" ca="1" si="64"/>
        <v>#NAME?</v>
      </c>
      <c r="AI202" s="1" t="e">
        <f ca="1"/>
        <v>#NAME?</v>
      </c>
      <c r="AJ202" s="1" t="e">
        <f t="shared" ca="1" si="73"/>
        <v>#NAME?</v>
      </c>
      <c r="AK202" s="1" t="e">
        <f ca="1"/>
        <v>#NAME?</v>
      </c>
      <c r="AL202" s="1" t="e">
        <f t="shared" ca="1" si="65"/>
        <v>#NAME?</v>
      </c>
      <c r="AN202" s="1">
        <f t="shared" si="55"/>
        <v>4.0282394190529294</v>
      </c>
      <c r="AO202" s="1" t="e">
        <f ca="1"/>
        <v>#NAME?</v>
      </c>
      <c r="AP202" s="1" t="e">
        <f t="shared" ca="1" si="56"/>
        <v>#NAME?</v>
      </c>
    </row>
    <row r="203" spans="1:42" x14ac:dyDescent="0.25">
      <c r="A203" s="1" t="s">
        <v>218</v>
      </c>
      <c r="B203" s="1">
        <v>202</v>
      </c>
      <c r="C203" s="1">
        <v>50424.016440055799</v>
      </c>
      <c r="D203" s="1">
        <f t="shared" si="66"/>
        <v>4.7026374357133136</v>
      </c>
      <c r="E203" s="1">
        <v>34525.231996070899</v>
      </c>
      <c r="F203" s="1">
        <f t="shared" si="67"/>
        <v>4.5381366055497248</v>
      </c>
      <c r="G203" s="1">
        <v>7097.8713229592104</v>
      </c>
      <c r="H203" s="1">
        <f t="shared" si="68"/>
        <v>3.851128121774702</v>
      </c>
      <c r="I203" s="1">
        <v>10751.8352892519</v>
      </c>
      <c r="J203" s="1">
        <f t="shared" si="69"/>
        <v>0.21322845834848775</v>
      </c>
      <c r="K203" s="1">
        <f t="shared" si="70"/>
        <v>4.0314826026668813</v>
      </c>
      <c r="L203" s="1">
        <v>6327.7639197642602</v>
      </c>
      <c r="M203" s="1">
        <f t="shared" si="71"/>
        <v>3.8012502678574709</v>
      </c>
      <c r="N203" s="1">
        <v>8270.7245515173508</v>
      </c>
      <c r="O203" s="1">
        <f t="shared" si="72"/>
        <v>3.917543557308564</v>
      </c>
      <c r="P203" s="1">
        <v>-1942.96063175309</v>
      </c>
      <c r="Q203" s="1" t="e">
        <f ca="1"/>
        <v>#NAME?</v>
      </c>
      <c r="R203" s="1" t="e">
        <f t="shared" ca="1" si="57"/>
        <v>#NAME?</v>
      </c>
      <c r="S203" s="4">
        <v>2845626000000</v>
      </c>
      <c r="T203" s="1">
        <v>130420.33333333299</v>
      </c>
      <c r="U203" s="1" t="e">
        <f ca="1"/>
        <v>#NAME?</v>
      </c>
      <c r="V203" s="1" t="e">
        <f t="shared" ca="1" si="58"/>
        <v>#NAME?</v>
      </c>
      <c r="W203" s="1" t="e">
        <f ca="1"/>
        <v>#NAME?</v>
      </c>
      <c r="X203" s="1" t="e">
        <f t="shared" ca="1" si="59"/>
        <v>#NAME?</v>
      </c>
      <c r="Y203" s="1" t="e">
        <f ca="1"/>
        <v>#NAME?</v>
      </c>
      <c r="Z203" s="1" t="e">
        <f t="shared" ca="1" si="60"/>
        <v>#NAME?</v>
      </c>
      <c r="AA203" s="1" t="e">
        <f ca="1"/>
        <v>#NAME?</v>
      </c>
      <c r="AB203" s="1" t="e">
        <f t="shared" ca="1" si="61"/>
        <v>#NAME?</v>
      </c>
      <c r="AC203" s="1" t="e">
        <f ca="1"/>
        <v>#NAME?</v>
      </c>
      <c r="AD203" s="1" t="e">
        <f t="shared" ca="1" si="62"/>
        <v>#NAME?</v>
      </c>
      <c r="AE203" s="1" t="e">
        <f ca="1"/>
        <v>#NAME?</v>
      </c>
      <c r="AF203" s="1" t="e">
        <f t="shared" ca="1" si="63"/>
        <v>#NAME?</v>
      </c>
      <c r="AG203" s="1" t="e">
        <f ca="1"/>
        <v>#NAME?</v>
      </c>
      <c r="AH203" s="1" t="e">
        <f t="shared" ca="1" si="64"/>
        <v>#NAME?</v>
      </c>
      <c r="AI203" s="1" t="e">
        <f ca="1"/>
        <v>#NAME?</v>
      </c>
      <c r="AJ203" s="1" t="e">
        <f t="shared" ca="1" si="73"/>
        <v>#NAME?</v>
      </c>
      <c r="AK203" s="1" t="e">
        <f ca="1"/>
        <v>#NAME?</v>
      </c>
      <c r="AL203" s="1" t="e">
        <f t="shared" ca="1" si="65"/>
        <v>#NAME?</v>
      </c>
      <c r="AN203" s="1">
        <f t="shared" si="55"/>
        <v>4.0253124246658372</v>
      </c>
      <c r="AO203" s="1" t="e">
        <f ca="1"/>
        <v>#NAME?</v>
      </c>
      <c r="AP203" s="1" t="e">
        <f t="shared" ca="1" si="56"/>
        <v>#NAME?</v>
      </c>
    </row>
    <row r="204" spans="1:42" x14ac:dyDescent="0.25">
      <c r="A204" s="1" t="s">
        <v>219</v>
      </c>
      <c r="B204" s="1">
        <v>203</v>
      </c>
      <c r="C204" s="1">
        <v>50705.734036653499</v>
      </c>
      <c r="D204" s="1">
        <f t="shared" si="66"/>
        <v>4.7050570741196731</v>
      </c>
      <c r="E204" s="1">
        <v>34697.550846692502</v>
      </c>
      <c r="F204" s="1">
        <f t="shared" si="67"/>
        <v>4.540298820862767</v>
      </c>
      <c r="G204" s="1">
        <v>7398.6354901530904</v>
      </c>
      <c r="H204" s="1">
        <f t="shared" si="68"/>
        <v>3.8691516313878194</v>
      </c>
      <c r="I204" s="1">
        <v>10653.230070804901</v>
      </c>
      <c r="J204" s="1">
        <f t="shared" si="69"/>
        <v>0.21009911942314125</v>
      </c>
      <c r="K204" s="1">
        <f t="shared" si="70"/>
        <v>4.0274813062949164</v>
      </c>
      <c r="L204" s="1">
        <v>6494.4220178753403</v>
      </c>
      <c r="M204" s="1">
        <f t="shared" si="71"/>
        <v>3.8125405063533462</v>
      </c>
      <c r="N204" s="1">
        <v>8541.5608032294294</v>
      </c>
      <c r="O204" s="1">
        <f t="shared" si="72"/>
        <v>3.9315372367656267</v>
      </c>
      <c r="P204" s="1">
        <v>-2047.13878535409</v>
      </c>
      <c r="Q204" s="1" t="e">
        <f ca="1"/>
        <v>#NAME?</v>
      </c>
      <c r="R204" s="1" t="e">
        <f t="shared" ca="1" si="57"/>
        <v>#NAME?</v>
      </c>
      <c r="S204" s="4">
        <v>2856404000000</v>
      </c>
      <c r="T204" s="1">
        <v>130394.33333333299</v>
      </c>
      <c r="U204" s="1" t="e">
        <f ca="1"/>
        <v>#NAME?</v>
      </c>
      <c r="V204" s="1" t="e">
        <f t="shared" ca="1" si="58"/>
        <v>#NAME?</v>
      </c>
      <c r="W204" s="1" t="e">
        <f ca="1"/>
        <v>#NAME?</v>
      </c>
      <c r="X204" s="1" t="e">
        <f t="shared" ca="1" si="59"/>
        <v>#NAME?</v>
      </c>
      <c r="Y204" s="1" t="e">
        <f ca="1"/>
        <v>#NAME?</v>
      </c>
      <c r="Z204" s="1" t="e">
        <f t="shared" ca="1" si="60"/>
        <v>#NAME?</v>
      </c>
      <c r="AA204" s="1" t="e">
        <f ca="1"/>
        <v>#NAME?</v>
      </c>
      <c r="AB204" s="1" t="e">
        <f t="shared" ca="1" si="61"/>
        <v>#NAME?</v>
      </c>
      <c r="AC204" s="1" t="e">
        <f ca="1"/>
        <v>#NAME?</v>
      </c>
      <c r="AD204" s="1" t="e">
        <f t="shared" ca="1" si="62"/>
        <v>#NAME?</v>
      </c>
      <c r="AE204" s="1" t="e">
        <f ca="1"/>
        <v>#NAME?</v>
      </c>
      <c r="AF204" s="1" t="e">
        <f t="shared" ca="1" si="63"/>
        <v>#NAME?</v>
      </c>
      <c r="AG204" s="1" t="e">
        <f ca="1"/>
        <v>#NAME?</v>
      </c>
      <c r="AH204" s="1" t="e">
        <f t="shared" ca="1" si="64"/>
        <v>#NAME?</v>
      </c>
      <c r="AI204" s="1" t="e">
        <f ca="1"/>
        <v>#NAME?</v>
      </c>
      <c r="AJ204" s="1" t="e">
        <f t="shared" ca="1" si="73"/>
        <v>#NAME?</v>
      </c>
      <c r="AK204" s="1" t="e">
        <f ca="1"/>
        <v>#NAME?</v>
      </c>
      <c r="AL204" s="1" t="e">
        <f t="shared" ca="1" si="65"/>
        <v>#NAME?</v>
      </c>
      <c r="AN204" s="1">
        <f t="shared" si="55"/>
        <v>4.0271964267003124</v>
      </c>
      <c r="AO204" s="1" t="e">
        <f ca="1"/>
        <v>#NAME?</v>
      </c>
      <c r="AP204" s="1" t="e">
        <f t="shared" ca="1" si="56"/>
        <v>#NAME?</v>
      </c>
    </row>
    <row r="205" spans="1:42" x14ac:dyDescent="0.25">
      <c r="A205" s="1" t="s">
        <v>220</v>
      </c>
      <c r="B205" s="1">
        <v>204</v>
      </c>
      <c r="C205" s="1">
        <v>50859.492884880798</v>
      </c>
      <c r="D205" s="1">
        <f t="shared" si="66"/>
        <v>4.7063720255527075</v>
      </c>
      <c r="E205" s="1">
        <v>34835.070153820401</v>
      </c>
      <c r="F205" s="1">
        <f t="shared" si="67"/>
        <v>4.5420166894905512</v>
      </c>
      <c r="G205" s="1">
        <v>7359.1920647840998</v>
      </c>
      <c r="H205" s="1">
        <f t="shared" si="68"/>
        <v>3.8668301375621965</v>
      </c>
      <c r="I205" s="1">
        <v>10562.633317997401</v>
      </c>
      <c r="J205" s="1">
        <f t="shared" si="69"/>
        <v>0.20768263147856506</v>
      </c>
      <c r="K205" s="1">
        <f t="shared" si="70"/>
        <v>4.0237722035109051</v>
      </c>
      <c r="L205" s="1">
        <v>6657.7729017396096</v>
      </c>
      <c r="M205" s="1">
        <f t="shared" si="71"/>
        <v>3.8233289771824053</v>
      </c>
      <c r="N205" s="1">
        <v>8554.50313206807</v>
      </c>
      <c r="O205" s="1">
        <f t="shared" si="72"/>
        <v>3.9321947896494525</v>
      </c>
      <c r="P205" s="1">
        <v>-1896.73023032846</v>
      </c>
      <c r="Q205" s="1" t="e">
        <f ca="1"/>
        <v>#NAME?</v>
      </c>
      <c r="R205" s="1" t="e">
        <f t="shared" ca="1" si="57"/>
        <v>#NAME?</v>
      </c>
      <c r="S205" s="4">
        <v>2892010000000</v>
      </c>
      <c r="T205" s="1">
        <v>130736.33333333299</v>
      </c>
      <c r="U205" s="1" t="e">
        <f ca="1"/>
        <v>#NAME?</v>
      </c>
      <c r="V205" s="1" t="e">
        <f t="shared" ca="1" si="58"/>
        <v>#NAME?</v>
      </c>
      <c r="W205" s="1" t="e">
        <f ca="1"/>
        <v>#NAME?</v>
      </c>
      <c r="X205" s="1" t="e">
        <f t="shared" ca="1" si="59"/>
        <v>#NAME?</v>
      </c>
      <c r="Y205" s="1" t="e">
        <f ca="1"/>
        <v>#NAME?</v>
      </c>
      <c r="Z205" s="1" t="e">
        <f t="shared" ca="1" si="60"/>
        <v>#NAME?</v>
      </c>
      <c r="AA205" s="1" t="e">
        <f ca="1"/>
        <v>#NAME?</v>
      </c>
      <c r="AB205" s="1" t="e">
        <f t="shared" ca="1" si="61"/>
        <v>#NAME?</v>
      </c>
      <c r="AC205" s="1" t="e">
        <f ca="1"/>
        <v>#NAME?</v>
      </c>
      <c r="AD205" s="1" t="e">
        <f t="shared" ca="1" si="62"/>
        <v>#NAME?</v>
      </c>
      <c r="AE205" s="1" t="e">
        <f ca="1"/>
        <v>#NAME?</v>
      </c>
      <c r="AF205" s="1" t="e">
        <f t="shared" ca="1" si="63"/>
        <v>#NAME?</v>
      </c>
      <c r="AG205" s="1" t="e">
        <f ca="1"/>
        <v>#NAME?</v>
      </c>
      <c r="AH205" s="1" t="e">
        <f t="shared" ca="1" si="64"/>
        <v>#NAME?</v>
      </c>
      <c r="AI205" s="1" t="e">
        <f ca="1"/>
        <v>#NAME?</v>
      </c>
      <c r="AJ205" s="1" t="e">
        <f t="shared" ca="1" si="73"/>
        <v>#NAME?</v>
      </c>
      <c r="AK205" s="1" t="e">
        <f ca="1"/>
        <v>#NAME?</v>
      </c>
      <c r="AL205" s="1" t="e">
        <f t="shared" ca="1" si="65"/>
        <v>#NAME?</v>
      </c>
      <c r="AN205" s="1">
        <f t="shared" si="55"/>
        <v>4.0258464687396964</v>
      </c>
      <c r="AO205" s="1" t="e">
        <f ca="1"/>
        <v>#NAME?</v>
      </c>
      <c r="AP205" s="1" t="e">
        <f t="shared" ca="1" si="56"/>
        <v>#NAME?</v>
      </c>
    </row>
    <row r="206" spans="1:42" x14ac:dyDescent="0.25">
      <c r="A206" s="1" t="s">
        <v>221</v>
      </c>
      <c r="B206" s="1">
        <v>205</v>
      </c>
      <c r="C206" s="1">
        <v>50645.878295051603</v>
      </c>
      <c r="D206" s="1">
        <f t="shared" si="66"/>
        <v>4.7045441070200473</v>
      </c>
      <c r="E206" s="1">
        <v>34905.352371409499</v>
      </c>
      <c r="F206" s="1">
        <f t="shared" si="67"/>
        <v>4.5428920265906934</v>
      </c>
      <c r="G206" s="1">
        <v>7207.4951184420097</v>
      </c>
      <c r="H206" s="1">
        <f t="shared" si="68"/>
        <v>3.8577843569174197</v>
      </c>
      <c r="I206" s="1">
        <v>10414.354349725099</v>
      </c>
      <c r="J206" s="1">
        <f t="shared" si="69"/>
        <v>0.20563083710491487</v>
      </c>
      <c r="K206" s="1">
        <f t="shared" si="70"/>
        <v>4.0176323505157967</v>
      </c>
      <c r="L206" s="1">
        <v>6702.7002723395499</v>
      </c>
      <c r="M206" s="1">
        <f t="shared" si="71"/>
        <v>3.8262497992864009</v>
      </c>
      <c r="N206" s="1">
        <v>8580.8540157237603</v>
      </c>
      <c r="O206" s="1">
        <f t="shared" si="72"/>
        <v>3.9335305134732872</v>
      </c>
      <c r="P206" s="1">
        <v>-1878.1537433842</v>
      </c>
      <c r="Q206" s="1" t="e">
        <f ca="1"/>
        <v>#NAME?</v>
      </c>
      <c r="R206" s="1" t="e">
        <f t="shared" ca="1" si="57"/>
        <v>#NAME?</v>
      </c>
      <c r="S206" s="4">
        <v>2875086000000</v>
      </c>
      <c r="T206" s="1">
        <v>131057</v>
      </c>
      <c r="U206" s="1" t="e">
        <f ca="1"/>
        <v>#NAME?</v>
      </c>
      <c r="V206" s="1" t="e">
        <f t="shared" ca="1" si="58"/>
        <v>#NAME?</v>
      </c>
      <c r="W206" s="1" t="e">
        <f ca="1"/>
        <v>#NAME?</v>
      </c>
      <c r="X206" s="1" t="e">
        <f t="shared" ca="1" si="59"/>
        <v>#NAME?</v>
      </c>
      <c r="Y206" s="1" t="e">
        <f ca="1"/>
        <v>#NAME?</v>
      </c>
      <c r="Z206" s="1" t="e">
        <f t="shared" ca="1" si="60"/>
        <v>#NAME?</v>
      </c>
      <c r="AA206" s="1" t="e">
        <f ca="1"/>
        <v>#NAME?</v>
      </c>
      <c r="AB206" s="1" t="e">
        <f t="shared" ca="1" si="61"/>
        <v>#NAME?</v>
      </c>
      <c r="AC206" s="1" t="e">
        <f ca="1"/>
        <v>#NAME?</v>
      </c>
      <c r="AD206" s="1" t="e">
        <f t="shared" ca="1" si="62"/>
        <v>#NAME?</v>
      </c>
      <c r="AE206" s="1" t="e">
        <f ca="1"/>
        <v>#NAME?</v>
      </c>
      <c r="AF206" s="1" t="e">
        <f t="shared" ca="1" si="63"/>
        <v>#NAME?</v>
      </c>
      <c r="AG206" s="1" t="e">
        <f ca="1"/>
        <v>#NAME?</v>
      </c>
      <c r="AH206" s="1" t="e">
        <f t="shared" ca="1" si="64"/>
        <v>#NAME?</v>
      </c>
      <c r="AI206" s="1" t="e">
        <f ca="1"/>
        <v>#NAME?</v>
      </c>
      <c r="AJ206" s="1" t="e">
        <f t="shared" ca="1" si="73"/>
        <v>#NAME?</v>
      </c>
      <c r="AK206" s="1" t="e">
        <f ca="1"/>
        <v>#NAME?</v>
      </c>
      <c r="AL206" s="1" t="e">
        <f t="shared" ca="1" si="65"/>
        <v>#NAME?</v>
      </c>
      <c r="AN206" s="1">
        <f t="shared" si="55"/>
        <v>4.0242552623296675</v>
      </c>
      <c r="AO206" s="1" t="e">
        <f ca="1"/>
        <v>#NAME?</v>
      </c>
      <c r="AP206" s="1" t="e">
        <f t="shared" ca="1" si="56"/>
        <v>#NAME?</v>
      </c>
    </row>
    <row r="207" spans="1:42" x14ac:dyDescent="0.25">
      <c r="A207" s="1" t="s">
        <v>222</v>
      </c>
      <c r="B207" s="1">
        <v>206</v>
      </c>
      <c r="C207" s="1">
        <v>50897.092389562102</v>
      </c>
      <c r="D207" s="1">
        <f t="shared" si="66"/>
        <v>4.706692973000079</v>
      </c>
      <c r="E207" s="1">
        <v>34878.095146502499</v>
      </c>
      <c r="F207" s="1">
        <f t="shared" si="67"/>
        <v>4.5425527580852769</v>
      </c>
      <c r="G207" s="1">
        <v>7488.8023337821396</v>
      </c>
      <c r="H207" s="1">
        <f t="shared" si="68"/>
        <v>3.8744123675766735</v>
      </c>
      <c r="I207" s="1">
        <v>10325.1138039367</v>
      </c>
      <c r="J207" s="1">
        <f t="shared" si="69"/>
        <v>0.20286254713548546</v>
      </c>
      <c r="K207" s="1">
        <f t="shared" si="70"/>
        <v>4.0138948471709908</v>
      </c>
      <c r="L207" s="1">
        <v>6803.6192857600799</v>
      </c>
      <c r="M207" s="1">
        <f t="shared" si="71"/>
        <v>3.8327400035414181</v>
      </c>
      <c r="N207" s="1">
        <v>8597.3744950952096</v>
      </c>
      <c r="O207" s="1">
        <f t="shared" si="72"/>
        <v>3.9343658446876608</v>
      </c>
      <c r="P207" s="1">
        <v>-1793.7552093351301</v>
      </c>
      <c r="Q207" s="1" t="e">
        <f ca="1"/>
        <v>#NAME?</v>
      </c>
      <c r="R207" s="1" t="e">
        <f t="shared" ca="1" si="57"/>
        <v>#NAME?</v>
      </c>
      <c r="S207" s="4">
        <v>2919513000000</v>
      </c>
      <c r="T207" s="1">
        <v>131748</v>
      </c>
      <c r="U207" s="1" t="e">
        <f ca="1"/>
        <v>#NAME?</v>
      </c>
      <c r="V207" s="1" t="e">
        <f t="shared" ca="1" si="58"/>
        <v>#NAME?</v>
      </c>
      <c r="W207" s="1" t="e">
        <f ca="1"/>
        <v>#NAME?</v>
      </c>
      <c r="X207" s="1" t="e">
        <f t="shared" ca="1" si="59"/>
        <v>#NAME?</v>
      </c>
      <c r="Y207" s="1" t="e">
        <f ca="1"/>
        <v>#NAME?</v>
      </c>
      <c r="Z207" s="1" t="e">
        <f t="shared" ca="1" si="60"/>
        <v>#NAME?</v>
      </c>
      <c r="AA207" s="1" t="e">
        <f ca="1"/>
        <v>#NAME?</v>
      </c>
      <c r="AB207" s="1" t="e">
        <f t="shared" ca="1" si="61"/>
        <v>#NAME?</v>
      </c>
      <c r="AC207" s="1" t="e">
        <f ca="1"/>
        <v>#NAME?</v>
      </c>
      <c r="AD207" s="1" t="e">
        <f t="shared" ca="1" si="62"/>
        <v>#NAME?</v>
      </c>
      <c r="AE207" s="1" t="e">
        <f ca="1"/>
        <v>#NAME?</v>
      </c>
      <c r="AF207" s="1" t="e">
        <f t="shared" ca="1" si="63"/>
        <v>#NAME?</v>
      </c>
      <c r="AG207" s="1" t="e">
        <f ca="1"/>
        <v>#NAME?</v>
      </c>
      <c r="AH207" s="1" t="e">
        <f t="shared" ca="1" si="64"/>
        <v>#NAME?</v>
      </c>
      <c r="AI207" s="1" t="e">
        <f ca="1"/>
        <v>#NAME?</v>
      </c>
      <c r="AJ207" s="1" t="e">
        <f t="shared" ca="1" si="73"/>
        <v>#NAME?</v>
      </c>
      <c r="AK207" s="1" t="e">
        <f ca="1"/>
        <v>#NAME?</v>
      </c>
      <c r="AL207" s="1" t="e">
        <f t="shared" ca="1" si="65"/>
        <v>#NAME?</v>
      </c>
      <c r="AN207" s="1">
        <f t="shared" si="55"/>
        <v>4.0225450442474529</v>
      </c>
      <c r="AO207" s="1" t="e">
        <f ca="1"/>
        <v>#NAME?</v>
      </c>
      <c r="AP207" s="1" t="e">
        <f t="shared" ca="1" si="56"/>
        <v>#NAME?</v>
      </c>
    </row>
    <row r="208" spans="1:42" x14ac:dyDescent="0.25">
      <c r="A208" s="1" t="s">
        <v>223</v>
      </c>
      <c r="B208" s="1">
        <v>207</v>
      </c>
      <c r="C208" s="1">
        <v>50768.967966065902</v>
      </c>
      <c r="D208" s="1">
        <f t="shared" si="66"/>
        <v>4.7055983351359769</v>
      </c>
      <c r="E208" s="1">
        <v>34909.729819645203</v>
      </c>
      <c r="F208" s="1">
        <f t="shared" si="67"/>
        <v>4.5429464876485737</v>
      </c>
      <c r="G208" s="1">
        <v>7497.5720235696099</v>
      </c>
      <c r="H208" s="1">
        <f t="shared" si="68"/>
        <v>3.8749206463940333</v>
      </c>
      <c r="I208" s="1">
        <v>10155.9183125084</v>
      </c>
      <c r="J208" s="1">
        <f t="shared" si="69"/>
        <v>0.20004185074820982</v>
      </c>
      <c r="K208" s="1">
        <f t="shared" si="70"/>
        <v>4.006719199038085</v>
      </c>
      <c r="L208" s="1">
        <v>6882.3822959252202</v>
      </c>
      <c r="M208" s="1">
        <f t="shared" si="71"/>
        <v>3.8377387927254056</v>
      </c>
      <c r="N208" s="1">
        <v>8674.2384983013799</v>
      </c>
      <c r="O208" s="1">
        <f t="shared" si="72"/>
        <v>3.9382313589093854</v>
      </c>
      <c r="P208" s="1">
        <v>-1791.8562023761499</v>
      </c>
      <c r="Q208" s="1" t="e">
        <f ca="1"/>
        <v>#NAME?</v>
      </c>
      <c r="R208" s="1" t="e">
        <f t="shared" ca="1" si="57"/>
        <v>#NAME?</v>
      </c>
      <c r="S208" s="4">
        <v>3008949000000</v>
      </c>
      <c r="T208" s="1">
        <v>132153.33333333299</v>
      </c>
      <c r="U208" s="1" t="e">
        <f ca="1"/>
        <v>#NAME?</v>
      </c>
      <c r="V208" s="1" t="e">
        <f t="shared" ca="1" si="58"/>
        <v>#NAME?</v>
      </c>
      <c r="W208" s="1" t="e">
        <f ca="1"/>
        <v>#NAME?</v>
      </c>
      <c r="X208" s="1" t="e">
        <f t="shared" ca="1" si="59"/>
        <v>#NAME?</v>
      </c>
      <c r="Y208" s="1" t="e">
        <f ca="1"/>
        <v>#NAME?</v>
      </c>
      <c r="Z208" s="1" t="e">
        <f t="shared" ca="1" si="60"/>
        <v>#NAME?</v>
      </c>
      <c r="AA208" s="1" t="e">
        <f ca="1"/>
        <v>#NAME?</v>
      </c>
      <c r="AB208" s="1" t="e">
        <f t="shared" ca="1" si="61"/>
        <v>#NAME?</v>
      </c>
      <c r="AC208" s="1" t="e">
        <f ca="1"/>
        <v>#NAME?</v>
      </c>
      <c r="AD208" s="1" t="e">
        <f t="shared" ca="1" si="62"/>
        <v>#NAME?</v>
      </c>
      <c r="AE208" s="1" t="e">
        <f ca="1"/>
        <v>#NAME?</v>
      </c>
      <c r="AF208" s="1" t="e">
        <f t="shared" ca="1" si="63"/>
        <v>#NAME?</v>
      </c>
      <c r="AG208" s="1" t="e">
        <f ca="1"/>
        <v>#NAME?</v>
      </c>
      <c r="AH208" s="1" t="e">
        <f t="shared" ca="1" si="64"/>
        <v>#NAME?</v>
      </c>
      <c r="AI208" s="1" t="e">
        <f ca="1"/>
        <v>#NAME?</v>
      </c>
      <c r="AJ208" s="1" t="e">
        <f t="shared" ca="1" si="73"/>
        <v>#NAME?</v>
      </c>
      <c r="AK208" s="1" t="e">
        <f ca="1"/>
        <v>#NAME?</v>
      </c>
      <c r="AL208" s="1" t="e">
        <f t="shared" ca="1" si="65"/>
        <v>#NAME?</v>
      </c>
      <c r="AN208" s="1">
        <f t="shared" si="55"/>
        <v>4.0158789994797619</v>
      </c>
      <c r="AO208" s="1" t="e">
        <f ca="1"/>
        <v>#NAME?</v>
      </c>
      <c r="AP208" s="1" t="e">
        <f t="shared" ca="1" si="56"/>
        <v>#NAME?</v>
      </c>
    </row>
    <row r="209" spans="1:42" x14ac:dyDescent="0.25">
      <c r="A209" s="1" t="s">
        <v>224</v>
      </c>
      <c r="B209" s="1">
        <v>208</v>
      </c>
      <c r="C209" s="1">
        <v>51231.5790817792</v>
      </c>
      <c r="D209" s="1">
        <f t="shared" si="66"/>
        <v>4.7095377420940707</v>
      </c>
      <c r="E209" s="1">
        <v>34897.202944537697</v>
      </c>
      <c r="F209" s="1">
        <f t="shared" si="67"/>
        <v>4.5427906190957623</v>
      </c>
      <c r="G209" s="1">
        <v>8058.6257972661497</v>
      </c>
      <c r="H209" s="1">
        <f t="shared" si="68"/>
        <v>3.9062609897521079</v>
      </c>
      <c r="I209" s="1">
        <v>10127.546622911501</v>
      </c>
      <c r="J209" s="1">
        <f t="shared" si="69"/>
        <v>0.19768171905740498</v>
      </c>
      <c r="K209" s="1">
        <f t="shared" si="70"/>
        <v>4.0055042511670642</v>
      </c>
      <c r="L209" s="1">
        <v>6919.7019708993903</v>
      </c>
      <c r="M209" s="1">
        <f t="shared" si="71"/>
        <v>3.8400873899508179</v>
      </c>
      <c r="N209" s="1">
        <v>8769.8350880105208</v>
      </c>
      <c r="O209" s="1">
        <f t="shared" si="72"/>
        <v>3.942991426770782</v>
      </c>
      <c r="P209" s="1">
        <v>-1850.1331171111401</v>
      </c>
      <c r="Q209" s="1" t="e">
        <f ca="1"/>
        <v>#NAME?</v>
      </c>
      <c r="R209" s="1" t="e">
        <f t="shared" ca="1" si="57"/>
        <v>#NAME?</v>
      </c>
      <c r="S209" s="4">
        <v>3067232000000</v>
      </c>
      <c r="T209" s="1">
        <v>132719.66666666701</v>
      </c>
      <c r="U209" s="1" t="e">
        <f ca="1"/>
        <v>#NAME?</v>
      </c>
      <c r="V209" s="1" t="e">
        <f t="shared" ca="1" si="58"/>
        <v>#NAME?</v>
      </c>
      <c r="W209" s="1" t="e">
        <f ca="1"/>
        <v>#NAME?</v>
      </c>
      <c r="X209" s="1" t="e">
        <f t="shared" ca="1" si="59"/>
        <v>#NAME?</v>
      </c>
      <c r="Y209" s="1" t="e">
        <f ca="1"/>
        <v>#NAME?</v>
      </c>
      <c r="Z209" s="1" t="e">
        <f t="shared" ca="1" si="60"/>
        <v>#NAME?</v>
      </c>
      <c r="AA209" s="1" t="e">
        <f ca="1"/>
        <v>#NAME?</v>
      </c>
      <c r="AB209" s="1" t="e">
        <f t="shared" ca="1" si="61"/>
        <v>#NAME?</v>
      </c>
      <c r="AC209" s="1" t="e">
        <f ca="1"/>
        <v>#NAME?</v>
      </c>
      <c r="AD209" s="1" t="e">
        <f t="shared" ca="1" si="62"/>
        <v>#NAME?</v>
      </c>
      <c r="AE209" s="1" t="e">
        <f ca="1"/>
        <v>#NAME?</v>
      </c>
      <c r="AF209" s="1" t="e">
        <f t="shared" ca="1" si="63"/>
        <v>#NAME?</v>
      </c>
      <c r="AG209" s="1" t="e">
        <f ca="1"/>
        <v>#NAME?</v>
      </c>
      <c r="AH209" s="1" t="e">
        <f t="shared" ca="1" si="64"/>
        <v>#NAME?</v>
      </c>
      <c r="AI209" s="1" t="e">
        <f ca="1"/>
        <v>#NAME?</v>
      </c>
      <c r="AJ209" s="1" t="e">
        <f t="shared" ca="1" si="73"/>
        <v>#NAME?</v>
      </c>
      <c r="AK209" s="1" t="e">
        <f ca="1"/>
        <v>#NAME?</v>
      </c>
      <c r="AL209" s="1" t="e">
        <f t="shared" ca="1" si="65"/>
        <v>#NAME?</v>
      </c>
      <c r="AN209" s="1">
        <f t="shared" si="55"/>
        <v>4.0156303759101517</v>
      </c>
      <c r="AO209" s="1" t="e">
        <f ca="1"/>
        <v>#NAME?</v>
      </c>
      <c r="AP209" s="1" t="e">
        <f t="shared" ca="1" si="56"/>
        <v>#NAME?</v>
      </c>
    </row>
    <row r="210" spans="1:42" x14ac:dyDescent="0.25">
      <c r="A210" s="1" t="s">
        <v>225</v>
      </c>
      <c r="B210" s="1">
        <v>209</v>
      </c>
      <c r="C210" s="1">
        <v>51559.266187187903</v>
      </c>
      <c r="D210" s="1">
        <f t="shared" si="66"/>
        <v>4.7123067276665687</v>
      </c>
      <c r="E210" s="1">
        <v>35086.800100696899</v>
      </c>
      <c r="F210" s="1">
        <f t="shared" si="67"/>
        <v>4.5451437625734004</v>
      </c>
      <c r="G210" s="1">
        <v>8212.3971919582691</v>
      </c>
      <c r="H210" s="1">
        <f t="shared" si="68"/>
        <v>3.9144699458257137</v>
      </c>
      <c r="I210" s="1">
        <v>10066.3101911011</v>
      </c>
      <c r="J210" s="1">
        <f t="shared" si="69"/>
        <v>0.19523765436371754</v>
      </c>
      <c r="K210" s="1">
        <f t="shared" si="70"/>
        <v>4.0028703089548152</v>
      </c>
      <c r="L210" s="1">
        <v>6991.7020646053497</v>
      </c>
      <c r="M210" s="1">
        <f t="shared" si="71"/>
        <v>3.844582913554452</v>
      </c>
      <c r="N210" s="1">
        <v>8797.4303167810103</v>
      </c>
      <c r="O210" s="1">
        <f t="shared" si="72"/>
        <v>3.9443558355348118</v>
      </c>
      <c r="P210" s="1">
        <v>-1805.7282521756599</v>
      </c>
      <c r="Q210" s="1" t="e">
        <f ca="1"/>
        <v>#NAME?</v>
      </c>
      <c r="R210" s="1" t="e">
        <f t="shared" ca="1" si="57"/>
        <v>#NAME?</v>
      </c>
      <c r="S210" s="4">
        <v>3129950000000</v>
      </c>
      <c r="T210" s="1">
        <v>133502.66666666701</v>
      </c>
      <c r="U210" s="1" t="e">
        <f ca="1"/>
        <v>#NAME?</v>
      </c>
      <c r="V210" s="1" t="e">
        <f t="shared" ca="1" si="58"/>
        <v>#NAME?</v>
      </c>
      <c r="W210" s="1" t="e">
        <f ca="1"/>
        <v>#NAME?</v>
      </c>
      <c r="X210" s="1" t="e">
        <f t="shared" ca="1" si="59"/>
        <v>#NAME?</v>
      </c>
      <c r="Y210" s="1" t="e">
        <f ca="1"/>
        <v>#NAME?</v>
      </c>
      <c r="Z210" s="1" t="e">
        <f t="shared" ca="1" si="60"/>
        <v>#NAME?</v>
      </c>
      <c r="AA210" s="1" t="e">
        <f ca="1"/>
        <v>#NAME?</v>
      </c>
      <c r="AB210" s="1" t="e">
        <f t="shared" ca="1" si="61"/>
        <v>#NAME?</v>
      </c>
      <c r="AC210" s="1" t="e">
        <f ca="1"/>
        <v>#NAME?</v>
      </c>
      <c r="AD210" s="1" t="e">
        <f t="shared" ca="1" si="62"/>
        <v>#NAME?</v>
      </c>
      <c r="AE210" s="1" t="e">
        <f ca="1"/>
        <v>#NAME?</v>
      </c>
      <c r="AF210" s="1" t="e">
        <f t="shared" ca="1" si="63"/>
        <v>#NAME?</v>
      </c>
      <c r="AG210" s="1" t="e">
        <f ca="1"/>
        <v>#NAME?</v>
      </c>
      <c r="AH210" s="1" t="e">
        <f t="shared" ca="1" si="64"/>
        <v>#NAME?</v>
      </c>
      <c r="AI210" s="1" t="e">
        <f ca="1"/>
        <v>#NAME?</v>
      </c>
      <c r="AJ210" s="1" t="e">
        <f t="shared" ca="1" si="73"/>
        <v>#NAME?</v>
      </c>
      <c r="AK210" s="1" t="e">
        <f ca="1"/>
        <v>#NAME?</v>
      </c>
      <c r="AL210" s="1" t="e">
        <f t="shared" ca="1" si="65"/>
        <v>#NAME?</v>
      </c>
      <c r="AN210" s="1">
        <f t="shared" si="55"/>
        <v>4.0135997016876859</v>
      </c>
      <c r="AO210" s="1" t="e">
        <f ca="1"/>
        <v>#NAME?</v>
      </c>
      <c r="AP210" s="1" t="e">
        <f t="shared" ca="1" si="56"/>
        <v>#NAME?</v>
      </c>
    </row>
    <row r="211" spans="1:42" x14ac:dyDescent="0.25">
      <c r="A211" s="1" t="s">
        <v>226</v>
      </c>
      <c r="B211" s="1">
        <v>210</v>
      </c>
      <c r="C211" s="1">
        <v>51702.0418420157</v>
      </c>
      <c r="D211" s="1">
        <f t="shared" si="66"/>
        <v>4.7135076948001302</v>
      </c>
      <c r="E211" s="1">
        <v>35085.792991128401</v>
      </c>
      <c r="F211" s="1">
        <f t="shared" si="67"/>
        <v>4.5451312966772717</v>
      </c>
      <c r="G211" s="1">
        <v>8386.5185623447305</v>
      </c>
      <c r="H211" s="1">
        <f t="shared" si="68"/>
        <v>3.9235817125633812</v>
      </c>
      <c r="I211" s="1">
        <v>9995.8266136086804</v>
      </c>
      <c r="J211" s="1">
        <f t="shared" si="69"/>
        <v>0.19333523894767277</v>
      </c>
      <c r="K211" s="1">
        <f t="shared" si="70"/>
        <v>3.9998187143005448</v>
      </c>
      <c r="L211" s="1">
        <v>7048.1657139767103</v>
      </c>
      <c r="M211" s="1">
        <f t="shared" si="71"/>
        <v>3.848076106502119</v>
      </c>
      <c r="N211" s="1">
        <v>8814.4051811065201</v>
      </c>
      <c r="O211" s="1">
        <f t="shared" si="72"/>
        <v>3.9451930103075759</v>
      </c>
      <c r="P211" s="1">
        <v>-1766.23946712981</v>
      </c>
      <c r="Q211" s="1" t="e">
        <f ca="1"/>
        <v>#NAME?</v>
      </c>
      <c r="R211" s="1" t="e">
        <f t="shared" ca="1" si="57"/>
        <v>#NAME?</v>
      </c>
      <c r="S211" s="4">
        <v>3177218000000</v>
      </c>
      <c r="T211" s="1">
        <v>133923</v>
      </c>
      <c r="U211" s="1" t="e">
        <f ca="1"/>
        <v>#NAME?</v>
      </c>
      <c r="V211" s="1" t="e">
        <f t="shared" ca="1" si="58"/>
        <v>#NAME?</v>
      </c>
      <c r="W211" s="1" t="e">
        <f ca="1"/>
        <v>#NAME?</v>
      </c>
      <c r="X211" s="1" t="e">
        <f t="shared" ca="1" si="59"/>
        <v>#NAME?</v>
      </c>
      <c r="Y211" s="1" t="e">
        <f ca="1"/>
        <v>#NAME?</v>
      </c>
      <c r="Z211" s="1" t="e">
        <f t="shared" ca="1" si="60"/>
        <v>#NAME?</v>
      </c>
      <c r="AA211" s="1" t="e">
        <f ca="1"/>
        <v>#NAME?</v>
      </c>
      <c r="AB211" s="1" t="e">
        <f t="shared" ca="1" si="61"/>
        <v>#NAME?</v>
      </c>
      <c r="AC211" s="1" t="e">
        <f ca="1"/>
        <v>#NAME?</v>
      </c>
      <c r="AD211" s="1" t="e">
        <f t="shared" ca="1" si="62"/>
        <v>#NAME?</v>
      </c>
      <c r="AE211" s="1" t="e">
        <f ca="1"/>
        <v>#NAME?</v>
      </c>
      <c r="AF211" s="1" t="e">
        <f t="shared" ca="1" si="63"/>
        <v>#NAME?</v>
      </c>
      <c r="AG211" s="1" t="e">
        <f ca="1"/>
        <v>#NAME?</v>
      </c>
      <c r="AH211" s="1" t="e">
        <f t="shared" ca="1" si="64"/>
        <v>#NAME?</v>
      </c>
      <c r="AI211" s="1" t="e">
        <f ca="1"/>
        <v>#NAME?</v>
      </c>
      <c r="AJ211" s="1" t="e">
        <f t="shared" ca="1" si="73"/>
        <v>#NAME?</v>
      </c>
      <c r="AK211" s="1" t="e">
        <f ca="1"/>
        <v>#NAME?</v>
      </c>
      <c r="AL211" s="1" t="e">
        <f t="shared" ca="1" si="65"/>
        <v>#NAME?</v>
      </c>
      <c r="AN211" s="1">
        <f t="shared" si="55"/>
        <v>4.0115834612595211</v>
      </c>
      <c r="AO211" s="1" t="e">
        <f ca="1"/>
        <v>#NAME?</v>
      </c>
      <c r="AP211" s="1" t="e">
        <f t="shared" ca="1" si="56"/>
        <v>#NAME?</v>
      </c>
    </row>
    <row r="212" spans="1:42" x14ac:dyDescent="0.25">
      <c r="A212" s="1" t="s">
        <v>227</v>
      </c>
      <c r="B212" s="1">
        <v>211</v>
      </c>
      <c r="C212" s="1">
        <v>51684.445925784799</v>
      </c>
      <c r="D212" s="1">
        <f t="shared" si="66"/>
        <v>4.7133598648551951</v>
      </c>
      <c r="E212" s="1">
        <v>35083.5412500397</v>
      </c>
      <c r="F212" s="1">
        <f t="shared" si="67"/>
        <v>4.5451034235688708</v>
      </c>
      <c r="G212" s="1">
        <v>8407.0056819985402</v>
      </c>
      <c r="H212" s="1">
        <f t="shared" si="68"/>
        <v>3.9246413409415806</v>
      </c>
      <c r="I212" s="1">
        <v>9959.8895343300701</v>
      </c>
      <c r="J212" s="1">
        <f t="shared" si="69"/>
        <v>0.19270574262577497</v>
      </c>
      <c r="K212" s="1">
        <f t="shared" si="70"/>
        <v>3.9982545216669783</v>
      </c>
      <c r="L212" s="1">
        <v>7076.6371456686702</v>
      </c>
      <c r="M212" s="1">
        <f t="shared" si="71"/>
        <v>3.8498269277412107</v>
      </c>
      <c r="N212" s="1">
        <v>8843.2308034155503</v>
      </c>
      <c r="O212" s="1">
        <f t="shared" si="72"/>
        <v>3.9466109600079751</v>
      </c>
      <c r="P212" s="1">
        <v>-1766.5936577468799</v>
      </c>
      <c r="Q212" s="1" t="e">
        <f ca="1"/>
        <v>#NAME?</v>
      </c>
      <c r="R212" s="1" t="e">
        <f t="shared" ca="1" si="57"/>
        <v>#NAME?</v>
      </c>
      <c r="S212" s="4">
        <v>3170946000000</v>
      </c>
      <c r="T212" s="1">
        <v>134331.66666666701</v>
      </c>
      <c r="U212" s="1" t="e">
        <f ca="1"/>
        <v>#NAME?</v>
      </c>
      <c r="V212" s="1" t="e">
        <f t="shared" ca="1" si="58"/>
        <v>#NAME?</v>
      </c>
      <c r="W212" s="1" t="e">
        <f ca="1"/>
        <v>#NAME?</v>
      </c>
      <c r="X212" s="1" t="e">
        <f t="shared" ca="1" si="59"/>
        <v>#NAME?</v>
      </c>
      <c r="Y212" s="1" t="e">
        <f ca="1"/>
        <v>#NAME?</v>
      </c>
      <c r="Z212" s="1" t="e">
        <f t="shared" ca="1" si="60"/>
        <v>#NAME?</v>
      </c>
      <c r="AA212" s="1" t="e">
        <f ca="1"/>
        <v>#NAME?</v>
      </c>
      <c r="AB212" s="1" t="e">
        <f t="shared" ca="1" si="61"/>
        <v>#NAME?</v>
      </c>
      <c r="AC212" s="1" t="e">
        <f ca="1"/>
        <v>#NAME?</v>
      </c>
      <c r="AD212" s="1" t="e">
        <f t="shared" ca="1" si="62"/>
        <v>#NAME?</v>
      </c>
      <c r="AE212" s="1" t="e">
        <f ca="1"/>
        <v>#NAME?</v>
      </c>
      <c r="AF212" s="1" t="e">
        <f t="shared" ca="1" si="63"/>
        <v>#NAME?</v>
      </c>
      <c r="AG212" s="1" t="e">
        <f ca="1"/>
        <v>#NAME?</v>
      </c>
      <c r="AH212" s="1" t="e">
        <f t="shared" ca="1" si="64"/>
        <v>#NAME?</v>
      </c>
      <c r="AI212" s="1" t="e">
        <f ca="1"/>
        <v>#NAME?</v>
      </c>
      <c r="AJ212" s="1" t="e">
        <f t="shared" ca="1" si="73"/>
        <v>#NAME?</v>
      </c>
      <c r="AK212" s="1" t="e">
        <f ca="1"/>
        <v>#NAME?</v>
      </c>
      <c r="AL212" s="1" t="e">
        <f t="shared" ca="1" si="65"/>
        <v>#NAME?</v>
      </c>
      <c r="AN212" s="1">
        <f t="shared" si="55"/>
        <v>4.0108977022195322</v>
      </c>
      <c r="AO212" s="1" t="e">
        <f ca="1"/>
        <v>#NAME?</v>
      </c>
      <c r="AP212" s="1" t="e">
        <f t="shared" ca="1" si="56"/>
        <v>#NAME?</v>
      </c>
    </row>
    <row r="213" spans="1:42" x14ac:dyDescent="0.25">
      <c r="A213" s="1" t="s">
        <v>228</v>
      </c>
      <c r="B213" s="1">
        <v>212</v>
      </c>
      <c r="C213" s="1">
        <v>51633.859701918103</v>
      </c>
      <c r="D213" s="1">
        <f t="shared" si="66"/>
        <v>4.7129345903695619</v>
      </c>
      <c r="E213" s="1">
        <v>35150.117997370799</v>
      </c>
      <c r="F213" s="1">
        <f t="shared" si="67"/>
        <v>4.5459267872654019</v>
      </c>
      <c r="G213" s="1">
        <v>8314.9500293013607</v>
      </c>
      <c r="H213" s="1">
        <f t="shared" si="68"/>
        <v>3.9198596435658941</v>
      </c>
      <c r="I213" s="1">
        <v>9841.6459445333203</v>
      </c>
      <c r="J213" s="1">
        <f t="shared" si="69"/>
        <v>0.19060449870199653</v>
      </c>
      <c r="K213" s="1">
        <f t="shared" si="70"/>
        <v>3.9930677371356471</v>
      </c>
      <c r="L213" s="1">
        <v>7069.0941919951902</v>
      </c>
      <c r="M213" s="1">
        <f t="shared" si="71"/>
        <v>3.849363768447438</v>
      </c>
      <c r="N213" s="1">
        <v>8741.7108826836902</v>
      </c>
      <c r="O213" s="1">
        <f t="shared" si="72"/>
        <v>3.9415964388350053</v>
      </c>
      <c r="P213" s="1">
        <v>-1672.6166906885001</v>
      </c>
      <c r="Q213" s="1" t="e">
        <f ca="1"/>
        <v>#NAME?</v>
      </c>
      <c r="R213" s="1" t="e">
        <f t="shared" ca="1" si="57"/>
        <v>#NAME?</v>
      </c>
      <c r="S213" s="4">
        <v>3208178000000</v>
      </c>
      <c r="T213" s="1">
        <v>134860</v>
      </c>
      <c r="U213" s="1" t="e">
        <f ca="1"/>
        <v>#NAME?</v>
      </c>
      <c r="V213" s="1" t="e">
        <f t="shared" ca="1" si="58"/>
        <v>#NAME?</v>
      </c>
      <c r="W213" s="1" t="e">
        <f ca="1"/>
        <v>#NAME?</v>
      </c>
      <c r="X213" s="1" t="e">
        <f t="shared" ca="1" si="59"/>
        <v>#NAME?</v>
      </c>
      <c r="Y213" s="1" t="e">
        <f ca="1"/>
        <v>#NAME?</v>
      </c>
      <c r="Z213" s="1" t="e">
        <f t="shared" ca="1" si="60"/>
        <v>#NAME?</v>
      </c>
      <c r="AA213" s="1" t="e">
        <f ca="1"/>
        <v>#NAME?</v>
      </c>
      <c r="AB213" s="1" t="e">
        <f t="shared" ca="1" si="61"/>
        <v>#NAME?</v>
      </c>
      <c r="AC213" s="1" t="e">
        <f ca="1"/>
        <v>#NAME?</v>
      </c>
      <c r="AD213" s="1" t="e">
        <f t="shared" ca="1" si="62"/>
        <v>#NAME?</v>
      </c>
      <c r="AE213" s="1" t="e">
        <f ca="1"/>
        <v>#NAME?</v>
      </c>
      <c r="AF213" s="1" t="e">
        <f t="shared" ca="1" si="63"/>
        <v>#NAME?</v>
      </c>
      <c r="AG213" s="1" t="e">
        <f ca="1"/>
        <v>#NAME?</v>
      </c>
      <c r="AH213" s="1" t="e">
        <f t="shared" ca="1" si="64"/>
        <v>#NAME?</v>
      </c>
      <c r="AI213" s="1" t="e">
        <f ca="1"/>
        <v>#NAME?</v>
      </c>
      <c r="AJ213" s="1" t="e">
        <f t="shared" ca="1" si="73"/>
        <v>#NAME?</v>
      </c>
      <c r="AK213" s="1" t="e">
        <f ca="1"/>
        <v>#NAME?</v>
      </c>
      <c r="AL213" s="1" t="e">
        <f t="shared" ca="1" si="65"/>
        <v>#NAME?</v>
      </c>
      <c r="AN213" s="1">
        <f t="shared" si="55"/>
        <v>4.0075563266725114</v>
      </c>
      <c r="AO213" s="1" t="e">
        <f ca="1"/>
        <v>#NAME?</v>
      </c>
      <c r="AP213" s="1" t="e">
        <f t="shared" ca="1" si="56"/>
        <v>#NAME?</v>
      </c>
    </row>
    <row r="214" spans="1:42" x14ac:dyDescent="0.25">
      <c r="A214" s="1" t="s">
        <v>229</v>
      </c>
      <c r="B214" s="1">
        <v>213</v>
      </c>
      <c r="C214" s="1">
        <v>51997.764045085998</v>
      </c>
      <c r="D214" s="1">
        <f t="shared" si="66"/>
        <v>4.7159846689471268</v>
      </c>
      <c r="E214" s="1">
        <v>35280.272362711701</v>
      </c>
      <c r="F214" s="1">
        <f t="shared" si="67"/>
        <v>4.5475319292139256</v>
      </c>
      <c r="G214" s="1">
        <v>8611.0450480082</v>
      </c>
      <c r="H214" s="1">
        <f t="shared" si="68"/>
        <v>3.9350558612145985</v>
      </c>
      <c r="I214" s="1">
        <v>9737.1725132512802</v>
      </c>
      <c r="J214" s="1">
        <f t="shared" si="69"/>
        <v>0.18726136963905629</v>
      </c>
      <c r="K214" s="1">
        <f t="shared" si="70"/>
        <v>3.9884328644593574</v>
      </c>
      <c r="L214" s="1">
        <v>7091.5128591127004</v>
      </c>
      <c r="M214" s="1">
        <f t="shared" si="71"/>
        <v>3.8507388947425314</v>
      </c>
      <c r="N214" s="1">
        <v>8720.1134739212393</v>
      </c>
      <c r="O214" s="1">
        <f t="shared" si="72"/>
        <v>3.9405221363978411</v>
      </c>
      <c r="P214" s="1">
        <v>-1628.6006148085401</v>
      </c>
      <c r="Q214" s="1" t="e">
        <f ca="1"/>
        <v>#NAME?</v>
      </c>
      <c r="R214" s="1" t="e">
        <f t="shared" ca="1" si="57"/>
        <v>#NAME?</v>
      </c>
      <c r="S214" s="4">
        <v>3239229000000</v>
      </c>
      <c r="T214" s="1">
        <v>135499.33333333299</v>
      </c>
      <c r="U214" s="1" t="e">
        <f ca="1"/>
        <v>#NAME?</v>
      </c>
      <c r="V214" s="1" t="e">
        <f t="shared" ca="1" si="58"/>
        <v>#NAME?</v>
      </c>
      <c r="W214" s="1" t="e">
        <f ca="1"/>
        <v>#NAME?</v>
      </c>
      <c r="X214" s="1" t="e">
        <f t="shared" ca="1" si="59"/>
        <v>#NAME?</v>
      </c>
      <c r="Y214" s="1" t="e">
        <f ca="1"/>
        <v>#NAME?</v>
      </c>
      <c r="Z214" s="1" t="e">
        <f t="shared" ca="1" si="60"/>
        <v>#NAME?</v>
      </c>
      <c r="AA214" s="1" t="e">
        <f ca="1"/>
        <v>#NAME?</v>
      </c>
      <c r="AB214" s="1" t="e">
        <f t="shared" ca="1" si="61"/>
        <v>#NAME?</v>
      </c>
      <c r="AC214" s="1" t="e">
        <f ca="1"/>
        <v>#NAME?</v>
      </c>
      <c r="AD214" s="1" t="e">
        <f t="shared" ca="1" si="62"/>
        <v>#NAME?</v>
      </c>
      <c r="AE214" s="1" t="e">
        <f ca="1"/>
        <v>#NAME?</v>
      </c>
      <c r="AF214" s="1" t="e">
        <f t="shared" ca="1" si="63"/>
        <v>#NAME?</v>
      </c>
      <c r="AG214" s="1" t="e">
        <f ca="1"/>
        <v>#NAME?</v>
      </c>
      <c r="AH214" s="1" t="e">
        <f t="shared" ca="1" si="64"/>
        <v>#NAME?</v>
      </c>
      <c r="AI214" s="1" t="e">
        <f ca="1"/>
        <v>#NAME?</v>
      </c>
      <c r="AJ214" s="1" t="e">
        <f t="shared" ca="1" si="73"/>
        <v>#NAME?</v>
      </c>
      <c r="AK214" s="1" t="e">
        <f ca="1"/>
        <v>#NAME?</v>
      </c>
      <c r="AL214" s="1" t="e">
        <f t="shared" ca="1" si="65"/>
        <v>#NAME?</v>
      </c>
      <c r="AN214" s="1">
        <f t="shared" si="55"/>
        <v>4.0077858928495527</v>
      </c>
      <c r="AO214" s="1" t="e">
        <f ca="1"/>
        <v>#NAME?</v>
      </c>
      <c r="AP214" s="1" t="e">
        <f t="shared" ca="1" si="56"/>
        <v>#NAME?</v>
      </c>
    </row>
    <row r="215" spans="1:42" x14ac:dyDescent="0.25">
      <c r="A215" s="1" t="s">
        <v>230</v>
      </c>
      <c r="B215" s="1">
        <v>214</v>
      </c>
      <c r="C215" s="1">
        <v>51981.959568469298</v>
      </c>
      <c r="D215" s="1">
        <f t="shared" si="66"/>
        <v>4.7158526471105935</v>
      </c>
      <c r="E215" s="1">
        <v>35274.654046152398</v>
      </c>
      <c r="F215" s="1">
        <f t="shared" si="67"/>
        <v>4.547462763132728</v>
      </c>
      <c r="G215" s="1">
        <v>8692.6117581685503</v>
      </c>
      <c r="H215" s="1">
        <f t="shared" si="68"/>
        <v>3.939150282978408</v>
      </c>
      <c r="I215" s="1">
        <v>9704.3156223064907</v>
      </c>
      <c r="J215" s="1">
        <f t="shared" si="69"/>
        <v>0.18668622158278231</v>
      </c>
      <c r="K215" s="1">
        <f t="shared" si="70"/>
        <v>3.9869649130436953</v>
      </c>
      <c r="L215" s="1">
        <v>7143.3162947971996</v>
      </c>
      <c r="M215" s="1">
        <f t="shared" si="71"/>
        <v>3.8538998804260793</v>
      </c>
      <c r="N215" s="1">
        <v>8831.7289325709698</v>
      </c>
      <c r="O215" s="1">
        <f t="shared" si="72"/>
        <v>3.9460457310265142</v>
      </c>
      <c r="P215" s="1">
        <v>-1688.41263777377</v>
      </c>
      <c r="Q215" s="1" t="e">
        <f ca="1"/>
        <v>#NAME?</v>
      </c>
      <c r="R215" s="1" t="e">
        <f t="shared" ca="1" si="57"/>
        <v>#NAME?</v>
      </c>
      <c r="S215" s="4">
        <v>3257752000000</v>
      </c>
      <c r="T215" s="1">
        <v>136078.66666666701</v>
      </c>
      <c r="U215" s="1" t="e">
        <f ca="1"/>
        <v>#NAME?</v>
      </c>
      <c r="V215" s="1" t="e">
        <f t="shared" ca="1" si="58"/>
        <v>#NAME?</v>
      </c>
      <c r="W215" s="1" t="e">
        <f ca="1"/>
        <v>#NAME?</v>
      </c>
      <c r="X215" s="1" t="e">
        <f t="shared" ca="1" si="59"/>
        <v>#NAME?</v>
      </c>
      <c r="Y215" s="1" t="e">
        <f ca="1"/>
        <v>#NAME?</v>
      </c>
      <c r="Z215" s="1" t="e">
        <f t="shared" ca="1" si="60"/>
        <v>#NAME?</v>
      </c>
      <c r="AA215" s="1" t="e">
        <f ca="1"/>
        <v>#NAME?</v>
      </c>
      <c r="AB215" s="1" t="e">
        <f t="shared" ca="1" si="61"/>
        <v>#NAME?</v>
      </c>
      <c r="AC215" s="1" t="e">
        <f ca="1"/>
        <v>#NAME?</v>
      </c>
      <c r="AD215" s="1" t="e">
        <f t="shared" ca="1" si="62"/>
        <v>#NAME?</v>
      </c>
      <c r="AE215" s="1" t="e">
        <f ca="1"/>
        <v>#NAME?</v>
      </c>
      <c r="AF215" s="1" t="e">
        <f t="shared" ca="1" si="63"/>
        <v>#NAME?</v>
      </c>
      <c r="AG215" s="1" t="e">
        <f ca="1"/>
        <v>#NAME?</v>
      </c>
      <c r="AH215" s="1" t="e">
        <f t="shared" ca="1" si="64"/>
        <v>#NAME?</v>
      </c>
      <c r="AI215" s="1" t="e">
        <f ca="1"/>
        <v>#NAME?</v>
      </c>
      <c r="AJ215" s="1" t="e">
        <f t="shared" ca="1" si="73"/>
        <v>#NAME?</v>
      </c>
      <c r="AK215" s="1" t="e">
        <f ca="1"/>
        <v>#NAME?</v>
      </c>
      <c r="AL215" s="1" t="e">
        <f t="shared" ca="1" si="65"/>
        <v>#NAME?</v>
      </c>
      <c r="AN215" s="1">
        <f t="shared" si="55"/>
        <v>4.0055765308913793</v>
      </c>
      <c r="AO215" s="1" t="e">
        <f ca="1"/>
        <v>#NAME?</v>
      </c>
      <c r="AP215" s="1" t="e">
        <f t="shared" ca="1" si="56"/>
        <v>#NAME?</v>
      </c>
    </row>
    <row r="216" spans="1:42" x14ac:dyDescent="0.25">
      <c r="A216" s="1" t="s">
        <v>231</v>
      </c>
      <c r="B216" s="1">
        <v>215</v>
      </c>
      <c r="C216" s="1">
        <v>52284.033195125303</v>
      </c>
      <c r="D216" s="1">
        <f t="shared" si="66"/>
        <v>4.7183690817169719</v>
      </c>
      <c r="E216" s="1">
        <v>35332.571929072801</v>
      </c>
      <c r="F216" s="1">
        <f t="shared" si="67"/>
        <v>4.5481752517555289</v>
      </c>
      <c r="G216" s="1">
        <v>9010.0410843236805</v>
      </c>
      <c r="H216" s="1">
        <f t="shared" si="68"/>
        <v>3.9547267712958649</v>
      </c>
      <c r="I216" s="1">
        <v>9632.1692774956191</v>
      </c>
      <c r="J216" s="1">
        <f t="shared" si="69"/>
        <v>0.18422774007407053</v>
      </c>
      <c r="K216" s="1">
        <f t="shared" si="70"/>
        <v>3.9837241063510684</v>
      </c>
      <c r="L216" s="1">
        <v>7189.69048129151</v>
      </c>
      <c r="M216" s="1">
        <f t="shared" si="71"/>
        <v>3.8567101942548487</v>
      </c>
      <c r="N216" s="1">
        <v>8876.6052502236998</v>
      </c>
      <c r="O216" s="1">
        <f t="shared" si="72"/>
        <v>3.9482469068847443</v>
      </c>
      <c r="P216" s="1">
        <v>-1686.9147689321901</v>
      </c>
      <c r="Q216" s="1" t="e">
        <f ca="1"/>
        <v>#NAME?</v>
      </c>
      <c r="R216" s="1" t="e">
        <f t="shared" ca="1" si="57"/>
        <v>#NAME?</v>
      </c>
      <c r="S216" s="4">
        <v>3305841000000</v>
      </c>
      <c r="T216" s="1">
        <v>136615</v>
      </c>
      <c r="U216" s="1" t="e">
        <f ca="1"/>
        <v>#NAME?</v>
      </c>
      <c r="V216" s="1" t="e">
        <f t="shared" ca="1" si="58"/>
        <v>#NAME?</v>
      </c>
      <c r="W216" s="1" t="e">
        <f ca="1"/>
        <v>#NAME?</v>
      </c>
      <c r="X216" s="1" t="e">
        <f t="shared" ca="1" si="59"/>
        <v>#NAME?</v>
      </c>
      <c r="Y216" s="1" t="e">
        <f ca="1"/>
        <v>#NAME?</v>
      </c>
      <c r="Z216" s="1" t="e">
        <f t="shared" ca="1" si="60"/>
        <v>#NAME?</v>
      </c>
      <c r="AA216" s="1" t="e">
        <f ca="1"/>
        <v>#NAME?</v>
      </c>
      <c r="AB216" s="1" t="e">
        <f t="shared" ca="1" si="61"/>
        <v>#NAME?</v>
      </c>
      <c r="AC216" s="1" t="e">
        <f ca="1"/>
        <v>#NAME?</v>
      </c>
      <c r="AD216" s="1" t="e">
        <f t="shared" ca="1" si="62"/>
        <v>#NAME?</v>
      </c>
      <c r="AE216" s="1" t="e">
        <f ca="1"/>
        <v>#NAME?</v>
      </c>
      <c r="AF216" s="1" t="e">
        <f t="shared" ca="1" si="63"/>
        <v>#NAME?</v>
      </c>
      <c r="AG216" s="1" t="e">
        <f ca="1"/>
        <v>#NAME?</v>
      </c>
      <c r="AH216" s="1" t="e">
        <f t="shared" ca="1" si="64"/>
        <v>#NAME?</v>
      </c>
      <c r="AI216" s="1" t="e">
        <f ca="1"/>
        <v>#NAME?</v>
      </c>
      <c r="AJ216" s="1" t="e">
        <f t="shared" ca="1" si="73"/>
        <v>#NAME?</v>
      </c>
      <c r="AK216" s="1" t="e">
        <f ca="1"/>
        <v>#NAME?</v>
      </c>
      <c r="AL216" s="1" t="e">
        <f t="shared" ca="1" si="65"/>
        <v>#NAME?</v>
      </c>
      <c r="AN216" s="1">
        <f t="shared" si="55"/>
        <v>4.0047086082034715</v>
      </c>
      <c r="AO216" s="1" t="e">
        <f ca="1"/>
        <v>#NAME?</v>
      </c>
      <c r="AP216" s="1" t="e">
        <f t="shared" ca="1" si="56"/>
        <v>#NAME?</v>
      </c>
    </row>
    <row r="217" spans="1:42" x14ac:dyDescent="0.25">
      <c r="A217" s="1" t="s">
        <v>232</v>
      </c>
      <c r="B217" s="1">
        <v>216</v>
      </c>
      <c r="C217" s="1">
        <v>52543.952312683898</v>
      </c>
      <c r="D217" s="1">
        <f t="shared" si="66"/>
        <v>4.7205227369508531</v>
      </c>
      <c r="E217" s="1">
        <v>35540.066400060401</v>
      </c>
      <c r="F217" s="1">
        <f t="shared" si="67"/>
        <v>4.550718234869195</v>
      </c>
      <c r="G217" s="1">
        <v>9023.5135441032198</v>
      </c>
      <c r="H217" s="1">
        <f t="shared" si="68"/>
        <v>3.9553756745375175</v>
      </c>
      <c r="I217" s="1">
        <v>9535.9478357101507</v>
      </c>
      <c r="J217" s="1">
        <f t="shared" si="69"/>
        <v>0.18148516462870287</v>
      </c>
      <c r="K217" s="1">
        <f t="shared" si="70"/>
        <v>3.9793638666909183</v>
      </c>
      <c r="L217" s="1">
        <v>7380.6528081692204</v>
      </c>
      <c r="M217" s="1">
        <f t="shared" si="71"/>
        <v>3.8680947762467808</v>
      </c>
      <c r="N217" s="1">
        <v>8927.7616388742208</v>
      </c>
      <c r="O217" s="1">
        <f t="shared" si="72"/>
        <v>3.9507425865774266</v>
      </c>
      <c r="P217" s="1">
        <v>-1547.1088307049999</v>
      </c>
      <c r="Q217" s="1" t="e">
        <f ca="1"/>
        <v>#NAME?</v>
      </c>
      <c r="R217" s="1" t="e">
        <f t="shared" ca="1" si="57"/>
        <v>#NAME?</v>
      </c>
      <c r="S217" s="4">
        <v>3336170000000</v>
      </c>
      <c r="T217" s="1">
        <v>137240.33333333299</v>
      </c>
      <c r="U217" s="1" t="e">
        <f ca="1"/>
        <v>#NAME?</v>
      </c>
      <c r="V217" s="1" t="e">
        <f t="shared" ca="1" si="58"/>
        <v>#NAME?</v>
      </c>
      <c r="W217" s="1" t="e">
        <f ca="1"/>
        <v>#NAME?</v>
      </c>
      <c r="X217" s="1" t="e">
        <f t="shared" ca="1" si="59"/>
        <v>#NAME?</v>
      </c>
      <c r="Y217" s="1" t="e">
        <f ca="1"/>
        <v>#NAME?</v>
      </c>
      <c r="Z217" s="1" t="e">
        <f t="shared" ca="1" si="60"/>
        <v>#NAME?</v>
      </c>
      <c r="AA217" s="1" t="e">
        <f ca="1"/>
        <v>#NAME?</v>
      </c>
      <c r="AB217" s="1" t="e">
        <f t="shared" ca="1" si="61"/>
        <v>#NAME?</v>
      </c>
      <c r="AC217" s="1" t="e">
        <f ca="1"/>
        <v>#NAME?</v>
      </c>
      <c r="AD217" s="1" t="e">
        <f t="shared" ca="1" si="62"/>
        <v>#NAME?</v>
      </c>
      <c r="AE217" s="1" t="e">
        <f ca="1"/>
        <v>#NAME?</v>
      </c>
      <c r="AF217" s="1" t="e">
        <f t="shared" ca="1" si="63"/>
        <v>#NAME?</v>
      </c>
      <c r="AG217" s="1" t="e">
        <f ca="1"/>
        <v>#NAME?</v>
      </c>
      <c r="AH217" s="1" t="e">
        <f t="shared" ca="1" si="64"/>
        <v>#NAME?</v>
      </c>
      <c r="AI217" s="1" t="e">
        <f ca="1"/>
        <v>#NAME?</v>
      </c>
      <c r="AJ217" s="1" t="e">
        <f t="shared" ca="1" si="73"/>
        <v>#NAME?</v>
      </c>
      <c r="AK217" s="1" t="e">
        <f ca="1"/>
        <v>#NAME?</v>
      </c>
      <c r="AL217" s="1" t="e">
        <f t="shared" ca="1" si="65"/>
        <v>#NAME?</v>
      </c>
      <c r="AN217" s="1">
        <f t="shared" si="55"/>
        <v>4.004165065677296</v>
      </c>
      <c r="AO217" s="1" t="e">
        <f ca="1"/>
        <v>#NAME?</v>
      </c>
      <c r="AP217" s="1" t="e">
        <f t="shared" ca="1" si="56"/>
        <v>#NAME?</v>
      </c>
    </row>
    <row r="218" spans="1:42" x14ac:dyDescent="0.25">
      <c r="A218" s="1" t="s">
        <v>233</v>
      </c>
      <c r="B218" s="1">
        <v>217</v>
      </c>
      <c r="C218" s="1">
        <v>52265.835020163497</v>
      </c>
      <c r="D218" s="1">
        <f t="shared" si="66"/>
        <v>4.7182178932519578</v>
      </c>
      <c r="E218" s="1">
        <v>35612.157730389597</v>
      </c>
      <c r="F218" s="1">
        <f t="shared" si="67"/>
        <v>4.5515982882491492</v>
      </c>
      <c r="G218" s="1">
        <v>8907.3639944138504</v>
      </c>
      <c r="H218" s="1">
        <f t="shared" si="68"/>
        <v>3.9497491998777812</v>
      </c>
      <c r="I218" s="1">
        <v>9479.4520547945194</v>
      </c>
      <c r="J218" s="1">
        <f t="shared" si="69"/>
        <v>0.1813699532617716</v>
      </c>
      <c r="K218" s="1">
        <f t="shared" si="70"/>
        <v>3.9767832343363017</v>
      </c>
      <c r="L218" s="1">
        <v>7295.9186555571296</v>
      </c>
      <c r="M218" s="1">
        <f t="shared" si="71"/>
        <v>3.8630799832644924</v>
      </c>
      <c r="N218" s="1">
        <v>9026.77587911312</v>
      </c>
      <c r="O218" s="1">
        <f t="shared" si="72"/>
        <v>3.9555326597331701</v>
      </c>
      <c r="P218" s="1">
        <v>-1730.857223556</v>
      </c>
      <c r="Q218" s="1" t="e">
        <f ca="1"/>
        <v>#NAME?</v>
      </c>
      <c r="R218" s="1" t="e">
        <f t="shared" ca="1" si="57"/>
        <v>#NAME?</v>
      </c>
      <c r="S218" s="4">
        <v>3348459000000</v>
      </c>
      <c r="T218" s="1">
        <v>137748.33333333299</v>
      </c>
      <c r="U218" s="1" t="e">
        <f ca="1"/>
        <v>#NAME?</v>
      </c>
      <c r="V218" s="1" t="e">
        <f t="shared" ca="1" si="58"/>
        <v>#NAME?</v>
      </c>
      <c r="W218" s="1" t="e">
        <f ca="1"/>
        <v>#NAME?</v>
      </c>
      <c r="X218" s="1" t="e">
        <f t="shared" ca="1" si="59"/>
        <v>#NAME?</v>
      </c>
      <c r="Y218" s="1" t="e">
        <f ca="1"/>
        <v>#NAME?</v>
      </c>
      <c r="Z218" s="1" t="e">
        <f t="shared" ca="1" si="60"/>
        <v>#NAME?</v>
      </c>
      <c r="AA218" s="1" t="e">
        <f ca="1"/>
        <v>#NAME?</v>
      </c>
      <c r="AB218" s="1" t="e">
        <f t="shared" ca="1" si="61"/>
        <v>#NAME?</v>
      </c>
      <c r="AC218" s="1" t="e">
        <f ca="1"/>
        <v>#NAME?</v>
      </c>
      <c r="AD218" s="1" t="e">
        <f t="shared" ca="1" si="62"/>
        <v>#NAME?</v>
      </c>
      <c r="AE218" s="1" t="e">
        <f ca="1"/>
        <v>#NAME?</v>
      </c>
      <c r="AF218" s="1" t="e">
        <f t="shared" ca="1" si="63"/>
        <v>#NAME?</v>
      </c>
      <c r="AG218" s="1" t="e">
        <f ca="1"/>
        <v>#NAME?</v>
      </c>
      <c r="AH218" s="1" t="e">
        <f t="shared" ca="1" si="64"/>
        <v>#NAME?</v>
      </c>
      <c r="AI218" s="1" t="e">
        <f ca="1"/>
        <v>#NAME?</v>
      </c>
      <c r="AJ218" s="1" t="e">
        <f t="shared" ca="1" si="73"/>
        <v>#NAME?</v>
      </c>
      <c r="AK218" s="1" t="e">
        <f ca="1"/>
        <v>#NAME?</v>
      </c>
      <c r="AL218" s="1" t="e">
        <f t="shared" ca="1" si="65"/>
        <v>#NAME?</v>
      </c>
      <c r="AN218" s="1">
        <f t="shared" si="55"/>
        <v>4.0002584325943529</v>
      </c>
      <c r="AO218" s="1" t="e">
        <f ca="1"/>
        <v>#NAME?</v>
      </c>
      <c r="AP218" s="1" t="e">
        <f t="shared" ca="1" si="56"/>
        <v>#NAME?</v>
      </c>
    </row>
    <row r="219" spans="1:42" x14ac:dyDescent="0.25">
      <c r="A219" s="1" t="s">
        <v>234</v>
      </c>
      <c r="B219" s="1">
        <v>218</v>
      </c>
      <c r="C219" s="1">
        <v>52840.317891914201</v>
      </c>
      <c r="D219" s="1">
        <f t="shared" si="66"/>
        <v>4.7229654217034449</v>
      </c>
      <c r="E219" s="1">
        <v>35877.222549400401</v>
      </c>
      <c r="F219" s="1">
        <f t="shared" si="67"/>
        <v>4.5548188145794564</v>
      </c>
      <c r="G219" s="1">
        <v>9266.3174909469108</v>
      </c>
      <c r="H219" s="1">
        <f t="shared" si="68"/>
        <v>3.9669071763122159</v>
      </c>
      <c r="I219" s="1">
        <v>9474.1814627789499</v>
      </c>
      <c r="J219" s="1">
        <f t="shared" si="69"/>
        <v>0.1792983434005555</v>
      </c>
      <c r="K219" s="1">
        <f t="shared" si="70"/>
        <v>3.97654169868715</v>
      </c>
      <c r="L219" s="1">
        <v>7440.20261380581</v>
      </c>
      <c r="M219" s="1">
        <f t="shared" si="71"/>
        <v>3.8715847625431463</v>
      </c>
      <c r="N219" s="1">
        <v>9215.4792186149098</v>
      </c>
      <c r="O219" s="1">
        <f t="shared" si="72"/>
        <v>3.9645179241007962</v>
      </c>
      <c r="P219" s="1">
        <v>-1775.2766048091</v>
      </c>
      <c r="Q219" s="1" t="e">
        <f ca="1"/>
        <v>#NAME?</v>
      </c>
      <c r="R219" s="1" t="e">
        <f t="shared" ca="1" si="57"/>
        <v>#NAME?</v>
      </c>
      <c r="S219" s="4">
        <v>3437808000000</v>
      </c>
      <c r="T219" s="1">
        <v>138544</v>
      </c>
      <c r="U219" s="1" t="e">
        <f ca="1"/>
        <v>#NAME?</v>
      </c>
      <c r="V219" s="1" t="e">
        <f t="shared" ca="1" si="58"/>
        <v>#NAME?</v>
      </c>
      <c r="W219" s="1" t="e">
        <f ca="1"/>
        <v>#NAME?</v>
      </c>
      <c r="X219" s="1" t="e">
        <f t="shared" ca="1" si="59"/>
        <v>#NAME?</v>
      </c>
      <c r="Y219" s="1" t="e">
        <f ca="1"/>
        <v>#NAME?</v>
      </c>
      <c r="Z219" s="1" t="e">
        <f t="shared" ca="1" si="60"/>
        <v>#NAME?</v>
      </c>
      <c r="AA219" s="1" t="e">
        <f ca="1"/>
        <v>#NAME?</v>
      </c>
      <c r="AB219" s="1" t="e">
        <f t="shared" ca="1" si="61"/>
        <v>#NAME?</v>
      </c>
      <c r="AC219" s="1" t="e">
        <f ca="1"/>
        <v>#NAME?</v>
      </c>
      <c r="AD219" s="1" t="e">
        <f t="shared" ca="1" si="62"/>
        <v>#NAME?</v>
      </c>
      <c r="AE219" s="1" t="e">
        <f ca="1"/>
        <v>#NAME?</v>
      </c>
      <c r="AF219" s="1" t="e">
        <f t="shared" ca="1" si="63"/>
        <v>#NAME?</v>
      </c>
      <c r="AG219" s="1" t="e">
        <f ca="1"/>
        <v>#NAME?</v>
      </c>
      <c r="AH219" s="1" t="e">
        <f t="shared" ca="1" si="64"/>
        <v>#NAME?</v>
      </c>
      <c r="AI219" s="1" t="e">
        <f ca="1"/>
        <v>#NAME?</v>
      </c>
      <c r="AJ219" s="1" t="e">
        <f t="shared" ca="1" si="73"/>
        <v>#NAME?</v>
      </c>
      <c r="AK219" s="1" t="e">
        <f ca="1"/>
        <v>#NAME?</v>
      </c>
      <c r="AL219" s="1" t="e">
        <f t="shared" ca="1" si="65"/>
        <v>#NAME?</v>
      </c>
      <c r="AN219" s="1">
        <f t="shared" si="55"/>
        <v>3.9992878969948373</v>
      </c>
      <c r="AO219" s="1" t="e">
        <f ca="1"/>
        <v>#NAME?</v>
      </c>
      <c r="AP219" s="1" t="e">
        <f t="shared" ca="1" si="56"/>
        <v>#NAME?</v>
      </c>
    </row>
    <row r="220" spans="1:42" x14ac:dyDescent="0.25">
      <c r="A220" s="1" t="s">
        <v>235</v>
      </c>
      <c r="B220" s="1">
        <v>219</v>
      </c>
      <c r="C220" s="1">
        <v>53340.426795532599</v>
      </c>
      <c r="D220" s="1">
        <f t="shared" si="66"/>
        <v>4.7270564863107971</v>
      </c>
      <c r="E220" s="1">
        <v>36151.907201510403</v>
      </c>
      <c r="F220" s="1">
        <f t="shared" si="67"/>
        <v>4.5581312135321603</v>
      </c>
      <c r="G220" s="1">
        <v>9435.4571000784599</v>
      </c>
      <c r="H220" s="1">
        <f t="shared" si="68"/>
        <v>3.9747629443772752</v>
      </c>
      <c r="I220" s="1">
        <v>9517.0777603080805</v>
      </c>
      <c r="J220" s="1">
        <f t="shared" si="69"/>
        <v>0.17842147751815815</v>
      </c>
      <c r="K220" s="1">
        <f t="shared" si="70"/>
        <v>3.9785036177757593</v>
      </c>
      <c r="L220" s="1">
        <v>7454.3212500664204</v>
      </c>
      <c r="M220" s="1">
        <f t="shared" si="71"/>
        <v>3.8724081050967598</v>
      </c>
      <c r="N220" s="1">
        <v>9212.8069917697903</v>
      </c>
      <c r="O220" s="1">
        <f t="shared" si="72"/>
        <v>3.9643919727922357</v>
      </c>
      <c r="P220" s="1">
        <v>-1758.48574170337</v>
      </c>
      <c r="Q220" s="1" t="e">
        <f ca="1"/>
        <v>#NAME?</v>
      </c>
      <c r="R220" s="1" t="e">
        <f t="shared" ca="1" si="57"/>
        <v>#NAME?</v>
      </c>
      <c r="S220" s="4">
        <v>3494148000000</v>
      </c>
      <c r="T220" s="1">
        <v>139299</v>
      </c>
      <c r="U220" s="1" t="e">
        <f ca="1"/>
        <v>#NAME?</v>
      </c>
      <c r="V220" s="1" t="e">
        <f t="shared" ca="1" si="58"/>
        <v>#NAME?</v>
      </c>
      <c r="W220" s="1" t="e">
        <f ca="1"/>
        <v>#NAME?</v>
      </c>
      <c r="X220" s="1" t="e">
        <f t="shared" ca="1" si="59"/>
        <v>#NAME?</v>
      </c>
      <c r="Y220" s="1" t="e">
        <f ca="1"/>
        <v>#NAME?</v>
      </c>
      <c r="Z220" s="1" t="e">
        <f t="shared" ca="1" si="60"/>
        <v>#NAME?</v>
      </c>
      <c r="AA220" s="1" t="e">
        <f ca="1"/>
        <v>#NAME?</v>
      </c>
      <c r="AB220" s="1" t="e">
        <f t="shared" ca="1" si="61"/>
        <v>#NAME?</v>
      </c>
      <c r="AC220" s="1" t="e">
        <f ca="1"/>
        <v>#NAME?</v>
      </c>
      <c r="AD220" s="1" t="e">
        <f t="shared" ca="1" si="62"/>
        <v>#NAME?</v>
      </c>
      <c r="AE220" s="1" t="e">
        <f ca="1"/>
        <v>#NAME?</v>
      </c>
      <c r="AF220" s="1" t="e">
        <f t="shared" ca="1" si="63"/>
        <v>#NAME?</v>
      </c>
      <c r="AG220" s="1" t="e">
        <f ca="1"/>
        <v>#NAME?</v>
      </c>
      <c r="AH220" s="1" t="e">
        <f t="shared" ca="1" si="64"/>
        <v>#NAME?</v>
      </c>
      <c r="AI220" s="1" t="e">
        <f ca="1"/>
        <v>#NAME?</v>
      </c>
      <c r="AJ220" s="1" t="e">
        <f t="shared" ca="1" si="73"/>
        <v>#NAME?</v>
      </c>
      <c r="AK220" s="1" t="e">
        <f ca="1"/>
        <v>#NAME?</v>
      </c>
      <c r="AL220" s="1" t="e">
        <f t="shared" ca="1" si="65"/>
        <v>#NAME?</v>
      </c>
      <c r="AN220" s="1">
        <f t="shared" si="55"/>
        <v>3.999326900480999</v>
      </c>
      <c r="AO220" s="1" t="e">
        <f ca="1"/>
        <v>#NAME?</v>
      </c>
      <c r="AP220" s="1" t="e">
        <f t="shared" ca="1" si="56"/>
        <v>#NAME?</v>
      </c>
    </row>
    <row r="221" spans="1:42" x14ac:dyDescent="0.25">
      <c r="A221" s="1" t="s">
        <v>236</v>
      </c>
      <c r="B221" s="1">
        <v>220</v>
      </c>
      <c r="C221" s="1">
        <v>53464.276022968697</v>
      </c>
      <c r="D221" s="1">
        <f t="shared" si="66"/>
        <v>4.7280636902775166</v>
      </c>
      <c r="E221" s="1">
        <v>36476.9674153413</v>
      </c>
      <c r="F221" s="1">
        <f t="shared" si="67"/>
        <v>4.5620187252285058</v>
      </c>
      <c r="G221" s="1">
        <v>9425.3066800577708</v>
      </c>
      <c r="H221" s="1">
        <f t="shared" si="68"/>
        <v>3.9742954901552756</v>
      </c>
      <c r="I221" s="1">
        <v>9491.9232340749404</v>
      </c>
      <c r="J221" s="1">
        <f t="shared" si="69"/>
        <v>0.17753767450244967</v>
      </c>
      <c r="K221" s="1">
        <f t="shared" si="70"/>
        <v>3.9773542172030694</v>
      </c>
      <c r="L221" s="1">
        <v>7499.5243457024199</v>
      </c>
      <c r="M221" s="1">
        <f t="shared" si="71"/>
        <v>3.8750337193133624</v>
      </c>
      <c r="N221" s="1">
        <v>9434.1179809800706</v>
      </c>
      <c r="O221" s="1">
        <f t="shared" si="72"/>
        <v>3.9747013031337901</v>
      </c>
      <c r="P221" s="1">
        <v>-1934.59363527764</v>
      </c>
      <c r="Q221" s="1" t="e">
        <f ca="1"/>
        <v>#NAME?</v>
      </c>
      <c r="R221" s="1" t="e">
        <f t="shared" ca="1" si="57"/>
        <v>#NAME?</v>
      </c>
      <c r="S221" s="4">
        <v>3533057000000</v>
      </c>
      <c r="T221" s="1">
        <v>140086.66666666701</v>
      </c>
      <c r="U221" s="1" t="e">
        <f ca="1"/>
        <v>#NAME?</v>
      </c>
      <c r="V221" s="1" t="e">
        <f t="shared" ca="1" si="58"/>
        <v>#NAME?</v>
      </c>
      <c r="W221" s="1" t="e">
        <f ca="1"/>
        <v>#NAME?</v>
      </c>
      <c r="X221" s="1" t="e">
        <f t="shared" ca="1" si="59"/>
        <v>#NAME?</v>
      </c>
      <c r="Y221" s="1" t="e">
        <f ca="1"/>
        <v>#NAME?</v>
      </c>
      <c r="Z221" s="1" t="e">
        <f t="shared" ca="1" si="60"/>
        <v>#NAME?</v>
      </c>
      <c r="AA221" s="1" t="e">
        <f ca="1"/>
        <v>#NAME?</v>
      </c>
      <c r="AB221" s="1" t="e">
        <f t="shared" ca="1" si="61"/>
        <v>#NAME?</v>
      </c>
      <c r="AC221" s="1" t="e">
        <f ca="1"/>
        <v>#NAME?</v>
      </c>
      <c r="AD221" s="1" t="e">
        <f t="shared" ca="1" si="62"/>
        <v>#NAME?</v>
      </c>
      <c r="AE221" s="1" t="e">
        <f ca="1"/>
        <v>#NAME?</v>
      </c>
      <c r="AF221" s="1" t="e">
        <f t="shared" ca="1" si="63"/>
        <v>#NAME?</v>
      </c>
      <c r="AG221" s="1" t="e">
        <f ca="1"/>
        <v>#NAME?</v>
      </c>
      <c r="AH221" s="1" t="e">
        <f t="shared" ca="1" si="64"/>
        <v>#NAME?</v>
      </c>
      <c r="AI221" s="1" t="e">
        <f ca="1"/>
        <v>#NAME?</v>
      </c>
      <c r="AJ221" s="1" t="e">
        <f t="shared" ca="1" si="73"/>
        <v>#NAME?</v>
      </c>
      <c r="AK221" s="1" t="e">
        <f ca="1"/>
        <v>#NAME?</v>
      </c>
      <c r="AL221" s="1" t="e">
        <f t="shared" ca="1" si="65"/>
        <v>#NAME?</v>
      </c>
      <c r="AN221" s="1">
        <f t="shared" si="55"/>
        <v>3.9970355054617324</v>
      </c>
      <c r="AO221" s="1" t="e">
        <f ca="1"/>
        <v>#NAME?</v>
      </c>
      <c r="AP221" s="1" t="e">
        <f t="shared" ca="1" si="56"/>
        <v>#NAME?</v>
      </c>
    </row>
    <row r="222" spans="1:42" x14ac:dyDescent="0.25">
      <c r="A222" s="1" t="s">
        <v>237</v>
      </c>
      <c r="B222" s="1">
        <v>221</v>
      </c>
      <c r="C222" s="1">
        <v>53805.631320679502</v>
      </c>
      <c r="D222" s="1">
        <f t="shared" si="66"/>
        <v>4.730827731493731</v>
      </c>
      <c r="E222" s="1">
        <v>36656.6687839386</v>
      </c>
      <c r="F222" s="1">
        <f t="shared" si="67"/>
        <v>4.5641529954192137</v>
      </c>
      <c r="G222" s="1">
        <v>9737.1905046579996</v>
      </c>
      <c r="H222" s="1">
        <f t="shared" si="68"/>
        <v>3.9884336669060052</v>
      </c>
      <c r="I222" s="1">
        <v>9524.5261047177792</v>
      </c>
      <c r="J222" s="1">
        <f t="shared" si="69"/>
        <v>0.17701727255929717</v>
      </c>
      <c r="K222" s="1">
        <f t="shared" si="70"/>
        <v>3.9788433764499089</v>
      </c>
      <c r="L222" s="1">
        <v>7425.5311861704804</v>
      </c>
      <c r="M222" s="1">
        <f t="shared" si="71"/>
        <v>3.8707275264028858</v>
      </c>
      <c r="N222" s="1">
        <v>9554.15857121507</v>
      </c>
      <c r="O222" s="1">
        <f t="shared" si="72"/>
        <v>3.9801924450310904</v>
      </c>
      <c r="P222" s="1">
        <v>-2128.62738504459</v>
      </c>
      <c r="Q222" s="1" t="e">
        <f ca="1"/>
        <v>#NAME?</v>
      </c>
      <c r="R222" s="1" t="e">
        <f t="shared" ca="1" si="57"/>
        <v>#NAME?</v>
      </c>
      <c r="S222" s="4">
        <v>3536690000000</v>
      </c>
      <c r="T222" s="1">
        <v>140771.66666666701</v>
      </c>
      <c r="U222" s="1" t="e">
        <f ca="1"/>
        <v>#NAME?</v>
      </c>
      <c r="V222" s="1" t="e">
        <f t="shared" ca="1" si="58"/>
        <v>#NAME?</v>
      </c>
      <c r="W222" s="1" t="e">
        <f ca="1"/>
        <v>#NAME?</v>
      </c>
      <c r="X222" s="1" t="e">
        <f t="shared" ca="1" si="59"/>
        <v>#NAME?</v>
      </c>
      <c r="Y222" s="1" t="e">
        <f ca="1"/>
        <v>#NAME?</v>
      </c>
      <c r="Z222" s="1" t="e">
        <f t="shared" ca="1" si="60"/>
        <v>#NAME?</v>
      </c>
      <c r="AA222" s="1" t="e">
        <f ca="1"/>
        <v>#NAME?</v>
      </c>
      <c r="AB222" s="1" t="e">
        <f t="shared" ca="1" si="61"/>
        <v>#NAME?</v>
      </c>
      <c r="AC222" s="1" t="e">
        <f ca="1"/>
        <v>#NAME?</v>
      </c>
      <c r="AD222" s="1" t="e">
        <f t="shared" ca="1" si="62"/>
        <v>#NAME?</v>
      </c>
      <c r="AE222" s="1" t="e">
        <f ca="1"/>
        <v>#NAME?</v>
      </c>
      <c r="AF222" s="1" t="e">
        <f t="shared" ca="1" si="63"/>
        <v>#NAME?</v>
      </c>
      <c r="AG222" s="1" t="e">
        <f ca="1"/>
        <v>#NAME?</v>
      </c>
      <c r="AH222" s="1" t="e">
        <f t="shared" ca="1" si="64"/>
        <v>#NAME?</v>
      </c>
      <c r="AI222" s="1" t="e">
        <f ca="1"/>
        <v>#NAME?</v>
      </c>
      <c r="AJ222" s="1" t="e">
        <f t="shared" ca="1" si="73"/>
        <v>#NAME?</v>
      </c>
      <c r="AK222" s="1" t="e">
        <f ca="1"/>
        <v>#NAME?</v>
      </c>
      <c r="AL222" s="1" t="e">
        <f t="shared" ca="1" si="65"/>
        <v>#NAME?</v>
      </c>
      <c r="AN222" s="1">
        <f t="shared" si="55"/>
        <v>3.9982830519087313</v>
      </c>
      <c r="AO222" s="1" t="e">
        <f ca="1"/>
        <v>#NAME?</v>
      </c>
      <c r="AP222" s="1" t="e">
        <f t="shared" ca="1" si="56"/>
        <v>#NAME?</v>
      </c>
    </row>
    <row r="223" spans="1:42" x14ac:dyDescent="0.25">
      <c r="A223" s="1" t="s">
        <v>238</v>
      </c>
      <c r="B223" s="1">
        <v>222</v>
      </c>
      <c r="C223" s="1">
        <v>54020.820901089101</v>
      </c>
      <c r="D223" s="1">
        <f t="shared" si="66"/>
        <v>4.7325611794461082</v>
      </c>
      <c r="E223" s="1">
        <v>36838.766224078798</v>
      </c>
      <c r="F223" s="1">
        <f t="shared" si="67"/>
        <v>4.5663050767081161</v>
      </c>
      <c r="G223" s="1">
        <v>9749.0178527027692</v>
      </c>
      <c r="H223" s="1">
        <f t="shared" si="68"/>
        <v>3.9889608656845428</v>
      </c>
      <c r="I223" s="1">
        <v>9588.6450096971494</v>
      </c>
      <c r="J223" s="1">
        <f t="shared" si="69"/>
        <v>0.1774990614684242</v>
      </c>
      <c r="K223" s="1">
        <f t="shared" si="70"/>
        <v>3.9817572404982795</v>
      </c>
      <c r="L223" s="1">
        <v>7431.8246804913197</v>
      </c>
      <c r="M223" s="1">
        <f t="shared" si="71"/>
        <v>3.8710954559380513</v>
      </c>
      <c r="N223" s="1">
        <v>9607.2747277338494</v>
      </c>
      <c r="O223" s="1">
        <f t="shared" si="72"/>
        <v>3.9826002098786062</v>
      </c>
      <c r="P223" s="1">
        <v>-2175.4500472425302</v>
      </c>
      <c r="Q223" s="1" t="e">
        <f ca="1"/>
        <v>#NAME?</v>
      </c>
      <c r="R223" s="1" t="e">
        <f t="shared" ca="1" si="57"/>
        <v>#NAME?</v>
      </c>
      <c r="S223" s="4">
        <v>3579129000000</v>
      </c>
      <c r="T223" s="1">
        <v>141479</v>
      </c>
      <c r="U223" s="1" t="e">
        <f ca="1"/>
        <v>#NAME?</v>
      </c>
      <c r="V223" s="1" t="e">
        <f t="shared" ca="1" si="58"/>
        <v>#NAME?</v>
      </c>
      <c r="W223" s="1" t="e">
        <f ca="1"/>
        <v>#NAME?</v>
      </c>
      <c r="X223" s="1" t="e">
        <f t="shared" ca="1" si="59"/>
        <v>#NAME?</v>
      </c>
      <c r="Y223" s="1" t="e">
        <f ca="1"/>
        <v>#NAME?</v>
      </c>
      <c r="Z223" s="1" t="e">
        <f t="shared" ca="1" si="60"/>
        <v>#NAME?</v>
      </c>
      <c r="AA223" s="1" t="e">
        <f ca="1"/>
        <v>#NAME?</v>
      </c>
      <c r="AB223" s="1" t="e">
        <f t="shared" ca="1" si="61"/>
        <v>#NAME?</v>
      </c>
      <c r="AC223" s="1" t="e">
        <f ca="1"/>
        <v>#NAME?</v>
      </c>
      <c r="AD223" s="1" t="e">
        <f t="shared" ca="1" si="62"/>
        <v>#NAME?</v>
      </c>
      <c r="AE223" s="1" t="e">
        <f ca="1"/>
        <v>#NAME?</v>
      </c>
      <c r="AF223" s="1" t="e">
        <f t="shared" ca="1" si="63"/>
        <v>#NAME?</v>
      </c>
      <c r="AG223" s="1" t="e">
        <f ca="1"/>
        <v>#NAME?</v>
      </c>
      <c r="AH223" s="1" t="e">
        <f t="shared" ca="1" si="64"/>
        <v>#NAME?</v>
      </c>
      <c r="AI223" s="1" t="e">
        <f ca="1"/>
        <v>#NAME?</v>
      </c>
      <c r="AJ223" s="1" t="e">
        <f t="shared" ca="1" si="73"/>
        <v>#NAME?</v>
      </c>
      <c r="AK223" s="1" t="e">
        <f ca="1"/>
        <v>#NAME?</v>
      </c>
      <c r="AL223" s="1" t="e">
        <f t="shared" ca="1" si="65"/>
        <v>#NAME?</v>
      </c>
      <c r="AN223" s="1">
        <f t="shared" si="55"/>
        <v>3.9967584647094458</v>
      </c>
      <c r="AO223" s="1" t="e">
        <f ca="1"/>
        <v>#NAME?</v>
      </c>
      <c r="AP223" s="1" t="e">
        <f t="shared" ca="1" si="56"/>
        <v>#NAME?</v>
      </c>
    </row>
    <row r="224" spans="1:42" x14ac:dyDescent="0.25">
      <c r="A224" s="1" t="s">
        <v>239</v>
      </c>
      <c r="B224" s="1">
        <v>223</v>
      </c>
      <c r="C224" s="1">
        <v>54080.5389110127</v>
      </c>
      <c r="D224" s="1">
        <f t="shared" si="66"/>
        <v>4.7330410106871463</v>
      </c>
      <c r="E224" s="1">
        <v>37040.961082784401</v>
      </c>
      <c r="F224" s="1">
        <f t="shared" si="67"/>
        <v>4.5686822465718553</v>
      </c>
      <c r="G224" s="1">
        <v>9708.6915528428108</v>
      </c>
      <c r="H224" s="1">
        <f t="shared" si="68"/>
        <v>3.9871607036803707</v>
      </c>
      <c r="I224" s="1">
        <v>9611.7024576029398</v>
      </c>
      <c r="J224" s="1">
        <f t="shared" si="69"/>
        <v>0.17772941341096102</v>
      </c>
      <c r="K224" s="1">
        <f t="shared" si="70"/>
        <v>3.9828003182053897</v>
      </c>
      <c r="L224" s="1">
        <v>7354.2155147816002</v>
      </c>
      <c r="M224" s="1">
        <f t="shared" si="71"/>
        <v>3.8665363526893541</v>
      </c>
      <c r="N224" s="1">
        <v>9669.6378726413295</v>
      </c>
      <c r="O224" s="1">
        <f t="shared" si="72"/>
        <v>3.9854102100852296</v>
      </c>
      <c r="P224" s="1">
        <v>-2315.4223578597398</v>
      </c>
      <c r="Q224" s="1" t="e">
        <f ca="1"/>
        <v>#NAME?</v>
      </c>
      <c r="R224" s="1" t="e">
        <f t="shared" ca="1" si="57"/>
        <v>#NAME?</v>
      </c>
      <c r="S224" s="4">
        <v>3607061000000</v>
      </c>
      <c r="T224" s="1">
        <v>142128</v>
      </c>
      <c r="U224" s="1" t="e">
        <f ca="1"/>
        <v>#NAME?</v>
      </c>
      <c r="V224" s="1" t="e">
        <f t="shared" ca="1" si="58"/>
        <v>#NAME?</v>
      </c>
      <c r="W224" s="1" t="e">
        <f ca="1"/>
        <v>#NAME?</v>
      </c>
      <c r="X224" s="1" t="e">
        <f t="shared" ca="1" si="59"/>
        <v>#NAME?</v>
      </c>
      <c r="Y224" s="1" t="e">
        <f ca="1"/>
        <v>#NAME?</v>
      </c>
      <c r="Z224" s="1" t="e">
        <f t="shared" ca="1" si="60"/>
        <v>#NAME?</v>
      </c>
      <c r="AA224" s="1" t="e">
        <f ca="1"/>
        <v>#NAME?</v>
      </c>
      <c r="AB224" s="1" t="e">
        <f t="shared" ca="1" si="61"/>
        <v>#NAME?</v>
      </c>
      <c r="AC224" s="1" t="e">
        <f ca="1"/>
        <v>#NAME?</v>
      </c>
      <c r="AD224" s="1" t="e">
        <f t="shared" ca="1" si="62"/>
        <v>#NAME?</v>
      </c>
      <c r="AE224" s="1" t="e">
        <f ca="1"/>
        <v>#NAME?</v>
      </c>
      <c r="AF224" s="1" t="e">
        <f t="shared" ca="1" si="63"/>
        <v>#NAME?</v>
      </c>
      <c r="AG224" s="1" t="e">
        <f ca="1"/>
        <v>#NAME?</v>
      </c>
      <c r="AH224" s="1" t="e">
        <f t="shared" ca="1" si="64"/>
        <v>#NAME?</v>
      </c>
      <c r="AI224" s="1" t="e">
        <f ca="1"/>
        <v>#NAME?</v>
      </c>
      <c r="AJ224" s="1" t="e">
        <f t="shared" ca="1" si="73"/>
        <v>#NAME?</v>
      </c>
      <c r="AK224" s="1" t="e">
        <f ca="1"/>
        <v>#NAME?</v>
      </c>
      <c r="AL224" s="1" t="e">
        <f t="shared" ca="1" si="65"/>
        <v>#NAME?</v>
      </c>
      <c r="AN224" s="1">
        <f t="shared" si="55"/>
        <v>3.9947507827702458</v>
      </c>
      <c r="AO224" s="1" t="e">
        <f ca="1"/>
        <v>#NAME?</v>
      </c>
      <c r="AP224" s="1" t="e">
        <f t="shared" ca="1" si="56"/>
        <v>#NAME?</v>
      </c>
    </row>
    <row r="225" spans="1:42" x14ac:dyDescent="0.25">
      <c r="A225" s="1" t="s">
        <v>240</v>
      </c>
      <c r="B225" s="1">
        <v>224</v>
      </c>
      <c r="C225" s="1">
        <v>54045.306551948299</v>
      </c>
      <c r="D225" s="1">
        <f t="shared" si="66"/>
        <v>4.7327579845595427</v>
      </c>
      <c r="E225" s="1">
        <v>37148.791433257997</v>
      </c>
      <c r="F225" s="1">
        <f t="shared" si="67"/>
        <v>4.5699446893642959</v>
      </c>
      <c r="G225" s="1">
        <v>9571.6845656278092</v>
      </c>
      <c r="H225" s="1">
        <f t="shared" si="68"/>
        <v>3.9809883780249256</v>
      </c>
      <c r="I225" s="1">
        <v>9626.0004332889694</v>
      </c>
      <c r="J225" s="1">
        <f t="shared" si="69"/>
        <v>0.17810983131414873</v>
      </c>
      <c r="K225" s="1">
        <f t="shared" si="70"/>
        <v>3.9834458768899585</v>
      </c>
      <c r="L225" s="1">
        <v>7327.7428739438601</v>
      </c>
      <c r="M225" s="1">
        <f t="shared" si="71"/>
        <v>3.8649702217970074</v>
      </c>
      <c r="N225" s="1">
        <v>9669.6357277707302</v>
      </c>
      <c r="O225" s="1">
        <f t="shared" si="72"/>
        <v>3.9854101137521942</v>
      </c>
      <c r="P225" s="1">
        <v>-2341.8928538268701</v>
      </c>
      <c r="Q225" s="1" t="e">
        <f ca="1"/>
        <v>#NAME?</v>
      </c>
      <c r="R225" s="1" t="e">
        <f t="shared" ca="1" si="57"/>
        <v>#NAME?</v>
      </c>
      <c r="S225" s="4">
        <v>3594983000000</v>
      </c>
      <c r="T225" s="1">
        <v>142826</v>
      </c>
      <c r="U225" s="1" t="e">
        <f ca="1"/>
        <v>#NAME?</v>
      </c>
      <c r="V225" s="1" t="e">
        <f t="shared" ca="1" si="58"/>
        <v>#NAME?</v>
      </c>
      <c r="W225" s="1" t="e">
        <f ca="1"/>
        <v>#NAME?</v>
      </c>
      <c r="X225" s="1" t="e">
        <f t="shared" ca="1" si="59"/>
        <v>#NAME?</v>
      </c>
      <c r="Y225" s="1" t="e">
        <f ca="1"/>
        <v>#NAME?</v>
      </c>
      <c r="Z225" s="1" t="e">
        <f t="shared" ca="1" si="60"/>
        <v>#NAME?</v>
      </c>
      <c r="AA225" s="1" t="e">
        <f ca="1"/>
        <v>#NAME?</v>
      </c>
      <c r="AB225" s="1" t="e">
        <f t="shared" ca="1" si="61"/>
        <v>#NAME?</v>
      </c>
      <c r="AC225" s="1" t="e">
        <f ca="1"/>
        <v>#NAME?</v>
      </c>
      <c r="AD225" s="1" t="e">
        <f t="shared" ca="1" si="62"/>
        <v>#NAME?</v>
      </c>
      <c r="AE225" s="1" t="e">
        <f ca="1"/>
        <v>#NAME?</v>
      </c>
      <c r="AF225" s="1" t="e">
        <f t="shared" ca="1" si="63"/>
        <v>#NAME?</v>
      </c>
      <c r="AG225" s="1" t="e">
        <f ca="1"/>
        <v>#NAME?</v>
      </c>
      <c r="AH225" s="1" t="e">
        <f t="shared" ca="1" si="64"/>
        <v>#NAME?</v>
      </c>
      <c r="AI225" s="1" t="e">
        <f ca="1"/>
        <v>#NAME?</v>
      </c>
      <c r="AJ225" s="1" t="e">
        <f t="shared" ca="1" si="73"/>
        <v>#NAME?</v>
      </c>
      <c r="AK225" s="1" t="e">
        <f ca="1"/>
        <v>#NAME?</v>
      </c>
      <c r="AL225" s="1" t="e">
        <f t="shared" ca="1" si="65"/>
        <v>#NAME?</v>
      </c>
      <c r="AN225" s="1">
        <f t="shared" si="55"/>
        <v>3.9936304667707612</v>
      </c>
      <c r="AO225" s="1" t="e">
        <f ca="1"/>
        <v>#NAME?</v>
      </c>
      <c r="AP225" s="1" t="e">
        <f t="shared" ca="1" si="56"/>
        <v>#NAME?</v>
      </c>
    </row>
    <row r="226" spans="1:42" x14ac:dyDescent="0.25">
      <c r="A226" s="1" t="s">
        <v>241</v>
      </c>
      <c r="B226" s="1">
        <v>225</v>
      </c>
      <c r="C226" s="1">
        <v>54266.487276367101</v>
      </c>
      <c r="D226" s="1">
        <f t="shared" si="66"/>
        <v>4.7345317101760385</v>
      </c>
      <c r="E226" s="1">
        <v>37354.306139535198</v>
      </c>
      <c r="F226" s="1">
        <f t="shared" si="67"/>
        <v>4.5723406737509213</v>
      </c>
      <c r="G226" s="1">
        <v>9513.6041076465408</v>
      </c>
      <c r="H226" s="1">
        <f t="shared" si="68"/>
        <v>3.9783450750382814</v>
      </c>
      <c r="I226" s="1">
        <v>9709.4464130693395</v>
      </c>
      <c r="J226" s="1">
        <f t="shared" si="69"/>
        <v>0.17892159416218148</v>
      </c>
      <c r="K226" s="1">
        <f t="shared" si="70"/>
        <v>3.9871944691867989</v>
      </c>
      <c r="L226" s="1">
        <v>7293.1270447868201</v>
      </c>
      <c r="M226" s="1">
        <f t="shared" si="71"/>
        <v>3.8629137789502601</v>
      </c>
      <c r="N226" s="1">
        <v>9638.8137996657297</v>
      </c>
      <c r="O226" s="1">
        <f t="shared" si="72"/>
        <v>3.9840235907537234</v>
      </c>
      <c r="P226" s="1">
        <v>-2345.6867548789101</v>
      </c>
      <c r="Q226" s="1" t="e">
        <f ca="1"/>
        <v>#NAME?</v>
      </c>
      <c r="R226" s="1" t="e">
        <f t="shared" ca="1" si="57"/>
        <v>#NAME?</v>
      </c>
      <c r="S226" s="4">
        <v>3627831000000</v>
      </c>
      <c r="T226" s="1">
        <v>143424.66666666701</v>
      </c>
      <c r="U226" s="1" t="e">
        <f ca="1"/>
        <v>#NAME?</v>
      </c>
      <c r="V226" s="1" t="e">
        <f t="shared" ca="1" si="58"/>
        <v>#NAME?</v>
      </c>
      <c r="W226" s="1" t="e">
        <f ca="1"/>
        <v>#NAME?</v>
      </c>
      <c r="X226" s="1" t="e">
        <f t="shared" ca="1" si="59"/>
        <v>#NAME?</v>
      </c>
      <c r="Y226" s="1" t="e">
        <f ca="1"/>
        <v>#NAME?</v>
      </c>
      <c r="Z226" s="1" t="e">
        <f t="shared" ca="1" si="60"/>
        <v>#NAME?</v>
      </c>
      <c r="AA226" s="1" t="e">
        <f ca="1"/>
        <v>#NAME?</v>
      </c>
      <c r="AB226" s="1" t="e">
        <f t="shared" ca="1" si="61"/>
        <v>#NAME?</v>
      </c>
      <c r="AC226" s="1" t="e">
        <f ca="1"/>
        <v>#NAME?</v>
      </c>
      <c r="AD226" s="1" t="e">
        <f t="shared" ca="1" si="62"/>
        <v>#NAME?</v>
      </c>
      <c r="AE226" s="1" t="e">
        <f ca="1"/>
        <v>#NAME?</v>
      </c>
      <c r="AF226" s="1" t="e">
        <f t="shared" ca="1" si="63"/>
        <v>#NAME?</v>
      </c>
      <c r="AG226" s="1" t="e">
        <f ca="1"/>
        <v>#NAME?</v>
      </c>
      <c r="AH226" s="1" t="e">
        <f t="shared" ca="1" si="64"/>
        <v>#NAME?</v>
      </c>
      <c r="AI226" s="1" t="e">
        <f ca="1"/>
        <v>#NAME?</v>
      </c>
      <c r="AJ226" s="1" t="e">
        <f t="shared" ca="1" si="73"/>
        <v>#NAME?</v>
      </c>
      <c r="AK226" s="1" t="e">
        <f ca="1"/>
        <v>#NAME?</v>
      </c>
      <c r="AL226" s="1" t="e">
        <f t="shared" ca="1" si="65"/>
        <v>#NAME?</v>
      </c>
      <c r="AN226" s="1">
        <f t="shared" si="55"/>
        <v>3.9928195095622359</v>
      </c>
      <c r="AO226" s="1" t="e">
        <f ca="1"/>
        <v>#NAME?</v>
      </c>
      <c r="AP226" s="1" t="e">
        <f t="shared" ca="1" si="56"/>
        <v>#NAME?</v>
      </c>
    </row>
    <row r="227" spans="1:42" x14ac:dyDescent="0.25">
      <c r="A227" s="1" t="s">
        <v>242</v>
      </c>
      <c r="B227" s="1">
        <v>226</v>
      </c>
      <c r="C227" s="1">
        <v>54333.896658597099</v>
      </c>
      <c r="D227" s="1">
        <f t="shared" si="66"/>
        <v>4.7350708524042711</v>
      </c>
      <c r="E227" s="1">
        <v>37477.455167841101</v>
      </c>
      <c r="F227" s="1">
        <f t="shared" si="67"/>
        <v>4.5737700933126844</v>
      </c>
      <c r="G227" s="1">
        <v>9447.0047646215298</v>
      </c>
      <c r="H227" s="1">
        <f t="shared" si="68"/>
        <v>3.9752941343938177</v>
      </c>
      <c r="I227" s="1">
        <v>9676.9925832266799</v>
      </c>
      <c r="J227" s="1">
        <f t="shared" si="69"/>
        <v>0.17810231141770166</v>
      </c>
      <c r="K227" s="1">
        <f t="shared" si="70"/>
        <v>3.9857404081922714</v>
      </c>
      <c r="L227" s="1">
        <v>7335.3954327479096</v>
      </c>
      <c r="M227" s="1">
        <f t="shared" si="71"/>
        <v>3.8654235305353226</v>
      </c>
      <c r="N227" s="1">
        <v>9631.7672274220204</v>
      </c>
      <c r="O227" s="1">
        <f t="shared" si="72"/>
        <v>3.9837059783710065</v>
      </c>
      <c r="P227" s="1">
        <v>-2296.3717946741099</v>
      </c>
      <c r="Q227" s="1" t="e">
        <f ca="1"/>
        <v>#NAME?</v>
      </c>
      <c r="R227" s="1" t="e">
        <f t="shared" ca="1" si="57"/>
        <v>#NAME?</v>
      </c>
      <c r="S227" s="4">
        <v>3637582000000</v>
      </c>
      <c r="T227" s="1">
        <v>143969.66666666701</v>
      </c>
      <c r="U227" s="1" t="e">
        <f ca="1"/>
        <v>#NAME?</v>
      </c>
      <c r="V227" s="1" t="e">
        <f t="shared" ca="1" si="58"/>
        <v>#NAME?</v>
      </c>
      <c r="W227" s="1" t="e">
        <f ca="1"/>
        <v>#NAME?</v>
      </c>
      <c r="X227" s="1" t="e">
        <f t="shared" ca="1" si="59"/>
        <v>#NAME?</v>
      </c>
      <c r="Y227" s="1" t="e">
        <f ca="1"/>
        <v>#NAME?</v>
      </c>
      <c r="Z227" s="1" t="e">
        <f t="shared" ca="1" si="60"/>
        <v>#NAME?</v>
      </c>
      <c r="AA227" s="1" t="e">
        <f ca="1"/>
        <v>#NAME?</v>
      </c>
      <c r="AB227" s="1" t="e">
        <f t="shared" ca="1" si="61"/>
        <v>#NAME?</v>
      </c>
      <c r="AC227" s="1" t="e">
        <f ca="1"/>
        <v>#NAME?</v>
      </c>
      <c r="AD227" s="1" t="e">
        <f t="shared" ca="1" si="62"/>
        <v>#NAME?</v>
      </c>
      <c r="AE227" s="1" t="e">
        <f ca="1"/>
        <v>#NAME?</v>
      </c>
      <c r="AF227" s="1" t="e">
        <f t="shared" ca="1" si="63"/>
        <v>#NAME?</v>
      </c>
      <c r="AG227" s="1" t="e">
        <f ca="1"/>
        <v>#NAME?</v>
      </c>
      <c r="AH227" s="1" t="e">
        <f t="shared" ca="1" si="64"/>
        <v>#NAME?</v>
      </c>
      <c r="AI227" s="1" t="e">
        <f ca="1"/>
        <v>#NAME?</v>
      </c>
      <c r="AJ227" s="1" t="e">
        <f t="shared" ca="1" si="73"/>
        <v>#NAME?</v>
      </c>
      <c r="AK227" s="1" t="e">
        <f ca="1"/>
        <v>#NAME?</v>
      </c>
      <c r="AL227" s="1" t="e">
        <f t="shared" ca="1" si="65"/>
        <v>#NAME?</v>
      </c>
      <c r="AN227" s="1">
        <f t="shared" si="55"/>
        <v>3.9918848077816849</v>
      </c>
      <c r="AO227" s="1" t="e">
        <f ca="1"/>
        <v>#NAME?</v>
      </c>
      <c r="AP227" s="1" t="e">
        <f t="shared" ca="1" si="56"/>
        <v>#NAME?</v>
      </c>
    </row>
    <row r="228" spans="1:42" x14ac:dyDescent="0.25">
      <c r="A228" s="1" t="s">
        <v>243</v>
      </c>
      <c r="B228" s="1">
        <v>227</v>
      </c>
      <c r="C228" s="1">
        <v>54549.3096889753</v>
      </c>
      <c r="D228" s="1">
        <f t="shared" si="66"/>
        <v>4.7367892590459784</v>
      </c>
      <c r="E228" s="1">
        <v>37620.325858810902</v>
      </c>
      <c r="F228" s="1">
        <f t="shared" si="67"/>
        <v>4.5754225529918866</v>
      </c>
      <c r="G228" s="1">
        <v>9446.1446606304198</v>
      </c>
      <c r="H228" s="1">
        <f t="shared" si="68"/>
        <v>3.9752545921863169</v>
      </c>
      <c r="I228" s="1">
        <v>9706.4993260003794</v>
      </c>
      <c r="J228" s="1">
        <f t="shared" si="69"/>
        <v>0.17793991127191319</v>
      </c>
      <c r="K228" s="1">
        <f t="shared" si="70"/>
        <v>3.987062628721362</v>
      </c>
      <c r="L228" s="1">
        <v>7434.1603934434297</v>
      </c>
      <c r="M228" s="1">
        <f t="shared" si="71"/>
        <v>3.8712319268479458</v>
      </c>
      <c r="N228" s="1">
        <v>9682.1337781525599</v>
      </c>
      <c r="O228" s="1">
        <f t="shared" si="72"/>
        <v>3.9859710789981238</v>
      </c>
      <c r="P228" s="1">
        <v>-2247.9733847091302</v>
      </c>
      <c r="Q228" s="1" t="e">
        <f ca="1"/>
        <v>#NAME?</v>
      </c>
      <c r="R228" s="1" t="e">
        <f t="shared" ca="1" si="57"/>
        <v>#NAME?</v>
      </c>
      <c r="S228" s="4">
        <v>3663937000000</v>
      </c>
      <c r="T228" s="1">
        <v>144713.33333333299</v>
      </c>
      <c r="U228" s="1" t="e">
        <f ca="1"/>
        <v>#NAME?</v>
      </c>
      <c r="V228" s="1" t="e">
        <f t="shared" ca="1" si="58"/>
        <v>#NAME?</v>
      </c>
      <c r="W228" s="1" t="e">
        <f ca="1"/>
        <v>#NAME?</v>
      </c>
      <c r="X228" s="1" t="e">
        <f t="shared" ca="1" si="59"/>
        <v>#NAME?</v>
      </c>
      <c r="Y228" s="1" t="e">
        <f ca="1"/>
        <v>#NAME?</v>
      </c>
      <c r="Z228" s="1" t="e">
        <f t="shared" ca="1" si="60"/>
        <v>#NAME?</v>
      </c>
      <c r="AA228" s="1" t="e">
        <f ca="1"/>
        <v>#NAME?</v>
      </c>
      <c r="AB228" s="1" t="e">
        <f t="shared" ca="1" si="61"/>
        <v>#NAME?</v>
      </c>
      <c r="AC228" s="1" t="e">
        <f ca="1"/>
        <v>#NAME?</v>
      </c>
      <c r="AD228" s="1" t="e">
        <f t="shared" ca="1" si="62"/>
        <v>#NAME?</v>
      </c>
      <c r="AE228" s="1" t="e">
        <f ca="1"/>
        <v>#NAME?</v>
      </c>
      <c r="AF228" s="1" t="e">
        <f t="shared" ca="1" si="63"/>
        <v>#NAME?</v>
      </c>
      <c r="AG228" s="1" t="e">
        <f ca="1"/>
        <v>#NAME?</v>
      </c>
      <c r="AH228" s="1" t="e">
        <f t="shared" ca="1" si="64"/>
        <v>#NAME?</v>
      </c>
      <c r="AI228" s="1" t="e">
        <f ca="1"/>
        <v>#NAME?</v>
      </c>
      <c r="AJ228" s="1" t="e">
        <f t="shared" ca="1" si="73"/>
        <v>#NAME?</v>
      </c>
      <c r="AK228" s="1" t="e">
        <f ca="1"/>
        <v>#NAME?</v>
      </c>
      <c r="AL228" s="1" t="e">
        <f t="shared" ca="1" si="65"/>
        <v>#NAME?</v>
      </c>
      <c r="AN228" s="1">
        <f t="shared" si="55"/>
        <v>3.9910425097290974</v>
      </c>
      <c r="AO228" s="1" t="e">
        <f ca="1"/>
        <v>#NAME?</v>
      </c>
      <c r="AP228" s="1" t="e">
        <f t="shared" ca="1" si="56"/>
        <v>#NAME?</v>
      </c>
    </row>
    <row r="229" spans="1:42" x14ac:dyDescent="0.25">
      <c r="A229" s="1" t="s">
        <v>244</v>
      </c>
      <c r="B229" s="1">
        <v>228</v>
      </c>
      <c r="C229" s="1">
        <v>54714.105364037598</v>
      </c>
      <c r="D229" s="1">
        <f t="shared" si="66"/>
        <v>4.7380993024224427</v>
      </c>
      <c r="E229" s="1">
        <v>37729.417582788898</v>
      </c>
      <c r="F229" s="1">
        <f t="shared" si="67"/>
        <v>4.5766801011847429</v>
      </c>
      <c r="G229" s="1">
        <v>9668.2792874980405</v>
      </c>
      <c r="H229" s="1">
        <f t="shared" si="68"/>
        <v>3.9853491873776639</v>
      </c>
      <c r="I229" s="1">
        <v>9707.8883267753408</v>
      </c>
      <c r="J229" s="1">
        <f t="shared" si="69"/>
        <v>0.17742935322042433</v>
      </c>
      <c r="K229" s="1">
        <f t="shared" si="70"/>
        <v>3.9871247718477631</v>
      </c>
      <c r="L229" s="1">
        <v>7367.5331815933896</v>
      </c>
      <c r="M229" s="1">
        <f t="shared" si="71"/>
        <v>3.8673221004840204</v>
      </c>
      <c r="N229" s="1">
        <v>9806.3472755922903</v>
      </c>
      <c r="O229" s="1">
        <f t="shared" si="72"/>
        <v>3.9915072690042734</v>
      </c>
      <c r="P229" s="1">
        <v>-2438.8140939988998</v>
      </c>
      <c r="Q229" s="1" t="e">
        <f ca="1"/>
        <v>#NAME?</v>
      </c>
      <c r="R229" s="1" t="e">
        <f t="shared" ca="1" si="57"/>
        <v>#NAME?</v>
      </c>
      <c r="S229" s="4">
        <v>3693210000000</v>
      </c>
      <c r="T229" s="1">
        <v>145222</v>
      </c>
      <c r="U229" s="1" t="e">
        <f ca="1"/>
        <v>#NAME?</v>
      </c>
      <c r="V229" s="1" t="e">
        <f t="shared" ca="1" si="58"/>
        <v>#NAME?</v>
      </c>
      <c r="W229" s="1" t="e">
        <f ca="1"/>
        <v>#NAME?</v>
      </c>
      <c r="X229" s="1" t="e">
        <f t="shared" ca="1" si="59"/>
        <v>#NAME?</v>
      </c>
      <c r="Y229" s="1" t="e">
        <f ca="1"/>
        <v>#NAME?</v>
      </c>
      <c r="Z229" s="1" t="e">
        <f t="shared" ca="1" si="60"/>
        <v>#NAME?</v>
      </c>
      <c r="AA229" s="1" t="e">
        <f ca="1"/>
        <v>#NAME?</v>
      </c>
      <c r="AB229" s="1" t="e">
        <f t="shared" ca="1" si="61"/>
        <v>#NAME?</v>
      </c>
      <c r="AC229" s="1" t="e">
        <f ca="1"/>
        <v>#NAME?</v>
      </c>
      <c r="AD229" s="1" t="e">
        <f t="shared" ca="1" si="62"/>
        <v>#NAME?</v>
      </c>
      <c r="AE229" s="1" t="e">
        <f ca="1"/>
        <v>#NAME?</v>
      </c>
      <c r="AF229" s="1" t="e">
        <f t="shared" ca="1" si="63"/>
        <v>#NAME?</v>
      </c>
      <c r="AG229" s="1" t="e">
        <f ca="1"/>
        <v>#NAME?</v>
      </c>
      <c r="AH229" s="1" t="e">
        <f t="shared" ca="1" si="64"/>
        <v>#NAME?</v>
      </c>
      <c r="AI229" s="1" t="e">
        <f ca="1"/>
        <v>#NAME?</v>
      </c>
      <c r="AJ229" s="1" t="e">
        <f t="shared" ca="1" si="73"/>
        <v>#NAME?</v>
      </c>
      <c r="AK229" s="1" t="e">
        <f ca="1"/>
        <v>#NAME?</v>
      </c>
      <c r="AL229" s="1" t="e">
        <f t="shared" ca="1" si="65"/>
        <v>#NAME?</v>
      </c>
      <c r="AN229" s="1">
        <f t="shared" si="55"/>
        <v>3.9901331167210836</v>
      </c>
      <c r="AO229" s="1" t="e">
        <f ca="1"/>
        <v>#NAME?</v>
      </c>
      <c r="AP229" s="1" t="e">
        <f t="shared" ca="1" si="56"/>
        <v>#NAME?</v>
      </c>
    </row>
    <row r="230" spans="1:42" x14ac:dyDescent="0.25">
      <c r="A230" s="1" t="s">
        <v>245</v>
      </c>
      <c r="B230" s="1">
        <v>229</v>
      </c>
      <c r="C230" s="1">
        <v>54865.601604647098</v>
      </c>
      <c r="D230" s="1">
        <f t="shared" si="66"/>
        <v>4.7393001456271682</v>
      </c>
      <c r="E230" s="1">
        <v>37938.332111650598</v>
      </c>
      <c r="F230" s="1">
        <f t="shared" si="67"/>
        <v>4.5790782340215737</v>
      </c>
      <c r="G230" s="1">
        <v>9605.5457241614095</v>
      </c>
      <c r="H230" s="1">
        <f t="shared" si="68"/>
        <v>3.9825220436651021</v>
      </c>
      <c r="I230" s="1">
        <v>9667.8515456076202</v>
      </c>
      <c r="J230" s="1">
        <f t="shared" si="69"/>
        <v>0.17620970631603822</v>
      </c>
      <c r="K230" s="1">
        <f t="shared" si="70"/>
        <v>3.9853299729914644</v>
      </c>
      <c r="L230" s="1">
        <v>7547.0981711562199</v>
      </c>
      <c r="M230" s="1">
        <f t="shared" si="71"/>
        <v>3.8777799992446287</v>
      </c>
      <c r="N230" s="1">
        <v>9942.6657629281108</v>
      </c>
      <c r="O230" s="1">
        <f t="shared" si="72"/>
        <v>3.9975028402237585</v>
      </c>
      <c r="P230" s="1">
        <v>-2395.56759177189</v>
      </c>
      <c r="Q230" s="1" t="e">
        <f ca="1"/>
        <v>#NAME?</v>
      </c>
      <c r="R230" s="1" t="e">
        <f t="shared" ca="1" si="57"/>
        <v>#NAME?</v>
      </c>
      <c r="S230" s="4">
        <v>3737811000000</v>
      </c>
      <c r="T230" s="1">
        <v>145819.66666666701</v>
      </c>
      <c r="U230" s="1" t="e">
        <f ca="1"/>
        <v>#NAME?</v>
      </c>
      <c r="V230" s="1" t="e">
        <f t="shared" ca="1" si="58"/>
        <v>#NAME?</v>
      </c>
      <c r="W230" s="1" t="e">
        <f ca="1"/>
        <v>#NAME?</v>
      </c>
      <c r="X230" s="1" t="e">
        <f t="shared" ca="1" si="59"/>
        <v>#NAME?</v>
      </c>
      <c r="Y230" s="1" t="e">
        <f ca="1"/>
        <v>#NAME?</v>
      </c>
      <c r="Z230" s="1" t="e">
        <f t="shared" ca="1" si="60"/>
        <v>#NAME?</v>
      </c>
      <c r="AA230" s="1" t="e">
        <f ca="1"/>
        <v>#NAME?</v>
      </c>
      <c r="AB230" s="1" t="e">
        <f t="shared" ca="1" si="61"/>
        <v>#NAME?</v>
      </c>
      <c r="AC230" s="1" t="e">
        <f ca="1"/>
        <v>#NAME?</v>
      </c>
      <c r="AD230" s="1" t="e">
        <f t="shared" ca="1" si="62"/>
        <v>#NAME?</v>
      </c>
      <c r="AE230" s="1" t="e">
        <f ca="1"/>
        <v>#NAME?</v>
      </c>
      <c r="AF230" s="1" t="e">
        <f t="shared" ca="1" si="63"/>
        <v>#NAME?</v>
      </c>
      <c r="AG230" s="1" t="e">
        <f ca="1"/>
        <v>#NAME?</v>
      </c>
      <c r="AH230" s="1" t="e">
        <f t="shared" ca="1" si="64"/>
        <v>#NAME?</v>
      </c>
      <c r="AI230" s="1" t="e">
        <f ca="1"/>
        <v>#NAME?</v>
      </c>
      <c r="AJ230" s="1" t="e">
        <f t="shared" ca="1" si="73"/>
        <v>#NAME?</v>
      </c>
      <c r="AK230" s="1" t="e">
        <f ca="1"/>
        <v>#NAME?</v>
      </c>
      <c r="AL230" s="1" t="e">
        <f t="shared" ca="1" si="65"/>
        <v>#NAME?</v>
      </c>
      <c r="AN230" s="1">
        <f t="shared" si="55"/>
        <v>3.988315599301159</v>
      </c>
      <c r="AO230" s="1" t="e">
        <f ca="1"/>
        <v>#NAME?</v>
      </c>
      <c r="AP230" s="1" t="e">
        <f t="shared" ca="1" si="56"/>
        <v>#NAME?</v>
      </c>
    </row>
    <row r="231" spans="1:42" x14ac:dyDescent="0.25">
      <c r="A231" s="1" t="s">
        <v>246</v>
      </c>
      <c r="B231" s="1">
        <v>230</v>
      </c>
      <c r="C231" s="1">
        <v>55057.411637891397</v>
      </c>
      <c r="D231" s="1">
        <f t="shared" si="66"/>
        <v>4.7408157904608004</v>
      </c>
      <c r="E231" s="1">
        <v>38031.709916277301</v>
      </c>
      <c r="F231" s="1">
        <f t="shared" si="67"/>
        <v>4.580145851851487</v>
      </c>
      <c r="G231" s="1">
        <v>9761.8801178365593</v>
      </c>
      <c r="H231" s="1">
        <f t="shared" si="68"/>
        <v>3.9895334699378195</v>
      </c>
      <c r="I231" s="1">
        <v>9670.2964900138995</v>
      </c>
      <c r="J231" s="1">
        <f t="shared" si="69"/>
        <v>0.17564023084875</v>
      </c>
      <c r="K231" s="1">
        <f t="shared" si="70"/>
        <v>3.9854397896986185</v>
      </c>
      <c r="L231" s="1">
        <v>7560.6055966241402</v>
      </c>
      <c r="M231" s="1">
        <f t="shared" si="71"/>
        <v>3.8785565834295848</v>
      </c>
      <c r="N231" s="1">
        <v>10024.0787128622</v>
      </c>
      <c r="O231" s="1">
        <f t="shared" si="72"/>
        <v>4.0010444682442232</v>
      </c>
      <c r="P231" s="1">
        <v>-2463.4731162380499</v>
      </c>
      <c r="Q231" s="1" t="e">
        <f ca="1"/>
        <v>#NAME?</v>
      </c>
      <c r="R231" s="1" t="e">
        <f t="shared" ca="1" si="57"/>
        <v>#NAME?</v>
      </c>
      <c r="S231" s="4">
        <v>3774719000000</v>
      </c>
      <c r="T231" s="1">
        <v>146383</v>
      </c>
      <c r="U231" s="1" t="e">
        <f ca="1"/>
        <v>#NAME?</v>
      </c>
      <c r="V231" s="1" t="e">
        <f t="shared" ca="1" si="58"/>
        <v>#NAME?</v>
      </c>
      <c r="W231" s="1" t="e">
        <f ca="1"/>
        <v>#NAME?</v>
      </c>
      <c r="X231" s="1" t="e">
        <f t="shared" ca="1" si="59"/>
        <v>#NAME?</v>
      </c>
      <c r="Y231" s="1" t="e">
        <f ca="1"/>
        <v>#NAME?</v>
      </c>
      <c r="Z231" s="1" t="e">
        <f t="shared" ca="1" si="60"/>
        <v>#NAME?</v>
      </c>
      <c r="AA231" s="1" t="e">
        <f ca="1"/>
        <v>#NAME?</v>
      </c>
      <c r="AB231" s="1" t="e">
        <f t="shared" ca="1" si="61"/>
        <v>#NAME?</v>
      </c>
      <c r="AC231" s="1" t="e">
        <f ca="1"/>
        <v>#NAME?</v>
      </c>
      <c r="AD231" s="1" t="e">
        <f t="shared" ca="1" si="62"/>
        <v>#NAME?</v>
      </c>
      <c r="AE231" s="1" t="e">
        <f ca="1"/>
        <v>#NAME?</v>
      </c>
      <c r="AF231" s="1" t="e">
        <f t="shared" ca="1" si="63"/>
        <v>#NAME?</v>
      </c>
      <c r="AG231" s="1" t="e">
        <f ca="1"/>
        <v>#NAME?</v>
      </c>
      <c r="AH231" s="1" t="e">
        <f t="shared" ca="1" si="64"/>
        <v>#NAME?</v>
      </c>
      <c r="AI231" s="1" t="e">
        <f ca="1"/>
        <v>#NAME?</v>
      </c>
      <c r="AJ231" s="1" t="e">
        <f t="shared" ca="1" si="73"/>
        <v>#NAME?</v>
      </c>
      <c r="AK231" s="1" t="e">
        <f ca="1"/>
        <v>#NAME?</v>
      </c>
      <c r="AL231" s="1" t="e">
        <f t="shared" ca="1" si="65"/>
        <v>#NAME?</v>
      </c>
      <c r="AN231" s="1">
        <f t="shared" si="55"/>
        <v>3.98722331289681</v>
      </c>
      <c r="AO231" s="1" t="e">
        <f ca="1"/>
        <v>#NAME?</v>
      </c>
      <c r="AP231" s="1" t="e">
        <f t="shared" ca="1" si="56"/>
        <v>#NAME?</v>
      </c>
    </row>
    <row r="232" spans="1:42" x14ac:dyDescent="0.25">
      <c r="A232" s="1" t="s">
        <v>247</v>
      </c>
      <c r="B232" s="1">
        <v>231</v>
      </c>
      <c r="C232" s="1">
        <v>55413.566057345502</v>
      </c>
      <c r="D232" s="1">
        <f t="shared" si="66"/>
        <v>4.7436160994324803</v>
      </c>
      <c r="E232" s="1">
        <v>38189.967597970302</v>
      </c>
      <c r="F232" s="1">
        <f t="shared" si="67"/>
        <v>4.5819492898991445</v>
      </c>
      <c r="G232" s="1">
        <v>9937.1064376108097</v>
      </c>
      <c r="H232" s="1">
        <f t="shared" si="68"/>
        <v>3.9972599416284438</v>
      </c>
      <c r="I232" s="1">
        <v>9650.56550712233</v>
      </c>
      <c r="J232" s="1">
        <f t="shared" si="69"/>
        <v>0.17415528712112316</v>
      </c>
      <c r="K232" s="1">
        <f t="shared" si="70"/>
        <v>3.984552763025325</v>
      </c>
      <c r="L232" s="1">
        <v>7591.4501436693799</v>
      </c>
      <c r="M232" s="1">
        <f t="shared" si="71"/>
        <v>3.8803247441744699</v>
      </c>
      <c r="N232" s="1">
        <v>9998.0344806504909</v>
      </c>
      <c r="O232" s="1">
        <f t="shared" si="72"/>
        <v>3.9999146301891679</v>
      </c>
      <c r="P232" s="1">
        <v>-2406.58433698111</v>
      </c>
      <c r="Q232" s="1" t="e">
        <f ca="1"/>
        <v>#NAME?</v>
      </c>
      <c r="R232" s="1" t="e">
        <f t="shared" ca="1" si="57"/>
        <v>#NAME?</v>
      </c>
      <c r="S232" s="4">
        <v>3793556000000</v>
      </c>
      <c r="T232" s="1">
        <v>146892.66666666701</v>
      </c>
      <c r="U232" s="1" t="e">
        <f ca="1"/>
        <v>#NAME?</v>
      </c>
      <c r="V232" s="1" t="e">
        <f t="shared" ca="1" si="58"/>
        <v>#NAME?</v>
      </c>
      <c r="W232" s="1" t="e">
        <f ca="1"/>
        <v>#NAME?</v>
      </c>
      <c r="X232" s="1" t="e">
        <f t="shared" ca="1" si="59"/>
        <v>#NAME?</v>
      </c>
      <c r="Y232" s="1" t="e">
        <f ca="1"/>
        <v>#NAME?</v>
      </c>
      <c r="Z232" s="1" t="e">
        <f t="shared" ca="1" si="60"/>
        <v>#NAME?</v>
      </c>
      <c r="AA232" s="1" t="e">
        <f ca="1"/>
        <v>#NAME?</v>
      </c>
      <c r="AB232" s="1" t="e">
        <f t="shared" ca="1" si="61"/>
        <v>#NAME?</v>
      </c>
      <c r="AC232" s="1" t="e">
        <f ca="1"/>
        <v>#NAME?</v>
      </c>
      <c r="AD232" s="1" t="e">
        <f t="shared" ca="1" si="62"/>
        <v>#NAME?</v>
      </c>
      <c r="AE232" s="1" t="e">
        <f ca="1"/>
        <v>#NAME?</v>
      </c>
      <c r="AF232" s="1" t="e">
        <f t="shared" ca="1" si="63"/>
        <v>#NAME?</v>
      </c>
      <c r="AG232" s="1" t="e">
        <f ca="1"/>
        <v>#NAME?</v>
      </c>
      <c r="AH232" s="1" t="e">
        <f t="shared" ca="1" si="64"/>
        <v>#NAME?</v>
      </c>
      <c r="AI232" s="1" t="e">
        <f ca="1"/>
        <v>#NAME?</v>
      </c>
      <c r="AJ232" s="1" t="e">
        <f t="shared" ca="1" si="73"/>
        <v>#NAME?</v>
      </c>
      <c r="AK232" s="1" t="e">
        <f ca="1"/>
        <v>#NAME?</v>
      </c>
      <c r="AL232" s="1" t="e">
        <f t="shared" ca="1" si="65"/>
        <v>#NAME?</v>
      </c>
      <c r="AN232" s="1">
        <f t="shared" si="55"/>
        <v>3.9882792860206671</v>
      </c>
      <c r="AO232" s="1" t="e">
        <f ca="1"/>
        <v>#NAME?</v>
      </c>
      <c r="AP232" s="1" t="e">
        <f t="shared" ca="1" si="56"/>
        <v>#NAME?</v>
      </c>
    </row>
    <row r="233" spans="1:42" x14ac:dyDescent="0.25">
      <c r="A233" s="1" t="s">
        <v>248</v>
      </c>
      <c r="B233" s="1">
        <v>232</v>
      </c>
      <c r="C233" s="1">
        <v>55876.554813666502</v>
      </c>
      <c r="D233" s="1">
        <f t="shared" si="66"/>
        <v>4.7472296209292724</v>
      </c>
      <c r="E233" s="1">
        <v>38542.692528349799</v>
      </c>
      <c r="F233" s="1">
        <f t="shared" si="67"/>
        <v>4.585942050468871</v>
      </c>
      <c r="G233" s="1">
        <v>10050.416244522299</v>
      </c>
      <c r="H233" s="1">
        <f t="shared" si="68"/>
        <v>4.0021840487172735</v>
      </c>
      <c r="I233" s="1">
        <v>9710.3347045396295</v>
      </c>
      <c r="J233" s="1">
        <f t="shared" si="69"/>
        <v>0.17378191509696725</v>
      </c>
      <c r="K233" s="1">
        <f t="shared" si="70"/>
        <v>3.987234199818344</v>
      </c>
      <c r="L233" s="1">
        <v>7775.5850005493003</v>
      </c>
      <c r="M233" s="1">
        <f t="shared" si="71"/>
        <v>3.8907330733198351</v>
      </c>
      <c r="N233" s="1">
        <v>10262.5544718821</v>
      </c>
      <c r="O233" s="1">
        <f t="shared" si="72"/>
        <v>4.0112554752943703</v>
      </c>
      <c r="P233" s="1">
        <v>-2486.9694713328399</v>
      </c>
      <c r="Q233" s="1" t="e">
        <f ca="1"/>
        <v>#NAME?</v>
      </c>
      <c r="R233" s="1" t="e">
        <f t="shared" ca="1" si="57"/>
        <v>#NAME?</v>
      </c>
      <c r="S233" s="4">
        <v>3878187000000</v>
      </c>
      <c r="T233" s="1">
        <v>147348.33333333299</v>
      </c>
      <c r="U233" s="1" t="e">
        <f ca="1"/>
        <v>#NAME?</v>
      </c>
      <c r="V233" s="1" t="e">
        <f t="shared" ca="1" si="58"/>
        <v>#NAME?</v>
      </c>
      <c r="W233" s="1" t="e">
        <f ca="1"/>
        <v>#NAME?</v>
      </c>
      <c r="X233" s="1" t="e">
        <f t="shared" ca="1" si="59"/>
        <v>#NAME?</v>
      </c>
      <c r="Y233" s="1" t="e">
        <f ca="1"/>
        <v>#NAME?</v>
      </c>
      <c r="Z233" s="1" t="e">
        <f t="shared" ca="1" si="60"/>
        <v>#NAME?</v>
      </c>
      <c r="AA233" s="1" t="e">
        <f ca="1"/>
        <v>#NAME?</v>
      </c>
      <c r="AB233" s="1" t="e">
        <f t="shared" ca="1" si="61"/>
        <v>#NAME?</v>
      </c>
      <c r="AC233" s="1" t="e">
        <f ca="1"/>
        <v>#NAME?</v>
      </c>
      <c r="AD233" s="1" t="e">
        <f t="shared" ca="1" si="62"/>
        <v>#NAME?</v>
      </c>
      <c r="AE233" s="1" t="e">
        <f ca="1"/>
        <v>#NAME?</v>
      </c>
      <c r="AF233" s="1" t="e">
        <f t="shared" ca="1" si="63"/>
        <v>#NAME?</v>
      </c>
      <c r="AG233" s="1" t="e">
        <f ca="1"/>
        <v>#NAME?</v>
      </c>
      <c r="AH233" s="1" t="e">
        <f t="shared" ca="1" si="64"/>
        <v>#NAME?</v>
      </c>
      <c r="AI233" s="1" t="e">
        <f ca="1"/>
        <v>#NAME?</v>
      </c>
      <c r="AJ233" s="1" t="e">
        <f t="shared" ca="1" si="73"/>
        <v>#NAME?</v>
      </c>
      <c r="AK233" s="1" t="e">
        <f ca="1"/>
        <v>#NAME?</v>
      </c>
      <c r="AL233" s="1" t="e">
        <f t="shared" ca="1" si="65"/>
        <v>#NAME?</v>
      </c>
      <c r="AN233" s="1">
        <f t="shared" si="55"/>
        <v>3.9875823264409851</v>
      </c>
      <c r="AO233" s="1" t="e">
        <f ca="1"/>
        <v>#NAME?</v>
      </c>
      <c r="AP233" s="1" t="e">
        <f t="shared" ca="1" si="56"/>
        <v>#NAME?</v>
      </c>
    </row>
    <row r="234" spans="1:42" x14ac:dyDescent="0.25">
      <c r="A234" s="1" t="s">
        <v>249</v>
      </c>
      <c r="B234" s="1">
        <v>233</v>
      </c>
      <c r="C234" s="1">
        <v>56195.162317771603</v>
      </c>
      <c r="D234" s="1">
        <f t="shared" si="66"/>
        <v>4.749698929997388</v>
      </c>
      <c r="E234" s="1">
        <v>38748.871502113703</v>
      </c>
      <c r="F234" s="1">
        <f t="shared" si="67"/>
        <v>4.5882590589057752</v>
      </c>
      <c r="G234" s="1">
        <v>10188.8927157405</v>
      </c>
      <c r="H234" s="1">
        <f t="shared" si="68"/>
        <v>4.0081269893476215</v>
      </c>
      <c r="I234" s="1">
        <v>9715.9446616944697</v>
      </c>
      <c r="J234" s="1">
        <f t="shared" si="69"/>
        <v>0.17289646049517365</v>
      </c>
      <c r="K234" s="1">
        <f t="shared" si="70"/>
        <v>3.9874850325648374</v>
      </c>
      <c r="L234" s="1">
        <v>7816.9196960599402</v>
      </c>
      <c r="M234" s="1">
        <f t="shared" si="71"/>
        <v>3.8930356504325969</v>
      </c>
      <c r="N234" s="1">
        <v>10336.333517225399</v>
      </c>
      <c r="O234" s="1">
        <f t="shared" si="72"/>
        <v>4.0143665140366291</v>
      </c>
      <c r="P234" s="1">
        <v>-2519.4138211654699</v>
      </c>
      <c r="Q234" s="1" t="e">
        <f ca="1"/>
        <v>#NAME?</v>
      </c>
      <c r="R234" s="1" t="e">
        <f t="shared" ca="1" si="57"/>
        <v>#NAME?</v>
      </c>
      <c r="S234" s="4">
        <v>3921039000000</v>
      </c>
      <c r="T234" s="1">
        <v>148003</v>
      </c>
      <c r="U234" s="1" t="e">
        <f ca="1"/>
        <v>#NAME?</v>
      </c>
      <c r="V234" s="1" t="e">
        <f t="shared" ca="1" si="58"/>
        <v>#NAME?</v>
      </c>
      <c r="W234" s="1" t="e">
        <f ca="1"/>
        <v>#NAME?</v>
      </c>
      <c r="X234" s="1" t="e">
        <f t="shared" ca="1" si="59"/>
        <v>#NAME?</v>
      </c>
      <c r="Y234" s="1" t="e">
        <f ca="1"/>
        <v>#NAME?</v>
      </c>
      <c r="Z234" s="1" t="e">
        <f t="shared" ca="1" si="60"/>
        <v>#NAME?</v>
      </c>
      <c r="AA234" s="1" t="e">
        <f ca="1"/>
        <v>#NAME?</v>
      </c>
      <c r="AB234" s="1" t="e">
        <f t="shared" ca="1" si="61"/>
        <v>#NAME?</v>
      </c>
      <c r="AC234" s="1" t="e">
        <f ca="1"/>
        <v>#NAME?</v>
      </c>
      <c r="AD234" s="1" t="e">
        <f t="shared" ca="1" si="62"/>
        <v>#NAME?</v>
      </c>
      <c r="AE234" s="1" t="e">
        <f ca="1"/>
        <v>#NAME?</v>
      </c>
      <c r="AF234" s="1" t="e">
        <f t="shared" ca="1" si="63"/>
        <v>#NAME?</v>
      </c>
      <c r="AG234" s="1" t="e">
        <f ca="1"/>
        <v>#NAME?</v>
      </c>
      <c r="AH234" s="1" t="e">
        <f t="shared" ca="1" si="64"/>
        <v>#NAME?</v>
      </c>
      <c r="AI234" s="1" t="e">
        <f ca="1"/>
        <v>#NAME?</v>
      </c>
      <c r="AJ234" s="1" t="e">
        <f t="shared" ca="1" si="73"/>
        <v>#NAME?</v>
      </c>
      <c r="AK234" s="1" t="e">
        <f ca="1"/>
        <v>#NAME?</v>
      </c>
      <c r="AL234" s="1" t="e">
        <f t="shared" ca="1" si="65"/>
        <v>#NAME?</v>
      </c>
      <c r="AN234" s="1">
        <f t="shared" si="55"/>
        <v>3.9871013798042085</v>
      </c>
      <c r="AO234" s="1" t="e">
        <f ca="1"/>
        <v>#NAME?</v>
      </c>
      <c r="AP234" s="1" t="e">
        <f t="shared" ca="1" si="56"/>
        <v>#NAME?</v>
      </c>
    </row>
    <row r="235" spans="1:42" x14ac:dyDescent="0.25">
      <c r="A235" s="1" t="s">
        <v>250</v>
      </c>
      <c r="B235" s="1">
        <v>234</v>
      </c>
      <c r="C235" s="1">
        <v>56512.108630671501</v>
      </c>
      <c r="D235" s="1">
        <f t="shared" si="66"/>
        <v>4.7521415123869062</v>
      </c>
      <c r="E235" s="1">
        <v>38978.981876624697</v>
      </c>
      <c r="F235" s="1">
        <f t="shared" si="67"/>
        <v>4.5908304912429063</v>
      </c>
      <c r="G235" s="1">
        <v>10194.1611927214</v>
      </c>
      <c r="H235" s="1">
        <f t="shared" si="68"/>
        <v>4.0083514964839972</v>
      </c>
      <c r="I235" s="1">
        <v>9771.0287770222203</v>
      </c>
      <c r="J235" s="1">
        <f t="shared" si="69"/>
        <v>0.17290150754911085</v>
      </c>
      <c r="K235" s="1">
        <f t="shared" si="70"/>
        <v>3.9899402923433374</v>
      </c>
      <c r="L235" s="1">
        <v>7849.0286917930398</v>
      </c>
      <c r="M235" s="1">
        <f t="shared" si="71"/>
        <v>3.8948159166313476</v>
      </c>
      <c r="N235" s="1">
        <v>10334.898912110501</v>
      </c>
      <c r="O235" s="1">
        <f t="shared" si="72"/>
        <v>4.0143062330554891</v>
      </c>
      <c r="P235" s="1">
        <v>-2485.8702203174198</v>
      </c>
      <c r="Q235" s="1" t="e">
        <f ca="1"/>
        <v>#NAME?</v>
      </c>
      <c r="R235" s="1" t="e">
        <f t="shared" ca="1" si="57"/>
        <v>#NAME?</v>
      </c>
      <c r="S235" s="4">
        <v>3979866000000</v>
      </c>
      <c r="T235" s="1">
        <v>148715.66666666701</v>
      </c>
      <c r="U235" s="1" t="e">
        <f ca="1"/>
        <v>#NAME?</v>
      </c>
      <c r="V235" s="1" t="e">
        <f t="shared" ca="1" si="58"/>
        <v>#NAME?</v>
      </c>
      <c r="W235" s="1" t="e">
        <f ca="1"/>
        <v>#NAME?</v>
      </c>
      <c r="X235" s="1" t="e">
        <f t="shared" ca="1" si="59"/>
        <v>#NAME?</v>
      </c>
      <c r="Y235" s="1" t="e">
        <f ca="1"/>
        <v>#NAME?</v>
      </c>
      <c r="Z235" s="1" t="e">
        <f t="shared" ca="1" si="60"/>
        <v>#NAME?</v>
      </c>
      <c r="AA235" s="1" t="e">
        <f ca="1"/>
        <v>#NAME?</v>
      </c>
      <c r="AB235" s="1" t="e">
        <f t="shared" ca="1" si="61"/>
        <v>#NAME?</v>
      </c>
      <c r="AC235" s="1" t="e">
        <f ca="1"/>
        <v>#NAME?</v>
      </c>
      <c r="AD235" s="1" t="e">
        <f t="shared" ca="1" si="62"/>
        <v>#NAME?</v>
      </c>
      <c r="AE235" s="1" t="e">
        <f ca="1"/>
        <v>#NAME?</v>
      </c>
      <c r="AF235" s="1" t="e">
        <f t="shared" ca="1" si="63"/>
        <v>#NAME?</v>
      </c>
      <c r="AG235" s="1" t="e">
        <f ca="1"/>
        <v>#NAME?</v>
      </c>
      <c r="AH235" s="1" t="e">
        <f t="shared" ca="1" si="64"/>
        <v>#NAME?</v>
      </c>
      <c r="AI235" s="1" t="e">
        <f ca="1"/>
        <v>#NAME?</v>
      </c>
      <c r="AJ235" s="1" t="e">
        <f t="shared" ca="1" si="73"/>
        <v>#NAME?</v>
      </c>
      <c r="AK235" s="1" t="e">
        <f ca="1"/>
        <v>#NAME?</v>
      </c>
      <c r="AL235" s="1" t="e">
        <f t="shared" ca="1" si="65"/>
        <v>#NAME?</v>
      </c>
      <c r="AN235" s="1">
        <f t="shared" si="55"/>
        <v>3.9858805681607281</v>
      </c>
      <c r="AO235" s="1" t="e">
        <f ca="1"/>
        <v>#NAME?</v>
      </c>
      <c r="AP235" s="1" t="e">
        <f t="shared" ca="1" si="56"/>
        <v>#NAME?</v>
      </c>
    </row>
    <row r="236" spans="1:42" x14ac:dyDescent="0.25">
      <c r="A236" s="1" t="s">
        <v>251</v>
      </c>
      <c r="B236" s="1">
        <v>235</v>
      </c>
      <c r="C236" s="1">
        <v>56831.230245562903</v>
      </c>
      <c r="D236" s="1">
        <f t="shared" si="66"/>
        <v>4.7545870574713769</v>
      </c>
      <c r="E236" s="1">
        <v>39165.675905664997</v>
      </c>
      <c r="F236" s="1">
        <f t="shared" si="67"/>
        <v>4.5929056258248186</v>
      </c>
      <c r="G236" s="1">
        <v>10494.344152686601</v>
      </c>
      <c r="H236" s="1">
        <f t="shared" si="68"/>
        <v>4.0209553023972857</v>
      </c>
      <c r="I236" s="1">
        <v>9820.4959883296906</v>
      </c>
      <c r="J236" s="1">
        <f t="shared" si="69"/>
        <v>0.17280104523333675</v>
      </c>
      <c r="K236" s="1">
        <f t="shared" si="70"/>
        <v>3.9921334225685201</v>
      </c>
      <c r="L236" s="1">
        <v>7733.2603938730899</v>
      </c>
      <c r="M236" s="1">
        <f t="shared" si="71"/>
        <v>3.8883626339616058</v>
      </c>
      <c r="N236" s="1">
        <v>10457.9017748602</v>
      </c>
      <c r="O236" s="1">
        <f t="shared" si="72"/>
        <v>4.0194445584310499</v>
      </c>
      <c r="P236" s="1">
        <v>-2724.6413809871101</v>
      </c>
      <c r="Q236" s="1" t="e">
        <f ca="1"/>
        <v>#NAME?</v>
      </c>
      <c r="R236" s="1" t="e">
        <f t="shared" ca="1" si="57"/>
        <v>#NAME?</v>
      </c>
      <c r="S236" s="4">
        <v>3995151000000</v>
      </c>
      <c r="T236" s="1">
        <v>149218.33333333299</v>
      </c>
      <c r="U236" s="1" t="e">
        <f ca="1"/>
        <v>#NAME?</v>
      </c>
      <c r="V236" s="1" t="e">
        <f t="shared" ca="1" si="58"/>
        <v>#NAME?</v>
      </c>
      <c r="W236" s="1" t="e">
        <f ca="1"/>
        <v>#NAME?</v>
      </c>
      <c r="X236" s="1" t="e">
        <f t="shared" ca="1" si="59"/>
        <v>#NAME?</v>
      </c>
      <c r="Y236" s="1" t="e">
        <f ca="1"/>
        <v>#NAME?</v>
      </c>
      <c r="Z236" s="1" t="e">
        <f t="shared" ca="1" si="60"/>
        <v>#NAME?</v>
      </c>
      <c r="AA236" s="1" t="e">
        <f ca="1"/>
        <v>#NAME?</v>
      </c>
      <c r="AB236" s="1" t="e">
        <f t="shared" ca="1" si="61"/>
        <v>#NAME?</v>
      </c>
      <c r="AC236" s="1" t="e">
        <f ca="1"/>
        <v>#NAME?</v>
      </c>
      <c r="AD236" s="1" t="e">
        <f t="shared" ca="1" si="62"/>
        <v>#NAME?</v>
      </c>
      <c r="AE236" s="1" t="e">
        <f ca="1"/>
        <v>#NAME?</v>
      </c>
      <c r="AF236" s="1" t="e">
        <f t="shared" ca="1" si="63"/>
        <v>#NAME?</v>
      </c>
      <c r="AG236" s="1" t="e">
        <f ca="1"/>
        <v>#NAME?</v>
      </c>
      <c r="AH236" s="1" t="e">
        <f t="shared" ca="1" si="64"/>
        <v>#NAME?</v>
      </c>
      <c r="AI236" s="1" t="e">
        <f ca="1"/>
        <v>#NAME?</v>
      </c>
      <c r="AJ236" s="1" t="e">
        <f t="shared" ca="1" si="73"/>
        <v>#NAME?</v>
      </c>
      <c r="AK236" s="1" t="e">
        <f ca="1"/>
        <v>#NAME?</v>
      </c>
      <c r="AL236" s="1" t="e">
        <f t="shared" ca="1" si="65"/>
        <v>#NAME?</v>
      </c>
      <c r="AN236" s="1">
        <f t="shared" si="55"/>
        <v>3.9867889076787826</v>
      </c>
      <c r="AO236" s="1" t="e">
        <f ca="1"/>
        <v>#NAME?</v>
      </c>
      <c r="AP236" s="1" t="e">
        <f t="shared" ca="1" si="56"/>
        <v>#NAME?</v>
      </c>
    </row>
    <row r="237" spans="1:42" x14ac:dyDescent="0.25">
      <c r="A237" s="1" t="s">
        <v>252</v>
      </c>
      <c r="B237" s="1">
        <v>236</v>
      </c>
      <c r="C237" s="1">
        <v>56851.260310389</v>
      </c>
      <c r="D237" s="1">
        <f t="shared" si="66"/>
        <v>4.7547400968123279</v>
      </c>
      <c r="E237" s="1">
        <v>39279.243874460597</v>
      </c>
      <c r="F237" s="1">
        <f t="shared" si="67"/>
        <v>4.594163119025553</v>
      </c>
      <c r="G237" s="1">
        <v>10471.5557686588</v>
      </c>
      <c r="H237" s="1">
        <f t="shared" si="68"/>
        <v>4.0200112100025587</v>
      </c>
      <c r="I237" s="1">
        <v>9809.06585903218</v>
      </c>
      <c r="J237" s="1">
        <f t="shared" si="69"/>
        <v>0.17253911004748071</v>
      </c>
      <c r="K237" s="1">
        <f t="shared" si="70"/>
        <v>3.9916276504396269</v>
      </c>
      <c r="L237" s="1">
        <v>7745.8773617543002</v>
      </c>
      <c r="M237" s="1">
        <f t="shared" si="71"/>
        <v>3.8890706166450277</v>
      </c>
      <c r="N237" s="1">
        <v>10543.3567409763</v>
      </c>
      <c r="O237" s="1">
        <f t="shared" si="72"/>
        <v>4.0229789013881776</v>
      </c>
      <c r="P237" s="1">
        <v>-2797.4793792220298</v>
      </c>
      <c r="Q237" s="1" t="e">
        <f ca="1"/>
        <v>#NAME?</v>
      </c>
      <c r="R237" s="1" t="e">
        <f t="shared" ca="1" si="57"/>
        <v>#NAME?</v>
      </c>
      <c r="S237" s="4">
        <v>3995039000000</v>
      </c>
      <c r="T237" s="1">
        <v>149651</v>
      </c>
      <c r="U237" s="1" t="e">
        <f ca="1"/>
        <v>#NAME?</v>
      </c>
      <c r="V237" s="1" t="e">
        <f t="shared" ca="1" si="58"/>
        <v>#NAME?</v>
      </c>
      <c r="W237" s="1" t="e">
        <f ca="1"/>
        <v>#NAME?</v>
      </c>
      <c r="X237" s="1" t="e">
        <f t="shared" ca="1" si="59"/>
        <v>#NAME?</v>
      </c>
      <c r="Y237" s="1" t="e">
        <f ca="1"/>
        <v>#NAME?</v>
      </c>
      <c r="Z237" s="1" t="e">
        <f t="shared" ca="1" si="60"/>
        <v>#NAME?</v>
      </c>
      <c r="AA237" s="1" t="e">
        <f ca="1"/>
        <v>#NAME?</v>
      </c>
      <c r="AB237" s="1" t="e">
        <f t="shared" ca="1" si="61"/>
        <v>#NAME?</v>
      </c>
      <c r="AC237" s="1" t="e">
        <f ca="1"/>
        <v>#NAME?</v>
      </c>
      <c r="AD237" s="1" t="e">
        <f t="shared" ca="1" si="62"/>
        <v>#NAME?</v>
      </c>
      <c r="AE237" s="1" t="e">
        <f ca="1"/>
        <v>#NAME?</v>
      </c>
      <c r="AF237" s="1" t="e">
        <f t="shared" ca="1" si="63"/>
        <v>#NAME?</v>
      </c>
      <c r="AG237" s="1" t="e">
        <f ca="1"/>
        <v>#NAME?</v>
      </c>
      <c r="AH237" s="1" t="e">
        <f t="shared" ca="1" si="64"/>
        <v>#NAME?</v>
      </c>
      <c r="AI237" s="1" t="e">
        <f ca="1"/>
        <v>#NAME?</v>
      </c>
      <c r="AJ237" s="1" t="e">
        <f t="shared" ca="1" si="73"/>
        <v>#NAME?</v>
      </c>
      <c r="AK237" s="1" t="e">
        <f ca="1"/>
        <v>#NAME?</v>
      </c>
      <c r="AL237" s="1" t="e">
        <f t="shared" ca="1" si="65"/>
        <v>#NAME?</v>
      </c>
      <c r="AN237" s="1">
        <f t="shared" si="55"/>
        <v>3.9861415695541762</v>
      </c>
      <c r="AO237" s="1" t="e">
        <f ca="1"/>
        <v>#NAME?</v>
      </c>
      <c r="AP237" s="1" t="e">
        <f t="shared" ca="1" si="56"/>
        <v>#NAME?</v>
      </c>
    </row>
    <row r="238" spans="1:42" x14ac:dyDescent="0.25">
      <c r="A238" s="1" t="s">
        <v>253</v>
      </c>
      <c r="B238" s="1">
        <v>237</v>
      </c>
      <c r="C238" s="1">
        <v>57099.842967490004</v>
      </c>
      <c r="D238" s="1">
        <f t="shared" si="66"/>
        <v>4.7566349138772601</v>
      </c>
      <c r="E238" s="1">
        <v>39275.488983472198</v>
      </c>
      <c r="F238" s="1">
        <f t="shared" si="67"/>
        <v>4.5941216007521568</v>
      </c>
      <c r="G238" s="1">
        <v>10562.858476724001</v>
      </c>
      <c r="H238" s="1">
        <f t="shared" si="68"/>
        <v>4.0237814610650933</v>
      </c>
      <c r="I238" s="1">
        <v>9915.9845756484392</v>
      </c>
      <c r="J238" s="1">
        <f t="shared" si="69"/>
        <v>0.17366045264422425</v>
      </c>
      <c r="K238" s="1">
        <f t="shared" si="70"/>
        <v>3.9963358425495978</v>
      </c>
      <c r="L238" s="1">
        <v>7828.23735554828</v>
      </c>
      <c r="M238" s="1">
        <f t="shared" si="71"/>
        <v>3.8936639851824508</v>
      </c>
      <c r="N238" s="1">
        <v>10567.6543344611</v>
      </c>
      <c r="O238" s="1">
        <f t="shared" si="72"/>
        <v>4.0239785991663393</v>
      </c>
      <c r="P238" s="1">
        <v>-2739.41697891278</v>
      </c>
      <c r="Q238" s="1" t="e">
        <f ca="1"/>
        <v>#NAME?</v>
      </c>
      <c r="R238" s="1" t="e">
        <f t="shared" ca="1" si="57"/>
        <v>#NAME?</v>
      </c>
      <c r="S238" s="4">
        <v>4024414000000</v>
      </c>
      <c r="T238" s="1">
        <v>150175.33333333299</v>
      </c>
      <c r="U238" s="1" t="e">
        <f ca="1"/>
        <v>#NAME?</v>
      </c>
      <c r="V238" s="1" t="e">
        <f t="shared" ca="1" si="58"/>
        <v>#NAME?</v>
      </c>
      <c r="W238" s="1" t="e">
        <f ca="1"/>
        <v>#NAME?</v>
      </c>
      <c r="X238" s="1" t="e">
        <f t="shared" ca="1" si="59"/>
        <v>#NAME?</v>
      </c>
      <c r="Y238" s="1" t="e">
        <f ca="1"/>
        <v>#NAME?</v>
      </c>
      <c r="Z238" s="1" t="e">
        <f t="shared" ca="1" si="60"/>
        <v>#NAME?</v>
      </c>
      <c r="AA238" s="1" t="e">
        <f ca="1"/>
        <v>#NAME?</v>
      </c>
      <c r="AB238" s="1" t="e">
        <f t="shared" ca="1" si="61"/>
        <v>#NAME?</v>
      </c>
      <c r="AC238" s="1" t="e">
        <f ca="1"/>
        <v>#NAME?</v>
      </c>
      <c r="AD238" s="1" t="e">
        <f t="shared" ca="1" si="62"/>
        <v>#NAME?</v>
      </c>
      <c r="AE238" s="1" t="e">
        <f ca="1"/>
        <v>#NAME?</v>
      </c>
      <c r="AF238" s="1" t="e">
        <f t="shared" ca="1" si="63"/>
        <v>#NAME?</v>
      </c>
      <c r="AG238" s="1" t="e">
        <f ca="1"/>
        <v>#NAME?</v>
      </c>
      <c r="AH238" s="1" t="e">
        <f t="shared" ca="1" si="64"/>
        <v>#NAME?</v>
      </c>
      <c r="AI238" s="1" t="e">
        <f ca="1"/>
        <v>#NAME?</v>
      </c>
      <c r="AJ238" s="1" t="e">
        <f t="shared" ca="1" si="73"/>
        <v>#NAME?</v>
      </c>
      <c r="AK238" s="1" t="e">
        <f ca="1"/>
        <v>#NAME?</v>
      </c>
      <c r="AL238" s="1" t="e">
        <f t="shared" ca="1" si="65"/>
        <v>#NAME?</v>
      </c>
      <c r="AN238" s="1">
        <f t="shared" si="55"/>
        <v>3.9859188525276066</v>
      </c>
      <c r="AO238" s="1" t="e">
        <f ca="1"/>
        <v>#NAME?</v>
      </c>
      <c r="AP238" s="1" t="e">
        <f t="shared" ca="1" si="56"/>
        <v>#NAME?</v>
      </c>
    </row>
    <row r="239" spans="1:42" x14ac:dyDescent="0.25">
      <c r="A239" s="1" t="s">
        <v>254</v>
      </c>
      <c r="B239" s="1">
        <v>238</v>
      </c>
      <c r="C239" s="1">
        <v>57418.507471725497</v>
      </c>
      <c r="D239" s="1">
        <f t="shared" si="66"/>
        <v>4.7590518993200446</v>
      </c>
      <c r="E239" s="1">
        <v>39482.366122121501</v>
      </c>
      <c r="F239" s="1">
        <f t="shared" si="67"/>
        <v>4.5964031714289355</v>
      </c>
      <c r="G239" s="1">
        <v>10612.8934578873</v>
      </c>
      <c r="H239" s="1">
        <f t="shared" si="68"/>
        <v>4.0258338043989372</v>
      </c>
      <c r="I239" s="1">
        <v>10034.3684234432</v>
      </c>
      <c r="J239" s="1">
        <f t="shared" si="69"/>
        <v>0.17475843356576987</v>
      </c>
      <c r="K239" s="1">
        <f t="shared" si="70"/>
        <v>4.0014900426087125</v>
      </c>
      <c r="L239" s="1">
        <v>7773.8678859634501</v>
      </c>
      <c r="M239" s="1">
        <f t="shared" si="71"/>
        <v>3.8906371556823589</v>
      </c>
      <c r="N239" s="1">
        <v>10573.213826098799</v>
      </c>
      <c r="O239" s="1">
        <f t="shared" si="72"/>
        <v>4.0242070151971063</v>
      </c>
      <c r="P239" s="1">
        <v>-2799.3459401353598</v>
      </c>
      <c r="Q239" s="1" t="e">
        <f ca="1"/>
        <v>#NAME?</v>
      </c>
      <c r="R239" s="1" t="e">
        <f t="shared" ca="1" si="57"/>
        <v>#NAME?</v>
      </c>
      <c r="S239" s="4">
        <v>4070406000000</v>
      </c>
      <c r="T239" s="1">
        <v>150663.33333333299</v>
      </c>
      <c r="U239" s="1" t="e">
        <f ca="1"/>
        <v>#NAME?</v>
      </c>
      <c r="V239" s="1" t="e">
        <f t="shared" ca="1" si="58"/>
        <v>#NAME?</v>
      </c>
      <c r="W239" s="1" t="e">
        <f ca="1"/>
        <v>#NAME?</v>
      </c>
      <c r="X239" s="1" t="e">
        <f t="shared" ca="1" si="59"/>
        <v>#NAME?</v>
      </c>
      <c r="Y239" s="1" t="e">
        <f ca="1"/>
        <v>#NAME?</v>
      </c>
      <c r="Z239" s="1" t="e">
        <f t="shared" ca="1" si="60"/>
        <v>#NAME?</v>
      </c>
      <c r="AA239" s="1" t="e">
        <f ca="1"/>
        <v>#NAME?</v>
      </c>
      <c r="AB239" s="1" t="e">
        <f t="shared" ca="1" si="61"/>
        <v>#NAME?</v>
      </c>
      <c r="AC239" s="1" t="e">
        <f ca="1"/>
        <v>#NAME?</v>
      </c>
      <c r="AD239" s="1" t="e">
        <f t="shared" ca="1" si="62"/>
        <v>#NAME?</v>
      </c>
      <c r="AE239" s="1" t="e">
        <f ca="1"/>
        <v>#NAME?</v>
      </c>
      <c r="AF239" s="1" t="e">
        <f t="shared" ca="1" si="63"/>
        <v>#NAME?</v>
      </c>
      <c r="AG239" s="1" t="e">
        <f ca="1"/>
        <v>#NAME?</v>
      </c>
      <c r="AH239" s="1" t="e">
        <f t="shared" ca="1" si="64"/>
        <v>#NAME?</v>
      </c>
      <c r="AI239" s="1" t="e">
        <f ca="1"/>
        <v>#NAME?</v>
      </c>
      <c r="AJ239" s="1" t="e">
        <f t="shared" ca="1" si="73"/>
        <v>#NAME?</v>
      </c>
      <c r="AK239" s="1" t="e">
        <f ca="1"/>
        <v>#NAME?</v>
      </c>
      <c r="AL239" s="1" t="e">
        <f t="shared" ca="1" si="65"/>
        <v>#NAME?</v>
      </c>
      <c r="AN239" s="1">
        <f t="shared" si="55"/>
        <v>3.9856574707014358</v>
      </c>
      <c r="AO239" s="1" t="e">
        <f ca="1"/>
        <v>#NAME?</v>
      </c>
      <c r="AP239" s="1" t="e">
        <f t="shared" ca="1" si="56"/>
        <v>#NAME?</v>
      </c>
    </row>
    <row r="240" spans="1:42" x14ac:dyDescent="0.25">
      <c r="A240" s="1" t="s">
        <v>255</v>
      </c>
      <c r="B240" s="1">
        <v>239</v>
      </c>
      <c r="C240" s="1">
        <v>57844.736929631203</v>
      </c>
      <c r="D240" s="1">
        <f t="shared" si="66"/>
        <v>4.7622638502989965</v>
      </c>
      <c r="E240" s="1">
        <v>39757.193956381197</v>
      </c>
      <c r="F240" s="1">
        <f t="shared" si="67"/>
        <v>4.5994157245113811</v>
      </c>
      <c r="G240" s="1">
        <v>10664.9038941248</v>
      </c>
      <c r="H240" s="1">
        <f t="shared" si="68"/>
        <v>4.0279569461952613</v>
      </c>
      <c r="I240" s="1">
        <v>10102.6187603748</v>
      </c>
      <c r="J240" s="1">
        <f t="shared" si="69"/>
        <v>0.17465061294452344</v>
      </c>
      <c r="K240" s="1">
        <f t="shared" si="70"/>
        <v>4.0044339644522049</v>
      </c>
      <c r="L240" s="1">
        <v>7761.6719428898004</v>
      </c>
      <c r="M240" s="1">
        <f t="shared" si="71"/>
        <v>3.8899552827735429</v>
      </c>
      <c r="N240" s="1">
        <v>10511.2705568608</v>
      </c>
      <c r="O240" s="1">
        <f t="shared" si="72"/>
        <v>4.0216552148372715</v>
      </c>
      <c r="P240" s="1">
        <v>-2749.5986139709598</v>
      </c>
      <c r="Q240" s="1" t="e">
        <f ca="1"/>
        <v>#NAME?</v>
      </c>
      <c r="R240" s="1" t="e">
        <f t="shared" ca="1" si="57"/>
        <v>#NAME?</v>
      </c>
      <c r="S240" s="4">
        <v>4111611000000</v>
      </c>
      <c r="T240" s="1">
        <v>151102.66666666701</v>
      </c>
      <c r="U240" s="1" t="e">
        <f ca="1"/>
        <v>#NAME?</v>
      </c>
      <c r="V240" s="1" t="e">
        <f t="shared" ca="1" si="58"/>
        <v>#NAME?</v>
      </c>
      <c r="W240" s="1" t="e">
        <f ca="1"/>
        <v>#NAME?</v>
      </c>
      <c r="X240" s="1" t="e">
        <f t="shared" ca="1" si="59"/>
        <v>#NAME?</v>
      </c>
      <c r="Y240" s="1" t="e">
        <f ca="1"/>
        <v>#NAME?</v>
      </c>
      <c r="Z240" s="1" t="e">
        <f t="shared" ca="1" si="60"/>
        <v>#NAME?</v>
      </c>
      <c r="AA240" s="1" t="e">
        <f ca="1"/>
        <v>#NAME?</v>
      </c>
      <c r="AB240" s="1" t="e">
        <f t="shared" ca="1" si="61"/>
        <v>#NAME?</v>
      </c>
      <c r="AC240" s="1" t="e">
        <f ca="1"/>
        <v>#NAME?</v>
      </c>
      <c r="AD240" s="1" t="e">
        <f t="shared" ca="1" si="62"/>
        <v>#NAME?</v>
      </c>
      <c r="AE240" s="1" t="e">
        <f ca="1"/>
        <v>#NAME?</v>
      </c>
      <c r="AF240" s="1" t="e">
        <f t="shared" ca="1" si="63"/>
        <v>#NAME?</v>
      </c>
      <c r="AG240" s="1" t="e">
        <f ca="1"/>
        <v>#NAME?</v>
      </c>
      <c r="AH240" s="1" t="e">
        <f t="shared" ca="1" si="64"/>
        <v>#NAME?</v>
      </c>
      <c r="AI240" s="1" t="e">
        <f ca="1"/>
        <v>#NAME?</v>
      </c>
      <c r="AJ240" s="1" t="e">
        <f t="shared" ca="1" si="73"/>
        <v>#NAME?</v>
      </c>
      <c r="AK240" s="1" t="e">
        <f ca="1"/>
        <v>#NAME?</v>
      </c>
      <c r="AL240" s="1" t="e">
        <f t="shared" ca="1" si="65"/>
        <v>#NAME?</v>
      </c>
      <c r="AN240" s="1">
        <f t="shared" si="55"/>
        <v>3.9864853608912734</v>
      </c>
      <c r="AO240" s="1" t="e">
        <f ca="1"/>
        <v>#NAME?</v>
      </c>
      <c r="AP240" s="1" t="e">
        <f t="shared" ca="1" si="56"/>
        <v>#NAME?</v>
      </c>
    </row>
    <row r="241" spans="1:42" x14ac:dyDescent="0.25">
      <c r="A241" s="1" t="s">
        <v>256</v>
      </c>
      <c r="B241" s="1">
        <v>240</v>
      </c>
      <c r="C241" s="1">
        <v>58016.989323929403</v>
      </c>
      <c r="D241" s="1">
        <f t="shared" si="66"/>
        <v>4.7635551882045073</v>
      </c>
      <c r="E241" s="1">
        <v>39931.429796381701</v>
      </c>
      <c r="F241" s="1">
        <f t="shared" si="67"/>
        <v>4.6013148609471974</v>
      </c>
      <c r="G241" s="1">
        <v>10429.560880172001</v>
      </c>
      <c r="H241" s="1">
        <f t="shared" si="68"/>
        <v>4.0182660235432275</v>
      </c>
      <c r="I241" s="1">
        <v>10147.2488587232</v>
      </c>
      <c r="J241" s="1">
        <f t="shared" si="69"/>
        <v>0.17490133453956935</v>
      </c>
      <c r="K241" s="1">
        <f t="shared" si="70"/>
        <v>4.0063483114679732</v>
      </c>
      <c r="L241" s="1">
        <v>7765.0449264510498</v>
      </c>
      <c r="M241" s="1">
        <f t="shared" si="71"/>
        <v>3.8901439727823286</v>
      </c>
      <c r="N241" s="1">
        <v>10279.5222337625</v>
      </c>
      <c r="O241" s="1">
        <f t="shared" si="72"/>
        <v>4.0119729302173948</v>
      </c>
      <c r="P241" s="1">
        <v>-2514.4773073114202</v>
      </c>
      <c r="Q241" s="1" t="e">
        <f ca="1"/>
        <v>#NAME?</v>
      </c>
      <c r="R241" s="1" t="e">
        <f t="shared" ca="1" si="57"/>
        <v>#NAME?</v>
      </c>
      <c r="S241" s="4">
        <v>4103288000000</v>
      </c>
      <c r="T241" s="1">
        <v>151624.33333333299</v>
      </c>
      <c r="U241" s="1" t="e">
        <f ca="1"/>
        <v>#NAME?</v>
      </c>
      <c r="V241" s="1" t="e">
        <f t="shared" ca="1" si="58"/>
        <v>#NAME?</v>
      </c>
      <c r="W241" s="1" t="e">
        <f ca="1"/>
        <v>#NAME?</v>
      </c>
      <c r="X241" s="1" t="e">
        <f t="shared" ca="1" si="59"/>
        <v>#NAME?</v>
      </c>
      <c r="Y241" s="1" t="e">
        <f ca="1"/>
        <v>#NAME?</v>
      </c>
      <c r="Z241" s="1" t="e">
        <f t="shared" ca="1" si="60"/>
        <v>#NAME?</v>
      </c>
      <c r="AA241" s="1" t="e">
        <f ca="1"/>
        <v>#NAME?</v>
      </c>
      <c r="AB241" s="1" t="e">
        <f t="shared" ca="1" si="61"/>
        <v>#NAME?</v>
      </c>
      <c r="AC241" s="1" t="e">
        <f ca="1"/>
        <v>#NAME?</v>
      </c>
      <c r="AD241" s="1" t="e">
        <f t="shared" ca="1" si="62"/>
        <v>#NAME?</v>
      </c>
      <c r="AE241" s="1" t="e">
        <f ca="1"/>
        <v>#NAME?</v>
      </c>
      <c r="AF241" s="1" t="e">
        <f t="shared" ca="1" si="63"/>
        <v>#NAME?</v>
      </c>
      <c r="AG241" s="1" t="e">
        <f ca="1"/>
        <v>#NAME?</v>
      </c>
      <c r="AH241" s="1" t="e">
        <f t="shared" ca="1" si="64"/>
        <v>#NAME?</v>
      </c>
      <c r="AI241" s="1" t="e">
        <f ca="1"/>
        <v>#NAME?</v>
      </c>
      <c r="AJ241" s="1" t="e">
        <f t="shared" ca="1" si="73"/>
        <v>#NAME?</v>
      </c>
      <c r="AK241" s="1" t="e">
        <f ca="1"/>
        <v>#NAME?</v>
      </c>
      <c r="AL241" s="1" t="e">
        <f t="shared" ca="1" si="65"/>
        <v>#NAME?</v>
      </c>
      <c r="AN241" s="1">
        <f t="shared" si="55"/>
        <v>3.9871355693676085</v>
      </c>
      <c r="AO241" s="1" t="e">
        <f ca="1"/>
        <v>#NAME?</v>
      </c>
      <c r="AP241" s="1" t="e">
        <f t="shared" ca="1" si="56"/>
        <v>#NAME?</v>
      </c>
    </row>
    <row r="242" spans="1:42" x14ac:dyDescent="0.25">
      <c r="A242" s="1" t="s">
        <v>257</v>
      </c>
      <c r="B242" s="1">
        <v>241</v>
      </c>
      <c r="C242" s="1">
        <v>57278.822081596503</v>
      </c>
      <c r="D242" s="1">
        <f t="shared" si="66"/>
        <v>4.7579940782815937</v>
      </c>
      <c r="E242" s="1">
        <v>39262.187286975102</v>
      </c>
      <c r="F242" s="1">
        <f t="shared" si="67"/>
        <v>4.5939744903786854</v>
      </c>
      <c r="G242" s="1">
        <v>10285.1683386923</v>
      </c>
      <c r="H242" s="1">
        <f t="shared" si="68"/>
        <v>4.0122114042433692</v>
      </c>
      <c r="I242" s="1">
        <v>10218.994130315399</v>
      </c>
      <c r="J242" s="1">
        <f t="shared" si="69"/>
        <v>0.17840789595424883</v>
      </c>
      <c r="K242" s="1">
        <f t="shared" si="70"/>
        <v>4.009408149697677</v>
      </c>
      <c r="L242" s="1">
        <v>7442.0843714370203</v>
      </c>
      <c r="M242" s="1">
        <f t="shared" si="71"/>
        <v>3.8716945893406916</v>
      </c>
      <c r="N242" s="1">
        <v>9940.1358533363109</v>
      </c>
      <c r="O242" s="1">
        <f t="shared" si="72"/>
        <v>3.9973923200060781</v>
      </c>
      <c r="P242" s="1">
        <v>-2498.0514818992901</v>
      </c>
      <c r="Q242" s="1" t="e">
        <f ca="1"/>
        <v>#NAME?</v>
      </c>
      <c r="R242" s="1" t="e">
        <f t="shared" ca="1" si="57"/>
        <v>#NAME?</v>
      </c>
      <c r="S242" s="4">
        <v>4095699000000</v>
      </c>
      <c r="T242" s="1">
        <v>151804.33333333299</v>
      </c>
      <c r="U242" s="1" t="e">
        <f ca="1"/>
        <v>#NAME?</v>
      </c>
      <c r="V242" s="1" t="e">
        <f t="shared" ca="1" si="58"/>
        <v>#NAME?</v>
      </c>
      <c r="W242" s="1" t="e">
        <f ca="1"/>
        <v>#NAME?</v>
      </c>
      <c r="X242" s="1" t="e">
        <f t="shared" ca="1" si="59"/>
        <v>#NAME?</v>
      </c>
      <c r="Y242" s="1" t="e">
        <f ca="1"/>
        <v>#NAME?</v>
      </c>
      <c r="Z242" s="1" t="e">
        <f t="shared" ca="1" si="60"/>
        <v>#NAME?</v>
      </c>
      <c r="AA242" s="1" t="e">
        <f ca="1"/>
        <v>#NAME?</v>
      </c>
      <c r="AB242" s="1" t="e">
        <f t="shared" ca="1" si="61"/>
        <v>#NAME?</v>
      </c>
      <c r="AC242" s="1" t="e">
        <f ca="1"/>
        <v>#NAME?</v>
      </c>
      <c r="AD242" s="1" t="e">
        <f t="shared" ca="1" si="62"/>
        <v>#NAME?</v>
      </c>
      <c r="AE242" s="1" t="e">
        <f ca="1"/>
        <v>#NAME?</v>
      </c>
      <c r="AF242" s="1" t="e">
        <f t="shared" ca="1" si="63"/>
        <v>#NAME?</v>
      </c>
      <c r="AG242" s="1" t="e">
        <f ca="1"/>
        <v>#NAME?</v>
      </c>
      <c r="AH242" s="1" t="e">
        <f t="shared" ca="1" si="64"/>
        <v>#NAME?</v>
      </c>
      <c r="AI242" s="1" t="e">
        <f ca="1"/>
        <v>#NAME?</v>
      </c>
      <c r="AJ242" s="1" t="e">
        <f t="shared" ca="1" si="73"/>
        <v>#NAME?</v>
      </c>
      <c r="AK242" s="1" t="e">
        <f ca="1"/>
        <v>#NAME?</v>
      </c>
      <c r="AL242" s="1" t="e">
        <f t="shared" ca="1" si="65"/>
        <v>#NAME?</v>
      </c>
      <c r="AN242" s="1">
        <f t="shared" ref="AN242:AN254" si="74">LOG(C242*10^9)-0.36*LOG(S242)-0.64*LOG(T242*10^3)</f>
        <v>3.9815341186355022</v>
      </c>
      <c r="AO242" s="1" t="e">
        <f ca="1"/>
        <v>#NAME?</v>
      </c>
      <c r="AP242" s="1" t="e">
        <f t="shared" ref="AP242:AP254" ca="1" si="75">100*(AN242-AO242)/AO242</f>
        <v>#NAME?</v>
      </c>
    </row>
    <row r="243" spans="1:42" x14ac:dyDescent="0.25">
      <c r="A243" s="1" t="s">
        <v>258</v>
      </c>
      <c r="B243" s="1">
        <v>242</v>
      </c>
      <c r="C243" s="1">
        <v>52393.018972019803</v>
      </c>
      <c r="D243" s="1">
        <f t="shared" si="66"/>
        <v>4.7192734239320835</v>
      </c>
      <c r="E243" s="1">
        <v>35626.115845992899</v>
      </c>
      <c r="F243" s="1">
        <f t="shared" si="67"/>
        <v>4.551768475772163</v>
      </c>
      <c r="G243" s="1">
        <v>8695.3020660297407</v>
      </c>
      <c r="H243" s="1">
        <f t="shared" si="68"/>
        <v>3.939284673553364</v>
      </c>
      <c r="I243" s="1">
        <v>10395.0961564551</v>
      </c>
      <c r="J243" s="1">
        <f t="shared" si="69"/>
        <v>0.19840613044280847</v>
      </c>
      <c r="K243" s="1">
        <f t="shared" si="70"/>
        <v>4.0168285109858815</v>
      </c>
      <c r="L243" s="1">
        <v>5882.9480945073701</v>
      </c>
      <c r="M243" s="1">
        <f t="shared" si="71"/>
        <v>3.7695950166063015</v>
      </c>
      <c r="N243" s="1">
        <v>8196.0421948815001</v>
      </c>
      <c r="O243" s="1">
        <f t="shared" si="72"/>
        <v>3.9136041855706689</v>
      </c>
      <c r="P243" s="1">
        <v>-2313.09410037414</v>
      </c>
      <c r="Q243" s="1" t="e">
        <f ca="1"/>
        <v>#NAME?</v>
      </c>
      <c r="R243" s="1" t="e">
        <f t="shared" ca="1" si="57"/>
        <v>#NAME?</v>
      </c>
      <c r="S243" s="4">
        <v>3821038000000</v>
      </c>
      <c r="T243" s="1">
        <v>133701.66666666701</v>
      </c>
      <c r="U243" s="1" t="e">
        <f ca="1"/>
        <v>#NAME?</v>
      </c>
      <c r="V243" s="1" t="e">
        <f t="shared" ca="1" si="58"/>
        <v>#NAME?</v>
      </c>
      <c r="W243" s="1" t="e">
        <f ca="1"/>
        <v>#NAME?</v>
      </c>
      <c r="X243" s="1" t="e">
        <f t="shared" ca="1" si="59"/>
        <v>#NAME?</v>
      </c>
      <c r="Y243" s="1" t="e">
        <f ca="1"/>
        <v>#NAME?</v>
      </c>
      <c r="Z243" s="1" t="e">
        <f t="shared" ca="1" si="60"/>
        <v>#NAME?</v>
      </c>
      <c r="AA243" s="1" t="e">
        <f ca="1"/>
        <v>#NAME?</v>
      </c>
      <c r="AB243" s="1" t="e">
        <f t="shared" ca="1" si="61"/>
        <v>#NAME?</v>
      </c>
      <c r="AC243" s="1" t="e">
        <f ca="1"/>
        <v>#NAME?</v>
      </c>
      <c r="AD243" s="1" t="e">
        <f t="shared" ca="1" si="62"/>
        <v>#NAME?</v>
      </c>
      <c r="AE243" s="1" t="e">
        <f ca="1"/>
        <v>#NAME?</v>
      </c>
      <c r="AF243" s="1" t="e">
        <f t="shared" ca="1" si="63"/>
        <v>#NAME?</v>
      </c>
      <c r="AG243" s="1" t="e">
        <f ca="1"/>
        <v>#NAME?</v>
      </c>
      <c r="AH243" s="1" t="e">
        <f t="shared" ca="1" si="64"/>
        <v>#NAME?</v>
      </c>
      <c r="AI243" s="1" t="e">
        <f ca="1"/>
        <v>#NAME?</v>
      </c>
      <c r="AJ243" s="1" t="e">
        <f t="shared" ca="1" si="73"/>
        <v>#NAME?</v>
      </c>
      <c r="AK243" s="1" t="e">
        <f ca="1"/>
        <v>#NAME?</v>
      </c>
      <c r="AL243" s="1" t="e">
        <f t="shared" ca="1" si="65"/>
        <v>#NAME?</v>
      </c>
      <c r="AN243" s="1">
        <f t="shared" si="74"/>
        <v>3.9889605700508888</v>
      </c>
      <c r="AO243" s="1" t="e">
        <f ca="1"/>
        <v>#NAME?</v>
      </c>
      <c r="AP243" s="1" t="e">
        <f t="shared" ca="1" si="75"/>
        <v>#NAME?</v>
      </c>
    </row>
    <row r="244" spans="1:42" x14ac:dyDescent="0.25">
      <c r="A244" s="1" t="s">
        <v>259</v>
      </c>
      <c r="B244" s="1">
        <v>243</v>
      </c>
      <c r="C244" s="1">
        <v>56478.762896538399</v>
      </c>
      <c r="D244" s="1">
        <f t="shared" si="66"/>
        <v>4.7518851754181988</v>
      </c>
      <c r="E244" s="1">
        <v>38937.846519139901</v>
      </c>
      <c r="F244" s="1">
        <f t="shared" si="67"/>
        <v>4.5903719289324441</v>
      </c>
      <c r="G244" s="1">
        <v>10227.2623180021</v>
      </c>
      <c r="H244" s="1">
        <f t="shared" si="68"/>
        <v>4.0097593952660269</v>
      </c>
      <c r="I244" s="1">
        <v>10232.4902371999</v>
      </c>
      <c r="J244" s="1">
        <f t="shared" si="69"/>
        <v>0.18117412125234514</v>
      </c>
      <c r="K244" s="1">
        <f t="shared" si="70"/>
        <v>4.0099813389579388</v>
      </c>
      <c r="L244" s="1">
        <v>6608.0687735030397</v>
      </c>
      <c r="M244" s="1">
        <f t="shared" si="71"/>
        <v>3.8200745542574599</v>
      </c>
      <c r="N244" s="1">
        <v>9594.6027384051704</v>
      </c>
      <c r="O244" s="1">
        <f t="shared" si="72"/>
        <v>3.9820269976134179</v>
      </c>
      <c r="P244" s="1">
        <v>-2986.5339649021298</v>
      </c>
      <c r="Q244" s="1" t="e">
        <f ca="1"/>
        <v>#NAME?</v>
      </c>
      <c r="R244" s="1" t="e">
        <f t="shared" ca="1" si="57"/>
        <v>#NAME?</v>
      </c>
      <c r="S244" s="4">
        <v>4025433000000</v>
      </c>
      <c r="T244" s="1">
        <v>140541</v>
      </c>
      <c r="U244" s="1" t="e">
        <f ca="1"/>
        <v>#NAME?</v>
      </c>
      <c r="V244" s="1" t="e">
        <f t="shared" ca="1" si="58"/>
        <v>#NAME?</v>
      </c>
      <c r="W244" s="1" t="e">
        <f ca="1"/>
        <v>#NAME?</v>
      </c>
      <c r="X244" s="1" t="e">
        <f t="shared" ca="1" si="59"/>
        <v>#NAME?</v>
      </c>
      <c r="Y244" s="1" t="e">
        <f ca="1"/>
        <v>#NAME?</v>
      </c>
      <c r="Z244" s="1" t="e">
        <f t="shared" ca="1" si="60"/>
        <v>#NAME?</v>
      </c>
      <c r="AA244" s="1" t="e">
        <f ca="1"/>
        <v>#NAME?</v>
      </c>
      <c r="AB244" s="1" t="e">
        <f t="shared" ca="1" si="61"/>
        <v>#NAME?</v>
      </c>
      <c r="AC244" s="1" t="e">
        <f ca="1"/>
        <v>#NAME?</v>
      </c>
      <c r="AD244" s="1" t="e">
        <f t="shared" ca="1" si="62"/>
        <v>#NAME?</v>
      </c>
      <c r="AE244" s="1" t="e">
        <f ca="1"/>
        <v>#NAME?</v>
      </c>
      <c r="AF244" s="1" t="e">
        <f t="shared" ca="1" si="63"/>
        <v>#NAME?</v>
      </c>
      <c r="AG244" s="1" t="e">
        <f ca="1"/>
        <v>#NAME?</v>
      </c>
      <c r="AH244" s="1" t="e">
        <f t="shared" ca="1" si="64"/>
        <v>#NAME?</v>
      </c>
      <c r="AI244" s="1" t="e">
        <f ca="1"/>
        <v>#NAME?</v>
      </c>
      <c r="AJ244" s="1" t="e">
        <f t="shared" ca="1" si="73"/>
        <v>#NAME?</v>
      </c>
      <c r="AK244" s="1" t="e">
        <f ca="1"/>
        <v>#NAME?</v>
      </c>
      <c r="AL244" s="1" t="e">
        <f t="shared" ca="1" si="65"/>
        <v>#NAME?</v>
      </c>
      <c r="AN244" s="1">
        <f t="shared" si="74"/>
        <v>3.9995586932947171</v>
      </c>
      <c r="AO244" s="1" t="e">
        <f ca="1"/>
        <v>#NAME?</v>
      </c>
      <c r="AP244" s="1" t="e">
        <f t="shared" ca="1" si="75"/>
        <v>#NAME?</v>
      </c>
    </row>
    <row r="245" spans="1:42" x14ac:dyDescent="0.25">
      <c r="A245" s="1" t="s">
        <v>260</v>
      </c>
      <c r="B245" s="1">
        <v>244</v>
      </c>
      <c r="C245" s="1">
        <v>56993.064193106402</v>
      </c>
      <c r="D245" s="1">
        <f t="shared" si="66"/>
        <v>4.7558220071472501</v>
      </c>
      <c r="E245" s="1">
        <v>39291.704437651497</v>
      </c>
      <c r="F245" s="1">
        <f t="shared" si="67"/>
        <v>4.5943008685117643</v>
      </c>
      <c r="G245" s="1">
        <v>10654.1131473144</v>
      </c>
      <c r="H245" s="1">
        <f t="shared" si="68"/>
        <v>4.0275173047064934</v>
      </c>
      <c r="I245" s="1">
        <v>10223.9003749492</v>
      </c>
      <c r="J245" s="1">
        <f t="shared" si="69"/>
        <v>0.17938850138515333</v>
      </c>
      <c r="K245" s="1">
        <f t="shared" si="70"/>
        <v>4.0096166089265486</v>
      </c>
      <c r="L245" s="1">
        <v>6972.0459576262301</v>
      </c>
      <c r="M245" s="1">
        <f t="shared" si="71"/>
        <v>3.8433602411857599</v>
      </c>
      <c r="N245" s="1">
        <v>10296.8001325122</v>
      </c>
      <c r="O245" s="1">
        <f t="shared" si="72"/>
        <v>4.0127022828894523</v>
      </c>
      <c r="P245" s="1">
        <v>-3324.7541748859398</v>
      </c>
      <c r="Q245" s="1" t="e">
        <f ca="1"/>
        <v>#NAME?</v>
      </c>
      <c r="R245" s="1" t="e">
        <f t="shared" ca="1" si="57"/>
        <v>#NAME?</v>
      </c>
      <c r="S245" s="4">
        <v>4166229000000</v>
      </c>
      <c r="T245" s="1">
        <v>142565.66666666701</v>
      </c>
      <c r="U245" s="1" t="e">
        <f ca="1"/>
        <v>#NAME?</v>
      </c>
      <c r="V245" s="1" t="e">
        <f t="shared" ca="1" si="58"/>
        <v>#NAME?</v>
      </c>
      <c r="W245" s="1" t="e">
        <f ca="1"/>
        <v>#NAME?</v>
      </c>
      <c r="X245" s="1" t="e">
        <f t="shared" ca="1" si="59"/>
        <v>#NAME?</v>
      </c>
      <c r="Y245" s="1" t="e">
        <f ca="1"/>
        <v>#NAME?</v>
      </c>
      <c r="Z245" s="1" t="e">
        <f t="shared" ca="1" si="60"/>
        <v>#NAME?</v>
      </c>
      <c r="AA245" s="1" t="e">
        <f ca="1"/>
        <v>#NAME?</v>
      </c>
      <c r="AB245" s="1" t="e">
        <f t="shared" ca="1" si="61"/>
        <v>#NAME?</v>
      </c>
      <c r="AC245" s="1" t="e">
        <f ca="1"/>
        <v>#NAME?</v>
      </c>
      <c r="AD245" s="1" t="e">
        <f t="shared" ca="1" si="62"/>
        <v>#NAME?</v>
      </c>
      <c r="AE245" s="1" t="e">
        <f ca="1"/>
        <v>#NAME?</v>
      </c>
      <c r="AF245" s="1" t="e">
        <f t="shared" ca="1" si="63"/>
        <v>#NAME?</v>
      </c>
      <c r="AG245" s="1" t="e">
        <f ca="1"/>
        <v>#NAME?</v>
      </c>
      <c r="AH245" s="1" t="e">
        <f t="shared" ca="1" si="64"/>
        <v>#NAME?</v>
      </c>
      <c r="AI245" s="1" t="e">
        <f ca="1"/>
        <v>#NAME?</v>
      </c>
      <c r="AJ245" s="1" t="e">
        <f t="shared" ca="1" si="73"/>
        <v>#NAME?</v>
      </c>
      <c r="AK245" s="1" t="e">
        <f ca="1"/>
        <v>#NAME?</v>
      </c>
      <c r="AL245" s="1" t="e">
        <f t="shared" ca="1" si="65"/>
        <v>#NAME?</v>
      </c>
      <c r="AN245" s="1">
        <f t="shared" si="74"/>
        <v>3.9941449100777948</v>
      </c>
      <c r="AO245" s="1" t="e">
        <f ca="1"/>
        <v>#NAME?</v>
      </c>
      <c r="AP245" s="1" t="e">
        <f t="shared" ca="1" si="75"/>
        <v>#NAME?</v>
      </c>
    </row>
    <row r="246" spans="1:42" x14ac:dyDescent="0.25">
      <c r="A246" s="1" t="s">
        <v>261</v>
      </c>
      <c r="B246" s="1">
        <v>245</v>
      </c>
      <c r="C246" s="1">
        <v>57882.1105518556</v>
      </c>
      <c r="D246" s="1">
        <f t="shared" si="66"/>
        <v>4.7625443583888361</v>
      </c>
      <c r="E246" s="1">
        <v>40322.911301278102</v>
      </c>
      <c r="F246" s="1">
        <f t="shared" si="67"/>
        <v>4.6055518804919302</v>
      </c>
      <c r="G246" s="1">
        <v>10510.2699185816</v>
      </c>
      <c r="H246" s="1">
        <f t="shared" si="68"/>
        <v>4.0216138694673766</v>
      </c>
      <c r="I246" s="1">
        <v>10388.124305323399</v>
      </c>
      <c r="J246" s="1">
        <f t="shared" si="69"/>
        <v>0.17947037877993158</v>
      </c>
      <c r="K246" s="1">
        <f t="shared" si="70"/>
        <v>4.0165371377991042</v>
      </c>
      <c r="L246" s="1">
        <v>6980.6680341818601</v>
      </c>
      <c r="M246" s="1">
        <f t="shared" si="71"/>
        <v>3.8438969856140459</v>
      </c>
      <c r="N246" s="1">
        <v>10488.4047363015</v>
      </c>
      <c r="O246" s="1">
        <f t="shared" si="72"/>
        <v>4.020709437964145</v>
      </c>
      <c r="P246" s="1">
        <v>-3507.7367021196501</v>
      </c>
      <c r="Q246" s="1" t="e">
        <f ca="1"/>
        <v>#NAME?</v>
      </c>
      <c r="R246" s="1" t="e">
        <f t="shared" ca="1" si="57"/>
        <v>#NAME?</v>
      </c>
      <c r="S246" s="4">
        <v>4233901000000</v>
      </c>
      <c r="T246" s="1">
        <v>143613.66666666701</v>
      </c>
      <c r="U246" s="1" t="e">
        <f ca="1"/>
        <v>#NAME?</v>
      </c>
      <c r="V246" s="1" t="e">
        <f t="shared" ca="1" si="58"/>
        <v>#NAME?</v>
      </c>
      <c r="W246" s="1" t="e">
        <f ca="1"/>
        <v>#NAME?</v>
      </c>
      <c r="X246" s="1" t="e">
        <f t="shared" ca="1" si="59"/>
        <v>#NAME?</v>
      </c>
      <c r="Y246" s="1" t="e">
        <f ca="1"/>
        <v>#NAME?</v>
      </c>
      <c r="Z246" s="1" t="e">
        <f t="shared" ca="1" si="60"/>
        <v>#NAME?</v>
      </c>
      <c r="AA246" s="1" t="e">
        <f ca="1"/>
        <v>#NAME?</v>
      </c>
      <c r="AB246" s="1" t="e">
        <f t="shared" ca="1" si="61"/>
        <v>#NAME?</v>
      </c>
      <c r="AC246" s="1" t="e">
        <f ca="1"/>
        <v>#NAME?</v>
      </c>
      <c r="AD246" s="1" t="e">
        <f t="shared" ca="1" si="62"/>
        <v>#NAME?</v>
      </c>
      <c r="AE246" s="1" t="e">
        <f ca="1"/>
        <v>#NAME?</v>
      </c>
      <c r="AF246" s="1" t="e">
        <f t="shared" ca="1" si="63"/>
        <v>#NAME?</v>
      </c>
      <c r="AG246" s="1" t="e">
        <f ca="1"/>
        <v>#NAME?</v>
      </c>
      <c r="AH246" s="1" t="e">
        <f t="shared" ca="1" si="64"/>
        <v>#NAME?</v>
      </c>
      <c r="AI246" s="1" t="e">
        <f ca="1"/>
        <v>#NAME?</v>
      </c>
      <c r="AJ246" s="1" t="e">
        <f t="shared" ca="1" si="73"/>
        <v>#NAME?</v>
      </c>
      <c r="AK246" s="1" t="e">
        <f ca="1"/>
        <v>#NAME?</v>
      </c>
      <c r="AL246" s="1" t="e">
        <f t="shared" ca="1" si="65"/>
        <v>#NAME?</v>
      </c>
      <c r="AN246" s="1">
        <f t="shared" si="74"/>
        <v>3.9963124136806565</v>
      </c>
      <c r="AO246" s="1" t="e">
        <f ca="1"/>
        <v>#NAME?</v>
      </c>
      <c r="AP246" s="1" t="e">
        <f t="shared" ca="1" si="75"/>
        <v>#NAME?</v>
      </c>
    </row>
    <row r="247" spans="1:42" x14ac:dyDescent="0.25">
      <c r="A247" s="1" t="s">
        <v>262</v>
      </c>
      <c r="B247" s="1">
        <v>246</v>
      </c>
      <c r="C247" s="1">
        <v>58841.808947189398</v>
      </c>
      <c r="D247" s="1">
        <f t="shared" si="66"/>
        <v>4.7696860155800742</v>
      </c>
      <c r="E247" s="1">
        <v>41468.401229568699</v>
      </c>
      <c r="F247" s="1">
        <f t="shared" si="67"/>
        <v>4.6177172919215126</v>
      </c>
      <c r="G247" s="1">
        <v>10528.007008902599</v>
      </c>
      <c r="H247" s="1">
        <f t="shared" si="68"/>
        <v>4.022346165396657</v>
      </c>
      <c r="I247" s="1">
        <v>10303.698039133</v>
      </c>
      <c r="J247" s="1">
        <f t="shared" si="69"/>
        <v>0.17510845134588882</v>
      </c>
      <c r="K247" s="1">
        <f t="shared" si="70"/>
        <v>4.0129931227389637</v>
      </c>
      <c r="L247" s="1">
        <v>7060.4818921628603</v>
      </c>
      <c r="M247" s="1">
        <f t="shared" si="71"/>
        <v>3.8488343435397701</v>
      </c>
      <c r="N247" s="1">
        <v>10684.9696973346</v>
      </c>
      <c r="O247" s="1">
        <f t="shared" si="72"/>
        <v>4.0287732948389712</v>
      </c>
      <c r="P247" s="1">
        <v>-3624.4878051717801</v>
      </c>
      <c r="Q247" s="1" t="e">
        <f ca="1"/>
        <v>#NAME?</v>
      </c>
      <c r="R247" s="1" t="e">
        <f t="shared" ca="1" si="57"/>
        <v>#NAME?</v>
      </c>
      <c r="S247" s="4">
        <v>4271008000000</v>
      </c>
      <c r="T247" s="1">
        <v>145166.33333333299</v>
      </c>
      <c r="U247" s="1" t="e">
        <f ca="1"/>
        <v>#NAME?</v>
      </c>
      <c r="V247" s="1" t="e">
        <f t="shared" ca="1" si="58"/>
        <v>#NAME?</v>
      </c>
      <c r="W247" s="1" t="e">
        <f ca="1"/>
        <v>#NAME?</v>
      </c>
      <c r="X247" s="1" t="e">
        <f t="shared" ca="1" si="59"/>
        <v>#NAME?</v>
      </c>
      <c r="Y247" s="1" t="e">
        <f ca="1"/>
        <v>#NAME?</v>
      </c>
      <c r="Z247" s="1" t="e">
        <f t="shared" ca="1" si="60"/>
        <v>#NAME?</v>
      </c>
      <c r="AA247" s="1" t="e">
        <f ca="1"/>
        <v>#NAME?</v>
      </c>
      <c r="AB247" s="1" t="e">
        <f t="shared" ca="1" si="61"/>
        <v>#NAME?</v>
      </c>
      <c r="AC247" s="1" t="e">
        <f ca="1"/>
        <v>#NAME?</v>
      </c>
      <c r="AD247" s="1" t="e">
        <f t="shared" ca="1" si="62"/>
        <v>#NAME?</v>
      </c>
      <c r="AE247" s="1" t="e">
        <f ca="1"/>
        <v>#NAME?</v>
      </c>
      <c r="AF247" s="1" t="e">
        <f t="shared" ca="1" si="63"/>
        <v>#NAME?</v>
      </c>
      <c r="AG247" s="1" t="e">
        <f ca="1"/>
        <v>#NAME?</v>
      </c>
      <c r="AH247" s="1" t="e">
        <f t="shared" ca="1" si="64"/>
        <v>#NAME?</v>
      </c>
      <c r="AI247" s="1" t="e">
        <f ca="1"/>
        <v>#NAME?</v>
      </c>
      <c r="AJ247" s="1" t="e">
        <f t="shared" ca="1" si="73"/>
        <v>#NAME?</v>
      </c>
      <c r="AK247" s="1" t="e">
        <f ca="1"/>
        <v>#NAME?</v>
      </c>
      <c r="AL247" s="1" t="e">
        <f t="shared" ca="1" si="65"/>
        <v>#NAME?</v>
      </c>
      <c r="AN247" s="1">
        <f t="shared" si="74"/>
        <v>3.999100896285106</v>
      </c>
      <c r="AO247" s="1" t="e">
        <f ca="1"/>
        <v>#NAME?</v>
      </c>
      <c r="AP247" s="1" t="e">
        <f t="shared" ca="1" si="75"/>
        <v>#NAME?</v>
      </c>
    </row>
    <row r="248" spans="1:42" x14ac:dyDescent="0.25">
      <c r="A248" s="1" t="s">
        <v>263</v>
      </c>
      <c r="B248" s="1">
        <v>247</v>
      </c>
      <c r="C248" s="1">
        <v>59169.255293551498</v>
      </c>
      <c r="D248" s="1">
        <f t="shared" si="66"/>
        <v>4.7720961032649027</v>
      </c>
      <c r="E248" s="1">
        <v>41730.016843118399</v>
      </c>
      <c r="F248" s="1">
        <f t="shared" si="67"/>
        <v>4.6204485600021927</v>
      </c>
      <c r="G248" s="1">
        <v>10779.7461501444</v>
      </c>
      <c r="H248" s="1">
        <f t="shared" si="68"/>
        <v>4.0326085338665285</v>
      </c>
      <c r="I248" s="1">
        <v>10289.47906641</v>
      </c>
      <c r="J248" s="1">
        <f t="shared" si="69"/>
        <v>0.17389908011114327</v>
      </c>
      <c r="K248" s="1">
        <f t="shared" si="70"/>
        <v>4.0123933879489773</v>
      </c>
      <c r="L248" s="1">
        <v>7034.4832771896099</v>
      </c>
      <c r="M248" s="1">
        <f t="shared" si="71"/>
        <v>3.8472322015423188</v>
      </c>
      <c r="N248" s="1">
        <v>10846.6163378248</v>
      </c>
      <c r="O248" s="1">
        <f t="shared" si="72"/>
        <v>4.0352942787377533</v>
      </c>
      <c r="P248" s="1">
        <v>-3812.1330606352299</v>
      </c>
      <c r="Q248" s="1" t="e">
        <f ca="1"/>
        <v>#NAME?</v>
      </c>
      <c r="R248" s="1" t="e">
        <f t="shared" ca="1" si="57"/>
        <v>#NAME?</v>
      </c>
      <c r="S248" s="4">
        <v>4261780000000</v>
      </c>
      <c r="T248" s="1">
        <v>147185.66666666701</v>
      </c>
      <c r="U248" s="1" t="e">
        <f ca="1"/>
        <v>#NAME?</v>
      </c>
      <c r="V248" s="1" t="e">
        <f t="shared" ca="1" si="58"/>
        <v>#NAME?</v>
      </c>
      <c r="W248" s="1" t="e">
        <f ca="1"/>
        <v>#NAME?</v>
      </c>
      <c r="X248" s="1" t="e">
        <f t="shared" ca="1" si="59"/>
        <v>#NAME?</v>
      </c>
      <c r="Y248" s="1" t="e">
        <f ca="1"/>
        <v>#NAME?</v>
      </c>
      <c r="Z248" s="1" t="e">
        <f t="shared" ca="1" si="60"/>
        <v>#NAME?</v>
      </c>
      <c r="AA248" s="1" t="e">
        <f ca="1"/>
        <v>#NAME?</v>
      </c>
      <c r="AB248" s="1" t="e">
        <f t="shared" ca="1" si="61"/>
        <v>#NAME?</v>
      </c>
      <c r="AC248" s="1" t="e">
        <f ca="1"/>
        <v>#NAME?</v>
      </c>
      <c r="AD248" s="1" t="e">
        <f t="shared" ca="1" si="62"/>
        <v>#NAME?</v>
      </c>
      <c r="AE248" s="1" t="e">
        <f ca="1"/>
        <v>#NAME?</v>
      </c>
      <c r="AF248" s="1" t="e">
        <f t="shared" ca="1" si="63"/>
        <v>#NAME?</v>
      </c>
      <c r="AG248" s="1" t="e">
        <f ca="1"/>
        <v>#NAME?</v>
      </c>
      <c r="AH248" s="1" t="e">
        <f t="shared" ca="1" si="64"/>
        <v>#NAME?</v>
      </c>
      <c r="AI248" s="1" t="e">
        <f ca="1"/>
        <v>#NAME?</v>
      </c>
      <c r="AJ248" s="1" t="e">
        <f t="shared" ca="1" si="73"/>
        <v>#NAME?</v>
      </c>
      <c r="AK248" s="1" t="e">
        <f ca="1"/>
        <v>#NAME?</v>
      </c>
      <c r="AL248" s="1" t="e">
        <f t="shared" ca="1" si="65"/>
        <v>#NAME?</v>
      </c>
      <c r="AN248" s="1">
        <f t="shared" si="74"/>
        <v>3.9980094012008065</v>
      </c>
      <c r="AO248" s="1" t="e">
        <f ca="1"/>
        <v>#NAME?</v>
      </c>
      <c r="AP248" s="1" t="e">
        <f t="shared" ca="1" si="75"/>
        <v>#NAME?</v>
      </c>
    </row>
    <row r="249" spans="1:42" x14ac:dyDescent="0.25">
      <c r="A249" s="1" t="s">
        <v>264</v>
      </c>
      <c r="B249" s="1">
        <v>248</v>
      </c>
      <c r="C249" s="1">
        <v>60117.255533586198</v>
      </c>
      <c r="D249" s="1">
        <f t="shared" si="66"/>
        <v>4.7789991460029402</v>
      </c>
      <c r="E249" s="1">
        <v>42013.528213326303</v>
      </c>
      <c r="F249" s="1">
        <f t="shared" si="67"/>
        <v>4.623389154264431</v>
      </c>
      <c r="G249" s="1">
        <v>11544.2686891876</v>
      </c>
      <c r="H249" s="1">
        <f t="shared" si="68"/>
        <v>4.0623664262692172</v>
      </c>
      <c r="I249" s="1">
        <v>10255.4133887844</v>
      </c>
      <c r="J249" s="1">
        <f t="shared" si="69"/>
        <v>0.17059017910514768</v>
      </c>
      <c r="K249" s="1">
        <f t="shared" si="70"/>
        <v>4.0109531711743491</v>
      </c>
      <c r="L249" s="1">
        <v>7409.1818766414499</v>
      </c>
      <c r="M249" s="1">
        <f t="shared" si="71"/>
        <v>3.8697702557423623</v>
      </c>
      <c r="N249" s="1">
        <v>11308.5165842313</v>
      </c>
      <c r="O249" s="1">
        <f t="shared" si="72"/>
        <v>4.053405639272448</v>
      </c>
      <c r="P249" s="1">
        <v>-3899.33470758986</v>
      </c>
      <c r="Q249" s="1" t="e">
        <f ca="1"/>
        <v>#NAME?</v>
      </c>
      <c r="R249" s="1" t="e">
        <f t="shared" ca="1" si="57"/>
        <v>#NAME?</v>
      </c>
      <c r="S249" s="4">
        <v>4262933000000</v>
      </c>
      <c r="T249" s="1">
        <v>149158</v>
      </c>
      <c r="U249" s="1" t="e">
        <f ca="1"/>
        <v>#NAME?</v>
      </c>
      <c r="V249" s="1" t="e">
        <f t="shared" ca="1" si="58"/>
        <v>#NAME?</v>
      </c>
      <c r="W249" s="1" t="e">
        <f ca="1"/>
        <v>#NAME?</v>
      </c>
      <c r="X249" s="1" t="e">
        <f t="shared" ca="1" si="59"/>
        <v>#NAME?</v>
      </c>
      <c r="Y249" s="1" t="e">
        <f ca="1"/>
        <v>#NAME?</v>
      </c>
      <c r="Z249" s="1" t="e">
        <f t="shared" ca="1" si="60"/>
        <v>#NAME?</v>
      </c>
      <c r="AA249" s="1" t="e">
        <f ca="1"/>
        <v>#NAME?</v>
      </c>
      <c r="AB249" s="1" t="e">
        <f t="shared" ca="1" si="61"/>
        <v>#NAME?</v>
      </c>
      <c r="AC249" s="1" t="e">
        <f ca="1"/>
        <v>#NAME?</v>
      </c>
      <c r="AD249" s="1" t="e">
        <f t="shared" ca="1" si="62"/>
        <v>#NAME?</v>
      </c>
      <c r="AE249" s="1" t="e">
        <f ca="1"/>
        <v>#NAME?</v>
      </c>
      <c r="AF249" s="1" t="e">
        <f t="shared" ca="1" si="63"/>
        <v>#NAME?</v>
      </c>
      <c r="AG249" s="1" t="e">
        <f ca="1"/>
        <v>#NAME?</v>
      </c>
      <c r="AH249" s="1" t="e">
        <f t="shared" ca="1" si="64"/>
        <v>#NAME?</v>
      </c>
      <c r="AI249" s="1" t="e">
        <f ca="1"/>
        <v>#NAME?</v>
      </c>
      <c r="AJ249" s="1" t="e">
        <f t="shared" ca="1" si="73"/>
        <v>#NAME?</v>
      </c>
      <c r="AK249" s="1" t="e">
        <f ca="1"/>
        <v>#NAME?</v>
      </c>
      <c r="AL249" s="1" t="e">
        <f t="shared" ca="1" si="65"/>
        <v>#NAME?</v>
      </c>
      <c r="AN249" s="1">
        <f t="shared" si="74"/>
        <v>4.001170290575752</v>
      </c>
      <c r="AO249" s="1" t="e">
        <f ca="1"/>
        <v>#NAME?</v>
      </c>
      <c r="AP249" s="1" t="e">
        <f t="shared" ca="1" si="75"/>
        <v>#NAME?</v>
      </c>
    </row>
    <row r="250" spans="1:42" x14ac:dyDescent="0.25">
      <c r="A250" s="1" t="s">
        <v>265</v>
      </c>
      <c r="B250" s="1">
        <v>249</v>
      </c>
      <c r="C250" s="1">
        <v>59836.049228477597</v>
      </c>
      <c r="D250" s="1">
        <f t="shared" si="66"/>
        <v>4.7769629108103757</v>
      </c>
      <c r="E250" s="1">
        <v>42130.059643580098</v>
      </c>
      <c r="F250" s="1">
        <f t="shared" si="67"/>
        <v>4.6245920739585449</v>
      </c>
      <c r="G250" s="1">
        <v>11689.901434929599</v>
      </c>
      <c r="H250" s="1">
        <f t="shared" si="68"/>
        <v>4.0678108493614422</v>
      </c>
      <c r="I250" s="1">
        <v>10191.030638660801</v>
      </c>
      <c r="J250" s="1">
        <f t="shared" si="69"/>
        <v>0.17031590103396421</v>
      </c>
      <c r="K250" s="1">
        <f t="shared" si="70"/>
        <v>4.0082181072693404</v>
      </c>
      <c r="L250" s="1">
        <v>7318.60363147115</v>
      </c>
      <c r="M250" s="1">
        <f t="shared" si="71"/>
        <v>3.864428226823946</v>
      </c>
      <c r="N250" s="1">
        <v>11789.466571365099</v>
      </c>
      <c r="O250" s="1">
        <f t="shared" si="72"/>
        <v>4.0714941553619655</v>
      </c>
      <c r="P250" s="1">
        <v>-4470.8629398939302</v>
      </c>
      <c r="Q250" s="1" t="e">
        <f ca="1"/>
        <v>#NAME?</v>
      </c>
      <c r="R250" s="1" t="e">
        <f t="shared" ca="1" si="57"/>
        <v>#NAME?</v>
      </c>
      <c r="S250" s="4">
        <v>4294518000000</v>
      </c>
      <c r="T250" s="1">
        <v>150846.66666666701</v>
      </c>
      <c r="U250" s="1" t="e">
        <f ca="1"/>
        <v>#NAME?</v>
      </c>
      <c r="V250" s="1" t="e">
        <f t="shared" ca="1" si="58"/>
        <v>#NAME?</v>
      </c>
      <c r="W250" s="1" t="e">
        <f ca="1"/>
        <v>#NAME?</v>
      </c>
      <c r="X250" s="1" t="e">
        <f t="shared" ca="1" si="59"/>
        <v>#NAME?</v>
      </c>
      <c r="Y250" s="1" t="e">
        <f ca="1"/>
        <v>#NAME?</v>
      </c>
      <c r="Z250" s="1" t="e">
        <f t="shared" ca="1" si="60"/>
        <v>#NAME?</v>
      </c>
      <c r="AA250" s="1" t="e">
        <f ca="1"/>
        <v>#NAME?</v>
      </c>
      <c r="AB250" s="1" t="e">
        <f t="shared" ca="1" si="61"/>
        <v>#NAME?</v>
      </c>
      <c r="AC250" s="1" t="e">
        <f ca="1"/>
        <v>#NAME?</v>
      </c>
      <c r="AD250" s="1" t="e">
        <f t="shared" ca="1" si="62"/>
        <v>#NAME?</v>
      </c>
      <c r="AE250" s="1" t="e">
        <f ca="1"/>
        <v>#NAME?</v>
      </c>
      <c r="AF250" s="1" t="e">
        <f t="shared" ca="1" si="63"/>
        <v>#NAME?</v>
      </c>
      <c r="AG250" s="1" t="e">
        <f ca="1"/>
        <v>#NAME?</v>
      </c>
      <c r="AH250" s="1" t="e">
        <f t="shared" ca="1" si="64"/>
        <v>#NAME?</v>
      </c>
      <c r="AI250" s="1" t="e">
        <f ca="1"/>
        <v>#NAME?</v>
      </c>
      <c r="AJ250" s="1" t="e">
        <f t="shared" ca="1" si="73"/>
        <v>#NAME?</v>
      </c>
      <c r="AK250" s="1" t="e">
        <f ca="1"/>
        <v>#NAME?</v>
      </c>
      <c r="AL250" s="1" t="e">
        <f t="shared" ca="1" si="65"/>
        <v>#NAME?</v>
      </c>
      <c r="AN250" s="1">
        <f t="shared" si="74"/>
        <v>3.9948508575638044</v>
      </c>
      <c r="AO250" s="1" t="e">
        <f ca="1"/>
        <v>#NAME?</v>
      </c>
      <c r="AP250" s="1" t="e">
        <f t="shared" ca="1" si="75"/>
        <v>#NAME?</v>
      </c>
    </row>
    <row r="251" spans="1:42" x14ac:dyDescent="0.25">
      <c r="A251" s="1" t="s">
        <v>266</v>
      </c>
      <c r="B251" s="1">
        <v>250</v>
      </c>
      <c r="C251" s="1">
        <v>59688.021456793897</v>
      </c>
      <c r="D251" s="1">
        <f t="shared" si="66"/>
        <v>4.7758871831027978</v>
      </c>
      <c r="E251" s="1">
        <v>42299.933097524598</v>
      </c>
      <c r="F251" s="1">
        <f t="shared" si="67"/>
        <v>4.6263396804861801</v>
      </c>
      <c r="G251" s="1">
        <v>11241.3349293924</v>
      </c>
      <c r="H251" s="1">
        <f t="shared" si="68"/>
        <v>4.0508178875714895</v>
      </c>
      <c r="I251" s="1">
        <v>10138.8721382691</v>
      </c>
      <c r="J251" s="1">
        <f t="shared" si="69"/>
        <v>0.16986443662918665</v>
      </c>
      <c r="K251" s="1">
        <f t="shared" si="70"/>
        <v>4.0059896461837656</v>
      </c>
      <c r="L251" s="1">
        <v>7551.0633893454096</v>
      </c>
      <c r="M251" s="1">
        <f t="shared" si="71"/>
        <v>3.8780081160801521</v>
      </c>
      <c r="N251" s="1">
        <v>11842.8541856049</v>
      </c>
      <c r="O251" s="1">
        <f t="shared" si="72"/>
        <v>4.0734563820893408</v>
      </c>
      <c r="P251" s="1">
        <v>-4291.79079625946</v>
      </c>
      <c r="Q251" s="1" t="e">
        <f ca="1"/>
        <v>#NAME?</v>
      </c>
      <c r="R251" s="1" t="e">
        <f t="shared" ca="1" si="57"/>
        <v>#NAME?</v>
      </c>
      <c r="S251" s="4">
        <v>4238482000000</v>
      </c>
      <c r="T251" s="1">
        <v>152044</v>
      </c>
      <c r="U251" s="1" t="e">
        <f ca="1"/>
        <v>#NAME?</v>
      </c>
      <c r="V251" s="1" t="e">
        <f t="shared" ca="1" si="58"/>
        <v>#NAME?</v>
      </c>
      <c r="W251" s="1" t="e">
        <f ca="1"/>
        <v>#NAME?</v>
      </c>
      <c r="X251" s="1" t="e">
        <f t="shared" ca="1" si="59"/>
        <v>#NAME?</v>
      </c>
      <c r="Y251" s="1" t="e">
        <f ca="1"/>
        <v>#NAME?</v>
      </c>
      <c r="Z251" s="1" t="e">
        <f t="shared" ca="1" si="60"/>
        <v>#NAME?</v>
      </c>
      <c r="AA251" s="1" t="e">
        <f ca="1"/>
        <v>#NAME?</v>
      </c>
      <c r="AB251" s="1" t="e">
        <f t="shared" ca="1" si="61"/>
        <v>#NAME?</v>
      </c>
      <c r="AC251" s="1" t="e">
        <f ca="1"/>
        <v>#NAME?</v>
      </c>
      <c r="AD251" s="1" t="e">
        <f t="shared" ca="1" si="62"/>
        <v>#NAME?</v>
      </c>
      <c r="AE251" s="1" t="e">
        <f ca="1"/>
        <v>#NAME?</v>
      </c>
      <c r="AF251" s="1" t="e">
        <f t="shared" ca="1" si="63"/>
        <v>#NAME?</v>
      </c>
      <c r="AG251" s="1" t="e">
        <f ca="1"/>
        <v>#NAME?</v>
      </c>
      <c r="AH251" s="1" t="e">
        <f t="shared" ca="1" si="64"/>
        <v>#NAME?</v>
      </c>
      <c r="AI251" s="1" t="e">
        <f ca="1"/>
        <v>#NAME?</v>
      </c>
      <c r="AJ251" s="1" t="e">
        <f t="shared" ca="1" si="73"/>
        <v>#NAME?</v>
      </c>
      <c r="AK251" s="1" t="e">
        <f ca="1"/>
        <v>#NAME?</v>
      </c>
      <c r="AL251" s="1" t="e">
        <f t="shared" ca="1" si="65"/>
        <v>#NAME?</v>
      </c>
      <c r="AN251" s="1">
        <f t="shared" si="74"/>
        <v>3.9936311161658535</v>
      </c>
      <c r="AO251" s="1" t="e">
        <f ca="1"/>
        <v>#NAME?</v>
      </c>
      <c r="AP251" s="1" t="e">
        <f t="shared" ca="1" si="75"/>
        <v>#NAME?</v>
      </c>
    </row>
    <row r="252" spans="1:42" x14ac:dyDescent="0.25">
      <c r="A252" s="1" t="s">
        <v>267</v>
      </c>
      <c r="B252" s="1">
        <v>251</v>
      </c>
      <c r="C252" s="1">
        <v>60080.057160147298</v>
      </c>
      <c r="D252" s="1">
        <f t="shared" si="66"/>
        <v>4.7787303371839407</v>
      </c>
      <c r="E252" s="1">
        <v>42476.3465438782</v>
      </c>
      <c r="F252" s="1">
        <f t="shared" si="67"/>
        <v>4.6281471553411189</v>
      </c>
      <c r="G252" s="1">
        <v>10946.2580774658</v>
      </c>
      <c r="H252" s="1">
        <f t="shared" si="68"/>
        <v>4.039265683190556</v>
      </c>
      <c r="I252" s="1">
        <v>10217.6010113871</v>
      </c>
      <c r="J252" s="1">
        <f t="shared" si="69"/>
        <v>0.17006643292884061</v>
      </c>
      <c r="K252" s="1">
        <f t="shared" si="70"/>
        <v>4.0093489398479019</v>
      </c>
      <c r="L252" s="1">
        <v>7801.5122873345899</v>
      </c>
      <c r="M252" s="1">
        <f t="shared" si="71"/>
        <v>3.8921787968422299</v>
      </c>
      <c r="N252" s="1">
        <v>11602.515286145301</v>
      </c>
      <c r="O252" s="1">
        <f t="shared" si="72"/>
        <v>4.0645521492681143</v>
      </c>
      <c r="P252" s="1">
        <v>-3801.0029988106598</v>
      </c>
      <c r="Q252" s="1" t="e">
        <f ca="1"/>
        <v>#NAME?</v>
      </c>
      <c r="R252" s="1" t="e">
        <f t="shared" ca="1" si="57"/>
        <v>#NAME?</v>
      </c>
      <c r="S252" s="4">
        <v>4219809000000</v>
      </c>
      <c r="T252" s="1">
        <v>153331.33333333299</v>
      </c>
      <c r="U252" s="1" t="e">
        <f ca="1"/>
        <v>#NAME?</v>
      </c>
      <c r="V252" s="1" t="e">
        <f t="shared" ca="1" si="58"/>
        <v>#NAME?</v>
      </c>
      <c r="W252" s="1" t="e">
        <f ca="1"/>
        <v>#NAME?</v>
      </c>
      <c r="X252" s="1" t="e">
        <f t="shared" ca="1" si="59"/>
        <v>#NAME?</v>
      </c>
      <c r="Y252" s="1" t="e">
        <f ca="1"/>
        <v>#NAME?</v>
      </c>
      <c r="Z252" s="1" t="e">
        <f t="shared" ca="1" si="60"/>
        <v>#NAME?</v>
      </c>
      <c r="AA252" s="1" t="e">
        <f ca="1"/>
        <v>#NAME?</v>
      </c>
      <c r="AB252" s="1" t="e">
        <f t="shared" ca="1" si="61"/>
        <v>#NAME?</v>
      </c>
      <c r="AC252" s="1" t="e">
        <f ca="1"/>
        <v>#NAME?</v>
      </c>
      <c r="AD252" s="1" t="e">
        <f t="shared" ca="1" si="62"/>
        <v>#NAME?</v>
      </c>
      <c r="AE252" s="1" t="e">
        <f ca="1"/>
        <v>#NAME?</v>
      </c>
      <c r="AF252" s="1" t="e">
        <f t="shared" ca="1" si="63"/>
        <v>#NAME?</v>
      </c>
      <c r="AG252" s="1" t="e">
        <f ca="1"/>
        <v>#NAME?</v>
      </c>
      <c r="AH252" s="1" t="e">
        <f t="shared" ca="1" si="64"/>
        <v>#NAME?</v>
      </c>
      <c r="AI252" s="1" t="e">
        <f ca="1"/>
        <v>#NAME?</v>
      </c>
      <c r="AJ252" s="1" t="e">
        <f t="shared" ca="1" si="73"/>
        <v>#NAME?</v>
      </c>
      <c r="AK252" s="1" t="e">
        <f ca="1"/>
        <v>#NAME?</v>
      </c>
      <c r="AL252" s="1" t="e">
        <f t="shared" ca="1" si="65"/>
        <v>#NAME?</v>
      </c>
      <c r="AN252" s="1">
        <f t="shared" si="74"/>
        <v>3.994821147505017</v>
      </c>
      <c r="AO252" s="1" t="e">
        <f ca="1"/>
        <v>#NAME?</v>
      </c>
      <c r="AP252" s="1" t="e">
        <f t="shared" ca="1" si="75"/>
        <v>#NAME?</v>
      </c>
    </row>
    <row r="253" spans="1:42" x14ac:dyDescent="0.25">
      <c r="A253" s="1" t="s">
        <v>268</v>
      </c>
      <c r="B253" s="1">
        <v>252</v>
      </c>
      <c r="C253" s="1">
        <v>60375.6439174111</v>
      </c>
      <c r="D253" s="1">
        <f t="shared" si="66"/>
        <v>4.7808617756152572</v>
      </c>
      <c r="E253" s="1">
        <v>42523.566928521403</v>
      </c>
      <c r="F253" s="1">
        <f t="shared" si="67"/>
        <v>4.6286296865286412</v>
      </c>
      <c r="G253" s="1">
        <v>11050.9330445552</v>
      </c>
      <c r="H253" s="1">
        <f t="shared" si="68"/>
        <v>4.0433989476134151</v>
      </c>
      <c r="I253" s="1">
        <v>10298.089636893401</v>
      </c>
      <c r="J253" s="1">
        <f t="shared" si="69"/>
        <v>0.17056695330620966</v>
      </c>
      <c r="K253" s="1">
        <f t="shared" si="70"/>
        <v>4.0127566677047284</v>
      </c>
      <c r="L253" s="1">
        <v>7716.7122369735698</v>
      </c>
      <c r="M253" s="1">
        <f t="shared" si="71"/>
        <v>3.8874323053264552</v>
      </c>
      <c r="N253" s="1">
        <v>11422.011953978999</v>
      </c>
      <c r="O253" s="1">
        <f t="shared" si="72"/>
        <v>4.0577426103502372</v>
      </c>
      <c r="P253" s="1">
        <v>-3705.2997170054</v>
      </c>
      <c r="Q253" s="1" t="e">
        <f ca="1"/>
        <v>#NAME?</v>
      </c>
      <c r="R253" s="1" t="e">
        <f t="shared" ca="1" si="57"/>
        <v>#NAME?</v>
      </c>
      <c r="S253" s="4">
        <v>4195923000000</v>
      </c>
      <c r="T253" s="1">
        <v>154279</v>
      </c>
      <c r="U253" s="1" t="e">
        <f ca="1"/>
        <v>#NAME?</v>
      </c>
      <c r="V253" s="1" t="e">
        <f t="shared" ca="1" si="58"/>
        <v>#NAME?</v>
      </c>
      <c r="W253" s="1" t="e">
        <f ca="1"/>
        <v>#NAME?</v>
      </c>
      <c r="X253" s="1" t="e">
        <f t="shared" ca="1" si="59"/>
        <v>#NAME?</v>
      </c>
      <c r="Y253" s="1" t="e">
        <f ca="1"/>
        <v>#NAME?</v>
      </c>
      <c r="Z253" s="1" t="e">
        <f t="shared" ca="1" si="60"/>
        <v>#NAME?</v>
      </c>
      <c r="AA253" s="1" t="e">
        <f ca="1"/>
        <v>#NAME?</v>
      </c>
      <c r="AB253" s="1" t="e">
        <f t="shared" ca="1" si="61"/>
        <v>#NAME?</v>
      </c>
      <c r="AC253" s="1" t="e">
        <f ca="1"/>
        <v>#NAME?</v>
      </c>
      <c r="AD253" s="1" t="e">
        <f t="shared" ca="1" si="62"/>
        <v>#NAME?</v>
      </c>
      <c r="AE253" s="1" t="e">
        <f ca="1"/>
        <v>#NAME?</v>
      </c>
      <c r="AF253" s="1" t="e">
        <f t="shared" ca="1" si="63"/>
        <v>#NAME?</v>
      </c>
      <c r="AG253" s="1" t="e">
        <f ca="1"/>
        <v>#NAME?</v>
      </c>
      <c r="AH253" s="1" t="e">
        <f t="shared" ca="1" si="64"/>
        <v>#NAME?</v>
      </c>
      <c r="AI253" s="1" t="e">
        <f ca="1"/>
        <v>#NAME?</v>
      </c>
      <c r="AJ253" s="1" t="e">
        <f t="shared" ca="1" si="73"/>
        <v>#NAME?</v>
      </c>
      <c r="AK253" s="1" t="e">
        <f ca="1"/>
        <v>#NAME?</v>
      </c>
      <c r="AL253" s="1" t="e">
        <f t="shared" ca="1" si="65"/>
        <v>#NAME?</v>
      </c>
      <c r="AN253" s="1">
        <f t="shared" si="74"/>
        <v>3.9961275103561222</v>
      </c>
      <c r="AO253" s="1" t="e">
        <f ca="1"/>
        <v>#NAME?</v>
      </c>
      <c r="AP253" s="1" t="e">
        <f t="shared" ca="1" si="75"/>
        <v>#NAME?</v>
      </c>
    </row>
    <row r="254" spans="1:42" x14ac:dyDescent="0.25">
      <c r="A254" s="1" t="s">
        <v>269</v>
      </c>
      <c r="B254" s="1">
        <v>253</v>
      </c>
      <c r="C254" s="1">
        <v>60501.967780397499</v>
      </c>
      <c r="D254" s="1">
        <f t="shared" si="66"/>
        <v>4.781769499979255</v>
      </c>
      <c r="E254" s="1">
        <v>42871.5937377667</v>
      </c>
      <c r="F254" s="1">
        <f t="shared" si="67"/>
        <v>4.6321696285690015</v>
      </c>
      <c r="G254" s="1">
        <v>10707.9616663828</v>
      </c>
      <c r="H254" s="1">
        <f t="shared" si="68"/>
        <v>4.0297068077793492</v>
      </c>
      <c r="I254" s="1">
        <v>10417.779052776001</v>
      </c>
      <c r="J254" s="1">
        <f t="shared" si="69"/>
        <v>0.17218909458596712</v>
      </c>
      <c r="K254" s="1">
        <f t="shared" si="70"/>
        <v>4.0177751423865882</v>
      </c>
      <c r="L254" s="1">
        <v>7805.8337143386498</v>
      </c>
      <c r="M254" s="1">
        <f t="shared" si="71"/>
        <v>3.8924192953804915</v>
      </c>
      <c r="N254" s="1">
        <v>11521.6545492035</v>
      </c>
      <c r="O254" s="1">
        <f t="shared" si="72"/>
        <v>4.0615148497462812</v>
      </c>
      <c r="P254" s="1">
        <v>-3715.82083486483</v>
      </c>
      <c r="Q254" s="1" t="e">
        <f ca="1"/>
        <v>#NAME?</v>
      </c>
      <c r="R254" s="1" t="e">
        <f t="shared" ca="1" si="57"/>
        <v>#NAME?</v>
      </c>
      <c r="S254" s="4">
        <v>4204029000000</v>
      </c>
      <c r="T254" s="1">
        <v>155007</v>
      </c>
      <c r="U254" s="1" t="e">
        <f ca="1"/>
        <v>#NAME?</v>
      </c>
      <c r="V254" s="1" t="e">
        <f t="shared" ca="1" si="58"/>
        <v>#NAME?</v>
      </c>
      <c r="W254" s="1" t="e">
        <f ca="1"/>
        <v>#NAME?</v>
      </c>
      <c r="X254" s="1" t="e">
        <f t="shared" ca="1" si="59"/>
        <v>#NAME?</v>
      </c>
      <c r="Y254" s="1" t="e">
        <f ca="1"/>
        <v>#NAME?</v>
      </c>
      <c r="Z254" s="1" t="e">
        <f t="shared" ca="1" si="60"/>
        <v>#NAME?</v>
      </c>
      <c r="AA254" s="1" t="e">
        <f ca="1"/>
        <v>#NAME?</v>
      </c>
      <c r="AB254" s="1" t="e">
        <f t="shared" ca="1" si="61"/>
        <v>#NAME?</v>
      </c>
      <c r="AC254" s="1" t="e">
        <f ca="1"/>
        <v>#NAME?</v>
      </c>
      <c r="AD254" s="1" t="e">
        <f t="shared" ca="1" si="62"/>
        <v>#NAME?</v>
      </c>
      <c r="AE254" s="1" t="e">
        <f ca="1"/>
        <v>#NAME?</v>
      </c>
      <c r="AF254" s="1" t="e">
        <f t="shared" ca="1" si="63"/>
        <v>#NAME?</v>
      </c>
      <c r="AG254" s="1" t="e">
        <f ca="1"/>
        <v>#NAME?</v>
      </c>
      <c r="AH254" s="1" t="e">
        <f t="shared" ca="1" si="64"/>
        <v>#NAME?</v>
      </c>
      <c r="AI254" s="1" t="e">
        <f ca="1"/>
        <v>#NAME?</v>
      </c>
      <c r="AJ254" s="1" t="e">
        <f t="shared" ca="1" si="73"/>
        <v>#NAME?</v>
      </c>
      <c r="AK254" s="1" t="e">
        <f ca="1"/>
        <v>#NAME?</v>
      </c>
      <c r="AL254" s="1" t="e">
        <f t="shared" ca="1" si="65"/>
        <v>#NAME?</v>
      </c>
      <c r="AN254" s="1">
        <f t="shared" si="74"/>
        <v>3.9954250077728615</v>
      </c>
      <c r="AO254" s="1" t="e">
        <f ca="1"/>
        <v>#NAME?</v>
      </c>
      <c r="AP254" s="1" t="e">
        <f t="shared" ca="1" si="75"/>
        <v>#NAME?</v>
      </c>
    </row>
    <row r="255" spans="1:42" x14ac:dyDescent="0.25">
      <c r="S255" s="4"/>
      <c r="V255" s="2" t="e">
        <f ca="1">_xlfn.STDEV.S(V2:V254)</f>
        <v>#NAME?</v>
      </c>
      <c r="X255" s="1" t="e">
        <f ca="1">_xlfn.STDEV.S(X2:X254)</f>
        <v>#NAME?</v>
      </c>
      <c r="Z255" s="1" t="e">
        <f ca="1">_xlfn.STDEV.S(Z2:Z254)</f>
        <v>#NAME?</v>
      </c>
      <c r="AB255" s="1" t="e">
        <f ca="1">_xlfn.STDEV.S(AB2:AB254)</f>
        <v>#NAME?</v>
      </c>
      <c r="AD255" s="1" t="e">
        <f ca="1">_xlfn.STDEV.S(AD2:AD254)</f>
        <v>#NAME?</v>
      </c>
      <c r="AF255" s="1" t="e">
        <f ca="1">_xlfn.STDEV.S(AF2:AF254)</f>
        <v>#NAME?</v>
      </c>
      <c r="AH255" s="1" t="e">
        <f ca="1">_xlfn.STDEV.S(AH2:AH254)</f>
        <v>#NAME?</v>
      </c>
      <c r="AL255" s="1" t="e">
        <f ca="1">_xlfn.STDEV.S(AL2:AL254)</f>
        <v>#NAME?</v>
      </c>
      <c r="AP255" s="1" t="e">
        <f ca="1">_xlfn.STDEV.S(AP50:AP254)</f>
        <v>#NAME?</v>
      </c>
    </row>
    <row r="256" spans="1:42" x14ac:dyDescent="0.25">
      <c r="V256" s="2">
        <v>1</v>
      </c>
      <c r="X256" s="2" t="e">
        <f ca="1">X255/V255</f>
        <v>#NAME?</v>
      </c>
      <c r="Z256" s="2" t="e">
        <f ca="1">Z255/V255</f>
        <v>#NAME?</v>
      </c>
      <c r="AB256" s="2" t="e">
        <f ca="1">AB255/V255</f>
        <v>#NAME?</v>
      </c>
      <c r="AD256" s="2" t="e">
        <f ca="1">AD255/V255</f>
        <v>#NAME?</v>
      </c>
      <c r="AF256" s="2" t="e">
        <f ca="1">AF255/V255</f>
        <v>#NAME?</v>
      </c>
      <c r="AH256" s="2" t="e">
        <f ca="1">AH255/V255</f>
        <v>#NAME?</v>
      </c>
      <c r="AI256" s="2"/>
      <c r="AJ256" s="2"/>
      <c r="AP256" s="2" t="e">
        <f ca="1">AP255/V255</f>
        <v>#NAME?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E020D-92AD-4C88-B790-E3EA550BE947}">
  <dimension ref="A1:B11"/>
  <sheetViews>
    <sheetView workbookViewId="0">
      <selection activeCell="B8" sqref="B8"/>
    </sheetView>
  </sheetViews>
  <sheetFormatPr defaultRowHeight="14" x14ac:dyDescent="0.25"/>
  <cols>
    <col min="1" max="16384" width="8.7265625" style="1"/>
  </cols>
  <sheetData>
    <row r="1" spans="1:2" x14ac:dyDescent="0.25">
      <c r="A1" s="1" t="s">
        <v>302</v>
      </c>
    </row>
    <row r="2" spans="1:2" x14ac:dyDescent="0.25">
      <c r="A2" s="1" t="s">
        <v>303</v>
      </c>
      <c r="B2" s="1">
        <v>1</v>
      </c>
    </row>
    <row r="3" spans="1:2" x14ac:dyDescent="0.25">
      <c r="A3" s="1" t="s">
        <v>304</v>
      </c>
      <c r="B3" s="1" t="e">
        <f ca="1">CORREL(HP!V2:V254,HP!X2:X254)</f>
        <v>#NAME?</v>
      </c>
    </row>
    <row r="4" spans="1:2" x14ac:dyDescent="0.25">
      <c r="A4" s="1" t="s">
        <v>305</v>
      </c>
      <c r="B4" s="1" t="e">
        <f ca="1">CORREL(HP!V2:V254,HP!Z2:Z254)</f>
        <v>#NAME?</v>
      </c>
    </row>
    <row r="5" spans="1:2" x14ac:dyDescent="0.25">
      <c r="A5" s="1" t="s">
        <v>275</v>
      </c>
      <c r="B5" s="1" t="e">
        <f ca="1">CORREL(HP!AL2:AL254,HP!V2:V254)</f>
        <v>#NAME?</v>
      </c>
    </row>
    <row r="6" spans="1:2" x14ac:dyDescent="0.25">
      <c r="A6" s="1" t="s">
        <v>306</v>
      </c>
      <c r="B6" s="1" t="e">
        <f ca="1">CORREL(HP!V2:V254,HP!AB2:AB254)</f>
        <v>#NAME?</v>
      </c>
    </row>
    <row r="7" spans="1:2" x14ac:dyDescent="0.25">
      <c r="A7" s="1" t="s">
        <v>307</v>
      </c>
      <c r="B7" s="1" t="e">
        <f ca="1">CORREL(HP!V2:V254,HP!AD2:AD254)</f>
        <v>#NAME?</v>
      </c>
    </row>
    <row r="8" spans="1:2" x14ac:dyDescent="0.25">
      <c r="A8" s="1" t="s">
        <v>308</v>
      </c>
      <c r="B8" s="1" t="e">
        <f ca="1">CORREL(HP!V2:V254,HP!AF2:AF254)</f>
        <v>#NAME?</v>
      </c>
    </row>
    <row r="9" spans="1:2" x14ac:dyDescent="0.25">
      <c r="A9" s="1" t="s">
        <v>280</v>
      </c>
      <c r="B9" s="1" t="e">
        <f ca="1">CORREL(HP!V2:V254,HP!AH2:AH254)</f>
        <v>#NAME?</v>
      </c>
    </row>
    <row r="10" spans="1:2" x14ac:dyDescent="0.25">
      <c r="A10" s="1" t="s">
        <v>309</v>
      </c>
      <c r="B10" s="1" t="e">
        <f ca="1">CORREL(HP!V2:V254,HP!AJ2:AJ254)</f>
        <v>#NAME?</v>
      </c>
    </row>
    <row r="11" spans="1:2" x14ac:dyDescent="0.25">
      <c r="A11" s="1" t="s">
        <v>310</v>
      </c>
      <c r="B11" s="1" t="e">
        <f ca="1">-CORREL(HP!AP50:AP254,HP!V50:V254)</f>
        <v>#NAME?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BECCF-79D5-4E64-92C4-D5DBC78917F4}">
  <dimension ref="A1:B11"/>
  <sheetViews>
    <sheetView workbookViewId="0">
      <selection activeCell="B12" sqref="B12"/>
    </sheetView>
  </sheetViews>
  <sheetFormatPr defaultRowHeight="14" x14ac:dyDescent="0.25"/>
  <cols>
    <col min="1" max="16384" width="8.7265625" style="1"/>
  </cols>
  <sheetData>
    <row r="1" spans="1:2" x14ac:dyDescent="0.25">
      <c r="A1" s="1" t="s">
        <v>302</v>
      </c>
    </row>
    <row r="2" spans="1:2" x14ac:dyDescent="0.25">
      <c r="A2" s="1" t="s">
        <v>303</v>
      </c>
      <c r="B2" s="1">
        <v>1</v>
      </c>
    </row>
    <row r="3" spans="1:2" x14ac:dyDescent="0.25">
      <c r="A3" s="1" t="s">
        <v>304</v>
      </c>
      <c r="B3" s="1" t="e">
        <f ca="1">CORREL(HP_per_capita!X2:X254,HP_per_capita!V2:V254)</f>
        <v>#NAME?</v>
      </c>
    </row>
    <row r="4" spans="1:2" x14ac:dyDescent="0.25">
      <c r="A4" s="1" t="s">
        <v>305</v>
      </c>
      <c r="B4" s="1" t="e">
        <f ca="1">CORREL(HP_per_capita!V2:V254,HP_per_capita!Z2:Z254)</f>
        <v>#NAME?</v>
      </c>
    </row>
    <row r="5" spans="1:2" x14ac:dyDescent="0.25">
      <c r="A5" s="1" t="s">
        <v>275</v>
      </c>
      <c r="B5" s="1" t="e">
        <f ca="1">CORREL(HP_per_capita!AL2:AL254,HP_per_capita!V2:V254)</f>
        <v>#NAME?</v>
      </c>
    </row>
    <row r="6" spans="1:2" x14ac:dyDescent="0.25">
      <c r="A6" s="1" t="s">
        <v>306</v>
      </c>
      <c r="B6" s="1" t="e">
        <f ca="1">CORREL(HP_per_capita!V2:V254,HP_per_capita!AB2:AB254)</f>
        <v>#NAME?</v>
      </c>
    </row>
    <row r="7" spans="1:2" x14ac:dyDescent="0.25">
      <c r="A7" s="1" t="s">
        <v>307</v>
      </c>
      <c r="B7" s="1" t="e">
        <f ca="1">CORREL(HP_per_capita!V2:V254,HP_per_capita!AD2:AD254)</f>
        <v>#NAME?</v>
      </c>
    </row>
    <row r="8" spans="1:2" x14ac:dyDescent="0.25">
      <c r="A8" s="1" t="s">
        <v>308</v>
      </c>
      <c r="B8" s="1" t="e">
        <f ca="1">CORREL(HP_per_capita!V2:V254,HP_per_capita!AF2:AF254)</f>
        <v>#NAME?</v>
      </c>
    </row>
    <row r="9" spans="1:2" x14ac:dyDescent="0.25">
      <c r="A9" s="1" t="s">
        <v>280</v>
      </c>
      <c r="B9" s="1" t="e">
        <f ca="1">CORREL(HP_per_capita!V2:V254,HP_per_capita!AH2:AH254)</f>
        <v>#NAME?</v>
      </c>
    </row>
    <row r="10" spans="1:2" x14ac:dyDescent="0.25">
      <c r="A10" s="1" t="s">
        <v>309</v>
      </c>
      <c r="B10" s="1" t="e">
        <f ca="1">CORREL(HP_per_capita!V2:V254,HP_per_capita!AJ2:AJ254)</f>
        <v>#NAME?</v>
      </c>
    </row>
    <row r="11" spans="1:2" x14ac:dyDescent="0.25">
      <c r="A11" s="1" t="s">
        <v>310</v>
      </c>
      <c r="B11" s="1" t="e">
        <f ca="1">-CORREL(HP_per_capita!AP50:AP254,HP_per_capita!V50:V254)</f>
        <v>#NAME?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90F31-1999-4341-8D39-396C2A3729F1}">
  <dimension ref="A1:M23"/>
  <sheetViews>
    <sheetView tabSelected="1" workbookViewId="0">
      <selection activeCell="A13" sqref="A13:H23"/>
    </sheetView>
  </sheetViews>
  <sheetFormatPr defaultRowHeight="14" x14ac:dyDescent="0.25"/>
  <cols>
    <col min="1" max="1" width="24" style="7" customWidth="1"/>
    <col min="2" max="2" width="11.26953125" style="1" customWidth="1"/>
    <col min="3" max="3" width="22.90625" style="1" customWidth="1"/>
    <col min="4" max="5" width="8.7265625" style="1"/>
    <col min="6" max="6" width="7" style="1" customWidth="1"/>
    <col min="7" max="7" width="8.7265625" style="1"/>
    <col min="8" max="8" width="13.36328125" style="1" customWidth="1"/>
    <col min="9" max="16384" width="8.7265625" style="1"/>
  </cols>
  <sheetData>
    <row r="1" spans="1:13" s="6" customFormat="1" x14ac:dyDescent="0.25">
      <c r="A1" s="5" t="s">
        <v>311</v>
      </c>
    </row>
    <row r="2" spans="1:13" x14ac:dyDescent="0.25">
      <c r="B2" s="8" t="s">
        <v>312</v>
      </c>
      <c r="C2" s="8"/>
      <c r="D2" s="8"/>
      <c r="G2" s="8" t="s">
        <v>313</v>
      </c>
      <c r="H2" s="8"/>
      <c r="L2" s="9" t="s">
        <v>314</v>
      </c>
    </row>
    <row r="3" spans="1:13" x14ac:dyDescent="0.25">
      <c r="B3" s="1" t="s">
        <v>315</v>
      </c>
      <c r="C3" s="1" t="s">
        <v>316</v>
      </c>
      <c r="D3" s="2" t="s">
        <v>317</v>
      </c>
      <c r="G3" s="10" t="s">
        <v>318</v>
      </c>
      <c r="H3" s="10" t="s">
        <v>319</v>
      </c>
      <c r="I3" s="11"/>
      <c r="L3" s="6" t="s">
        <v>320</v>
      </c>
      <c r="M3" s="12"/>
    </row>
    <row r="4" spans="1:13" x14ac:dyDescent="0.25">
      <c r="A4" s="5" t="s">
        <v>303</v>
      </c>
      <c r="B4" s="1">
        <v>2.94</v>
      </c>
      <c r="C4" s="7">
        <v>2.74</v>
      </c>
      <c r="D4" s="1">
        <v>1.38</v>
      </c>
      <c r="G4" s="13" t="e">
        <f ca="1">HP!V255</f>
        <v>#NAME?</v>
      </c>
      <c r="H4" s="13" t="e">
        <f ca="1">HP_per_capita!V255</f>
        <v>#NAME?</v>
      </c>
      <c r="I4" s="14"/>
      <c r="L4" s="6" t="s">
        <v>321</v>
      </c>
    </row>
    <row r="5" spans="1:13" x14ac:dyDescent="0.25">
      <c r="A5" s="5" t="s">
        <v>322</v>
      </c>
      <c r="B5" s="1">
        <v>1.02</v>
      </c>
      <c r="C5" s="7">
        <v>0.87</v>
      </c>
      <c r="D5" s="1">
        <v>0.85</v>
      </c>
      <c r="G5" s="13" t="e">
        <f ca="1">HP!X256</f>
        <v>#NAME?</v>
      </c>
      <c r="H5" s="13" t="e">
        <f ca="1">HP_per_capita!X256</f>
        <v>#NAME?</v>
      </c>
      <c r="I5" s="14"/>
      <c r="L5" s="6" t="s">
        <v>323</v>
      </c>
    </row>
    <row r="6" spans="1:13" x14ac:dyDescent="0.25">
      <c r="A6" s="5" t="s">
        <v>324</v>
      </c>
      <c r="B6" s="1">
        <v>3.52</v>
      </c>
      <c r="C6" s="10">
        <v>3.31</v>
      </c>
      <c r="D6" s="2">
        <v>3.65</v>
      </c>
      <c r="G6" s="13" t="e">
        <f ca="1">HP!Z256</f>
        <v>#NAME?</v>
      </c>
      <c r="H6" s="13" t="e">
        <f ca="1">HP_per_capita!Z256</f>
        <v>#NAME?</v>
      </c>
      <c r="I6" s="14"/>
      <c r="L6" s="6" t="s">
        <v>325</v>
      </c>
    </row>
    <row r="7" spans="1:13" x14ac:dyDescent="0.25">
      <c r="A7" s="5" t="s">
        <v>326</v>
      </c>
      <c r="B7" s="1">
        <v>1.93</v>
      </c>
      <c r="C7" s="7">
        <v>1.1499999999999999</v>
      </c>
      <c r="D7" s="1">
        <v>0.93</v>
      </c>
      <c r="G7" s="13" t="e">
        <f ca="1">HP!AB256</f>
        <v>#NAME?</v>
      </c>
      <c r="H7" s="13" t="e">
        <f ca="1">HP_per_capita!AB256</f>
        <v>#NAME?</v>
      </c>
      <c r="I7" s="14"/>
    </row>
    <row r="8" spans="1:13" x14ac:dyDescent="0.25">
      <c r="A8" s="5" t="s">
        <v>327</v>
      </c>
      <c r="B8" s="1">
        <v>3.49</v>
      </c>
      <c r="C8" s="10">
        <v>3.67</v>
      </c>
      <c r="D8" s="2">
        <v>4.1100000000000003</v>
      </c>
      <c r="G8" s="13" t="e">
        <f ca="1">HP!AD256</f>
        <v>#NAME?</v>
      </c>
      <c r="H8" s="13" t="e">
        <f ca="1">HP_per_capita!AD256</f>
        <v>#NAME?</v>
      </c>
      <c r="I8" s="14"/>
    </row>
    <row r="9" spans="1:13" x14ac:dyDescent="0.25">
      <c r="A9" s="5" t="s">
        <v>328</v>
      </c>
      <c r="B9" s="1">
        <v>3.24</v>
      </c>
      <c r="C9" s="10">
        <v>3.51</v>
      </c>
      <c r="D9" s="2">
        <v>4.84</v>
      </c>
      <c r="G9" s="13" t="e">
        <f ca="1">HP!AF256</f>
        <v>#NAME?</v>
      </c>
      <c r="H9" s="13" t="e">
        <f ca="1">HP_per_capita!AF256</f>
        <v>#NAME?</v>
      </c>
      <c r="I9" s="14"/>
    </row>
    <row r="10" spans="1:13" x14ac:dyDescent="0.25">
      <c r="A10" s="5" t="s">
        <v>329</v>
      </c>
      <c r="B10" s="1">
        <v>0.94</v>
      </c>
      <c r="C10" s="7">
        <v>1.21</v>
      </c>
      <c r="D10" s="1">
        <v>0.64</v>
      </c>
      <c r="G10" s="13" t="e">
        <f ca="1">HP!AH255</f>
        <v>#NAME?</v>
      </c>
      <c r="H10" s="13" t="e">
        <f ca="1">HP_per_capita!AH255</f>
        <v>#NAME?</v>
      </c>
    </row>
    <row r="11" spans="1:13" x14ac:dyDescent="0.25">
      <c r="A11" s="5" t="s">
        <v>330</v>
      </c>
      <c r="B11" s="7" t="s">
        <v>331</v>
      </c>
      <c r="C11" s="7" t="s">
        <v>331</v>
      </c>
      <c r="D11" s="7" t="s">
        <v>331</v>
      </c>
      <c r="G11" s="13" t="e">
        <f ca="1">HP!AP256</f>
        <v>#NAME?</v>
      </c>
      <c r="H11" s="13" t="e">
        <f ca="1">HP_per_capita!AP256</f>
        <v>#NAME?</v>
      </c>
    </row>
    <row r="13" spans="1:13" s="6" customFormat="1" x14ac:dyDescent="0.25">
      <c r="A13" s="5" t="s">
        <v>332</v>
      </c>
      <c r="B13" s="8" t="s">
        <v>312</v>
      </c>
      <c r="C13" s="8"/>
      <c r="D13" s="8"/>
      <c r="E13" s="5"/>
      <c r="F13" s="5"/>
      <c r="G13" s="8" t="s">
        <v>313</v>
      </c>
      <c r="H13" s="8"/>
    </row>
    <row r="14" spans="1:13" x14ac:dyDescent="0.25">
      <c r="B14" s="7" t="s">
        <v>315</v>
      </c>
      <c r="C14" s="7" t="s">
        <v>316</v>
      </c>
      <c r="D14" s="10" t="s">
        <v>317</v>
      </c>
      <c r="E14" s="7"/>
      <c r="F14" s="7"/>
      <c r="G14" s="10" t="s">
        <v>318</v>
      </c>
      <c r="H14" s="10" t="s">
        <v>319</v>
      </c>
    </row>
    <row r="15" spans="1:13" x14ac:dyDescent="0.25">
      <c r="A15" s="15" t="s">
        <v>303</v>
      </c>
      <c r="B15" s="7">
        <v>1</v>
      </c>
      <c r="C15" s="7">
        <v>1</v>
      </c>
      <c r="D15" s="7">
        <v>1</v>
      </c>
      <c r="E15" s="7"/>
      <c r="F15" s="15"/>
      <c r="G15" s="16">
        <v>1</v>
      </c>
      <c r="H15" s="16">
        <f>correlation_HP_per_capita!B2</f>
        <v>1</v>
      </c>
    </row>
    <row r="16" spans="1:13" x14ac:dyDescent="0.25">
      <c r="A16" s="15" t="s">
        <v>304</v>
      </c>
      <c r="B16" s="7">
        <v>0.9</v>
      </c>
      <c r="C16" s="7">
        <v>0.88</v>
      </c>
      <c r="D16" s="7">
        <v>0.78</v>
      </c>
      <c r="E16" s="7"/>
      <c r="F16" s="15"/>
      <c r="G16" s="16">
        <v>0.88298364776716731</v>
      </c>
      <c r="H16" s="16" t="e">
        <f ca="1">correlation_HP_per_capita!B3</f>
        <v>#NAME?</v>
      </c>
    </row>
    <row r="17" spans="1:8" x14ac:dyDescent="0.25">
      <c r="A17" s="15" t="s">
        <v>305</v>
      </c>
      <c r="B17" s="7">
        <v>0.8</v>
      </c>
      <c r="C17" s="7">
        <v>0.88</v>
      </c>
      <c r="D17" s="7">
        <v>0.87</v>
      </c>
      <c r="E17" s="7"/>
      <c r="F17" s="15"/>
      <c r="G17" s="16">
        <v>0.88277167461771844</v>
      </c>
      <c r="H17" s="16" t="e">
        <f ca="1">correlation_HP_per_capita!B4</f>
        <v>#NAME?</v>
      </c>
    </row>
    <row r="18" spans="1:8" x14ac:dyDescent="0.25">
      <c r="A18" s="15" t="s">
        <v>275</v>
      </c>
      <c r="B18" s="7">
        <v>-0.32</v>
      </c>
      <c r="C18" s="7">
        <v>-0.59</v>
      </c>
      <c r="D18" s="7">
        <v>-0.78</v>
      </c>
      <c r="E18" s="7"/>
      <c r="F18" s="15"/>
      <c r="G18" s="16">
        <v>-0.69432161221071009</v>
      </c>
      <c r="H18" s="16" t="e">
        <f ca="1">correlation_HP_per_capita!B5</f>
        <v>#NAME?</v>
      </c>
    </row>
    <row r="19" spans="1:8" x14ac:dyDescent="0.25">
      <c r="A19" s="15" t="s">
        <v>307</v>
      </c>
      <c r="B19" s="7">
        <v>-0.11</v>
      </c>
      <c r="C19" s="7">
        <v>0.26</v>
      </c>
      <c r="D19" s="7">
        <v>0.67</v>
      </c>
      <c r="E19" s="7"/>
      <c r="F19" s="15"/>
      <c r="G19" s="16">
        <v>0.46952656189618375</v>
      </c>
      <c r="H19" s="16" t="e">
        <f ca="1">correlation_HP_per_capita!B7</f>
        <v>#NAME?</v>
      </c>
    </row>
    <row r="20" spans="1:8" x14ac:dyDescent="0.25">
      <c r="A20" s="15" t="s">
        <v>308</v>
      </c>
      <c r="B20" s="7">
        <v>0.31</v>
      </c>
      <c r="C20" s="7">
        <v>0.66</v>
      </c>
      <c r="D20" s="7">
        <v>0.76</v>
      </c>
      <c r="E20" s="7"/>
      <c r="F20" s="15"/>
      <c r="G20" s="16">
        <v>0.78770635145697998</v>
      </c>
      <c r="H20" s="16" t="e">
        <f ca="1">correlation_HP_per_capita!B8</f>
        <v>#NAME?</v>
      </c>
    </row>
    <row r="21" spans="1:8" x14ac:dyDescent="0.25">
      <c r="A21" s="15" t="s">
        <v>280</v>
      </c>
      <c r="B21" s="7">
        <v>-0.51</v>
      </c>
      <c r="C21" s="7">
        <v>-0.41</v>
      </c>
      <c r="D21" s="7">
        <v>-0.31</v>
      </c>
      <c r="E21" s="7"/>
      <c r="F21" s="15"/>
      <c r="G21" s="16">
        <v>-0.4904190646406324</v>
      </c>
      <c r="H21" s="16" t="e">
        <f ca="1">correlation_HP_per_capita!B9</f>
        <v>#NAME?</v>
      </c>
    </row>
    <row r="22" spans="1:8" x14ac:dyDescent="0.25">
      <c r="A22" s="15" t="s">
        <v>309</v>
      </c>
      <c r="B22" s="7">
        <v>-0.54</v>
      </c>
      <c r="C22" s="7">
        <v>-0.4</v>
      </c>
      <c r="D22" s="7">
        <v>-0.31</v>
      </c>
      <c r="E22" s="7"/>
      <c r="F22" s="15"/>
      <c r="G22" s="17" t="e">
        <f ca="1">correlation_HP!B10</f>
        <v>#NAME?</v>
      </c>
      <c r="H22" s="16" t="e">
        <f ca="1">correlation_HP_per_capita!B10</f>
        <v>#NAME?</v>
      </c>
    </row>
    <row r="23" spans="1:8" x14ac:dyDescent="0.25">
      <c r="A23" s="5" t="s">
        <v>333</v>
      </c>
      <c r="B23" s="7" t="s">
        <v>331</v>
      </c>
      <c r="C23" s="7" t="s">
        <v>331</v>
      </c>
      <c r="D23" s="7" t="s">
        <v>331</v>
      </c>
      <c r="E23" s="7"/>
      <c r="F23" s="5"/>
      <c r="G23" s="17" t="e">
        <f ca="1">correlation_HP!B11</f>
        <v>#NAME?</v>
      </c>
      <c r="H23" s="16" t="e">
        <f ca="1">correlation_HP_per_capita!B11</f>
        <v>#NAME?</v>
      </c>
    </row>
  </sheetData>
  <mergeCells count="4">
    <mergeCell ref="B2:D2"/>
    <mergeCell ref="G2:H2"/>
    <mergeCell ref="B13:D13"/>
    <mergeCell ref="G13:H13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Original data</vt:lpstr>
      <vt:lpstr>HP</vt:lpstr>
      <vt:lpstr>HP_per_capita</vt:lpstr>
      <vt:lpstr>correlation_HP</vt:lpstr>
      <vt:lpstr>correlation_HP_per_capita</vt:lpstr>
      <vt:lpstr>result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user</cp:lastModifiedBy>
  <dcterms:created xsi:type="dcterms:W3CDTF">2015-01-15T16:55:01Z</dcterms:created>
  <dcterms:modified xsi:type="dcterms:W3CDTF">2023-06-12T05:56:22Z</dcterms:modified>
</cp:coreProperties>
</file>